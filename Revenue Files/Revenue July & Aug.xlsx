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Revenue Files\"/>
    </mc:Choice>
  </mc:AlternateContent>
  <xr:revisionPtr revIDLastSave="0" documentId="13_ncr:1_{6ED37151-1D41-470C-BA51-6823F088811C}" xr6:coauthVersionLast="47" xr6:coauthVersionMax="47" xr10:uidLastSave="{00000000-0000-0000-0000-000000000000}"/>
  <bookViews>
    <workbookView xWindow="-110" yWindow="-110" windowWidth="19420" windowHeight="10300" firstSheet="2" activeTab="2" xr2:uid="{70C2EF3A-5FB2-4571-8FE6-C2878194AA03}"/>
  </bookViews>
  <sheets>
    <sheet name="July Revenue Modified- original" sheetId="1" r:id="rId1"/>
    <sheet name="Aug Revenue Modified" sheetId="2" r:id="rId2"/>
    <sheet name="Aug Revenue working file" sheetId="5" r:id="rId3"/>
    <sheet name="July Revenue `" sheetId="3" r:id="rId4"/>
    <sheet name="FAILED JULY FILE" sheetId="4" r:id="rId5"/>
  </sheets>
  <externalReferences>
    <externalReference r:id="rId6"/>
  </externalReferences>
  <definedNames>
    <definedName name="_xlnm._FilterDatabase" localSheetId="2" hidden="1">'Aug Revenue working file'!$A$2:$P$2510</definedName>
    <definedName name="_xlnm._FilterDatabase" localSheetId="3" hidden="1">'July Revenue `'!$A$2:$M$2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5" l="1"/>
  <c r="M1" i="5"/>
  <c r="J1" i="5"/>
  <c r="I1" i="5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3" i="3"/>
  <c r="J7" i="3"/>
  <c r="J4" i="3"/>
  <c r="J5" i="3"/>
  <c r="J6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3" i="3"/>
  <c r="M4" i="3"/>
  <c r="M1" i="3" s="1"/>
  <c r="L1" i="3"/>
  <c r="K3" i="2"/>
  <c r="K2" i="2"/>
  <c r="K1" i="2"/>
  <c r="H1" i="2"/>
  <c r="G1" i="2"/>
  <c r="O12" i="1"/>
  <c r="O11" i="1"/>
  <c r="O10" i="1"/>
  <c r="M7" i="1"/>
  <c r="H6" i="1"/>
  <c r="H1" i="1" s="1"/>
  <c r="G1" i="1"/>
  <c r="O13" i="1" l="1"/>
</calcChain>
</file>

<file path=xl/sharedStrings.xml><?xml version="1.0" encoding="utf-8"?>
<sst xmlns="http://schemas.openxmlformats.org/spreadsheetml/2006/main" count="21029" uniqueCount="1243">
  <si>
    <t>Dhruvsoft Remarks</t>
  </si>
  <si>
    <t>Debit</t>
  </si>
  <si>
    <t xml:space="preserve">Credit </t>
  </si>
  <si>
    <t>Date</t>
  </si>
  <si>
    <t>Invoice</t>
  </si>
  <si>
    <t>Customer</t>
  </si>
  <si>
    <t>Description</t>
  </si>
  <si>
    <t>July revenue</t>
  </si>
  <si>
    <t>Project</t>
  </si>
  <si>
    <t>1. if its je what account need to be debited &amp; what need to be credited</t>
  </si>
  <si>
    <t>column A and B but its not a JE. It is an import of data into those accounts</t>
  </si>
  <si>
    <t>Account#</t>
  </si>
  <si>
    <t>Account #</t>
  </si>
  <si>
    <t>2. why there is 0 for line 10</t>
  </si>
  <si>
    <t>discount or zero billing but we still need to show it and not delete the data</t>
  </si>
  <si>
    <t>3. why there are negative balances.</t>
  </si>
  <si>
    <t>advance or excess payments</t>
  </si>
  <si>
    <t>A11001 - Accounts Receivable (New)</t>
  </si>
  <si>
    <t>CANDLEWOOD LAFAYETTE</t>
  </si>
  <si>
    <t>July 25 Product revenue in SPS</t>
  </si>
  <si>
    <t>4.Do not import- first 2 lines should not be imported</t>
  </si>
  <si>
    <t>do not import relates to yellow shaded area. It is a check of the total</t>
  </si>
  <si>
    <t>A40001 - Sales Income (New)</t>
  </si>
  <si>
    <t>5. what about invoice nos</t>
  </si>
  <si>
    <t>these stay if they relate to q4</t>
  </si>
  <si>
    <t>33495/7</t>
  </si>
  <si>
    <t>Magnolia LXR Dallas TX -</t>
  </si>
  <si>
    <t xml:space="preserve">Marriott - </t>
  </si>
  <si>
    <t>Hwy 6 ppty</t>
  </si>
  <si>
    <t>La Quinta Inn &amp; Suites- Seatac Airport- Seattle WA</t>
  </si>
  <si>
    <t>save as values</t>
  </si>
  <si>
    <t>Marriott - Hwy 6 ppty</t>
  </si>
  <si>
    <t>33565/10</t>
  </si>
  <si>
    <t>LA QUINTA ORLANDO</t>
  </si>
  <si>
    <t>Dhruvsoft to ignore yellow below</t>
  </si>
  <si>
    <t>33722/5</t>
  </si>
  <si>
    <t>LaQuinta/Hawthone - Knoxville TN - AMit</t>
  </si>
  <si>
    <t>agrees to</t>
  </si>
  <si>
    <t>income</t>
  </si>
  <si>
    <t>LaQuinta - Naples - FL - Raj Mukkirla</t>
  </si>
  <si>
    <t>statement in</t>
  </si>
  <si>
    <t>34086/8</t>
  </si>
  <si>
    <t>sps</t>
  </si>
  <si>
    <t>34113/2</t>
  </si>
  <si>
    <t>La Quinta, Anaheim CA</t>
  </si>
  <si>
    <t>DO NOT IMPORT</t>
  </si>
  <si>
    <t>34289/3</t>
  </si>
  <si>
    <t>LaQuinta Yakima WA</t>
  </si>
  <si>
    <t>LaQuinta Inn &amp; Suites Oxford AL</t>
  </si>
  <si>
    <t>Hampton Downtown Montgomery</t>
  </si>
  <si>
    <t>Graniti Vicentia</t>
  </si>
  <si>
    <t>36159/4</t>
  </si>
  <si>
    <t>CANDLEWOOD EASTRIDGE TN</t>
  </si>
  <si>
    <t>Continental Inns of America La Quinta Inn</t>
  </si>
  <si>
    <t>37579/3</t>
  </si>
  <si>
    <t>Fairfield Townplace East Hartford</t>
  </si>
  <si>
    <t>37759/3</t>
  </si>
  <si>
    <t>ELEMENT FORTSMITH, ARKANSAS</t>
  </si>
  <si>
    <t>37959/2</t>
  </si>
  <si>
    <t>Monsoon Flower LLC</t>
  </si>
  <si>
    <t>Pitt-Cran Hospitality, LLC/ Wingate Cranberry</t>
  </si>
  <si>
    <t>35796/2</t>
  </si>
  <si>
    <t>37579/2</t>
  </si>
  <si>
    <t>38235/4</t>
  </si>
  <si>
    <t>Hampton Inn Nashville</t>
  </si>
  <si>
    <t>38382/3</t>
  </si>
  <si>
    <t>Auburn Hospitality Group</t>
  </si>
  <si>
    <t>38403/2</t>
  </si>
  <si>
    <t>38403/3</t>
  </si>
  <si>
    <t>38403/4</t>
  </si>
  <si>
    <t>LQ Hawthorne Leavenworth</t>
  </si>
  <si>
    <t>38394/3</t>
  </si>
  <si>
    <t>35797/2</t>
  </si>
  <si>
    <t>35809/2</t>
  </si>
  <si>
    <t>37676/2</t>
  </si>
  <si>
    <t>Ascent Residence inn Montgomery</t>
  </si>
  <si>
    <t>37683/7</t>
  </si>
  <si>
    <t>38525/2</t>
  </si>
  <si>
    <t>Interior Dezyn</t>
  </si>
  <si>
    <t>35431/7</t>
  </si>
  <si>
    <t>Jay Sun Hospitality LLC / La Quinta La Habra,CA</t>
  </si>
  <si>
    <t>36783/5</t>
  </si>
  <si>
    <t>Ascent Home2 Montgomery</t>
  </si>
  <si>
    <t>37061/6</t>
  </si>
  <si>
    <t>DFW Joseph Investments LLC</t>
  </si>
  <si>
    <t>37271/12</t>
  </si>
  <si>
    <t>Northlake Innkeepers I Ltd.</t>
  </si>
  <si>
    <t>37288/5</t>
  </si>
  <si>
    <t>37288/6</t>
  </si>
  <si>
    <t>37762/3</t>
  </si>
  <si>
    <t>36569/2</t>
  </si>
  <si>
    <t>Prince Preferred Hotels</t>
  </si>
  <si>
    <t>36576/2</t>
  </si>
  <si>
    <t>36580/2</t>
  </si>
  <si>
    <t>36582/2</t>
  </si>
  <si>
    <t>36583/4</t>
  </si>
  <si>
    <t>38388/2</t>
  </si>
  <si>
    <t>38386/3</t>
  </si>
  <si>
    <t>38394/2</t>
  </si>
  <si>
    <t>38213/6</t>
  </si>
  <si>
    <t>36849/10</t>
  </si>
  <si>
    <t>Imagine Porcelain Co. IPC.</t>
  </si>
  <si>
    <t>37090/2</t>
  </si>
  <si>
    <t>37678/6</t>
  </si>
  <si>
    <t>38301/3</t>
  </si>
  <si>
    <t>Chesterfield Hospitality Inc.</t>
  </si>
  <si>
    <t>38304/2</t>
  </si>
  <si>
    <t>Residence Inn Pearland, TX</t>
  </si>
  <si>
    <t>38299/2</t>
  </si>
  <si>
    <t>38305/4</t>
  </si>
  <si>
    <t>38305/6</t>
  </si>
  <si>
    <t>38325/5</t>
  </si>
  <si>
    <t>38516/2</t>
  </si>
  <si>
    <t>RENFROW DECORATIVE CENTER</t>
  </si>
  <si>
    <t>34035/3</t>
  </si>
  <si>
    <t>Hampton Inn Rosenberg</t>
  </si>
  <si>
    <t>36567/5</t>
  </si>
  <si>
    <t>36568/2</t>
  </si>
  <si>
    <t>36569/3</t>
  </si>
  <si>
    <t>36578/2</t>
  </si>
  <si>
    <t>36580/3</t>
  </si>
  <si>
    <t>36583/5</t>
  </si>
  <si>
    <t>37977/5</t>
  </si>
  <si>
    <t>38235/5</t>
  </si>
  <si>
    <t>35228/10</t>
  </si>
  <si>
    <t>La Quinta - Chelsea,AL</t>
  </si>
  <si>
    <t>36579/3</t>
  </si>
  <si>
    <t>36758/3</t>
  </si>
  <si>
    <t>La Quinta Athens Alabama</t>
  </si>
  <si>
    <t>36766/3</t>
  </si>
  <si>
    <t>36920/4</t>
  </si>
  <si>
    <t>AUTOGRAPH MAYA-PS</t>
  </si>
  <si>
    <t>AFP 108 Corp.</t>
  </si>
  <si>
    <t>37412/4</t>
  </si>
  <si>
    <t>Ascent Hospitality Element Carmel Indiana</t>
  </si>
  <si>
    <t>37759/4</t>
  </si>
  <si>
    <t>38357/2</t>
  </si>
  <si>
    <t>Ascent Hospitality- Autograph Huntsville</t>
  </si>
  <si>
    <t>38361/2</t>
  </si>
  <si>
    <t>38362/2</t>
  </si>
  <si>
    <t>38363/2</t>
  </si>
  <si>
    <t>38365/8</t>
  </si>
  <si>
    <t>38368/3</t>
  </si>
  <si>
    <t>38386/5</t>
  </si>
  <si>
    <t>Trylon LLC/ RJ Construction LTD</t>
  </si>
  <si>
    <t>Ascent hospitality Townplace Suites Fairburn IN</t>
  </si>
  <si>
    <t>July 25 Service revenue in SPS</t>
  </si>
  <si>
    <t>35760/7</t>
  </si>
  <si>
    <t>La Quinta Hawthorn - Miamisburg, OH</t>
  </si>
  <si>
    <t>July 25 Freight revenue in SPS</t>
  </si>
  <si>
    <t>A40007 - Service Income (New)</t>
  </si>
  <si>
    <t>A40006 - Delivery Income (New)</t>
  </si>
  <si>
    <t>Product</t>
  </si>
  <si>
    <t>Dhruvsoft Comments</t>
  </si>
  <si>
    <t>Aug revenue</t>
  </si>
  <si>
    <t>service</t>
  </si>
  <si>
    <t>1. why 0 &amp; negative amounts</t>
  </si>
  <si>
    <t>delivery'</t>
  </si>
  <si>
    <t xml:space="preserve">2. what are this small amount in small points </t>
  </si>
  <si>
    <t>37684/3</t>
  </si>
  <si>
    <t>Aug 25 product revenue in SPS</t>
  </si>
  <si>
    <t>3. if charges then what is item</t>
  </si>
  <si>
    <t>35804/4</t>
  </si>
  <si>
    <t>Dhruvsoft to ignore yellow</t>
  </si>
  <si>
    <t>Classic American Homes &amp; Renovations</t>
  </si>
  <si>
    <t>38235/6</t>
  </si>
  <si>
    <t>38299/3</t>
  </si>
  <si>
    <t>38301/4</t>
  </si>
  <si>
    <t>38304/3</t>
  </si>
  <si>
    <t>37697/3</t>
  </si>
  <si>
    <t>Comfort suites NC330</t>
  </si>
  <si>
    <t>Kings Bay Coastal Hotel Management LLC / Wingate Kingsland</t>
  </si>
  <si>
    <t>37412/2</t>
  </si>
  <si>
    <t>Veranda Homes</t>
  </si>
  <si>
    <t>38292/2</t>
  </si>
  <si>
    <t>36663/2</t>
  </si>
  <si>
    <t>Ascent Hospitality Tribute Carmel Indiana</t>
  </si>
  <si>
    <t>HOME2 SOMERSET</t>
  </si>
  <si>
    <t>Mesquite Gaming</t>
  </si>
  <si>
    <t>36681/10</t>
  </si>
  <si>
    <t>36681/9</t>
  </si>
  <si>
    <t>36782/2</t>
  </si>
  <si>
    <t>36782/4</t>
  </si>
  <si>
    <t>36786/3</t>
  </si>
  <si>
    <t>37676/4</t>
  </si>
  <si>
    <t>37677/3</t>
  </si>
  <si>
    <t>37678/3</t>
  </si>
  <si>
    <t>37678/7</t>
  </si>
  <si>
    <t>37683/10</t>
  </si>
  <si>
    <t>37683/9</t>
  </si>
  <si>
    <t>37688/3</t>
  </si>
  <si>
    <t>37690/2</t>
  </si>
  <si>
    <t>37697/4</t>
  </si>
  <si>
    <t>37698/3</t>
  </si>
  <si>
    <t>38251/3</t>
  </si>
  <si>
    <t>38251/5</t>
  </si>
  <si>
    <t>38252/2</t>
  </si>
  <si>
    <t>38253/2</t>
  </si>
  <si>
    <t>33948/4</t>
  </si>
  <si>
    <t>33951/5</t>
  </si>
  <si>
    <t>37685/5</t>
  </si>
  <si>
    <t>38204/2</t>
  </si>
  <si>
    <t>White River Flooring, Inc.</t>
  </si>
  <si>
    <t>35795/2</t>
  </si>
  <si>
    <t>38403/5</t>
  </si>
  <si>
    <t>33565/11</t>
  </si>
  <si>
    <t>33565/12</t>
  </si>
  <si>
    <t>33566/7</t>
  </si>
  <si>
    <t>33566/9</t>
  </si>
  <si>
    <t>33569/4</t>
  </si>
  <si>
    <t>33569/5</t>
  </si>
  <si>
    <t>33575/6</t>
  </si>
  <si>
    <t>33945/4</t>
  </si>
  <si>
    <t>33946/3</t>
  </si>
  <si>
    <t>33948/5</t>
  </si>
  <si>
    <t>33950/2</t>
  </si>
  <si>
    <t>33950/8</t>
  </si>
  <si>
    <t>33951/6</t>
  </si>
  <si>
    <t>33958/4</t>
  </si>
  <si>
    <t>33959/8</t>
  </si>
  <si>
    <t>36456/6</t>
  </si>
  <si>
    <t>Wingate by Wyndham / Indianapolis</t>
  </si>
  <si>
    <t>38391/9</t>
  </si>
  <si>
    <t>33950/13</t>
  </si>
  <si>
    <t>37092/3</t>
  </si>
  <si>
    <t>La Quinta San Antonio 1</t>
  </si>
  <si>
    <t>37412/3</t>
  </si>
  <si>
    <t>38643/3</t>
  </si>
  <si>
    <t>Mehr Consultancy</t>
  </si>
  <si>
    <t>33951/7</t>
  </si>
  <si>
    <t>34411/3</t>
  </si>
  <si>
    <t>35309/2</t>
  </si>
  <si>
    <t>36801/5</t>
  </si>
  <si>
    <t>Hometown Inn &amp; Suites, Memphis TN</t>
  </si>
  <si>
    <t>36913/5</t>
  </si>
  <si>
    <t>Ascent hospitality Towneplace West Lafayette IN</t>
  </si>
  <si>
    <t>38206/2</t>
  </si>
  <si>
    <t>38724/2</t>
  </si>
  <si>
    <t>CAMARATA MASONRY SYSTEMS</t>
  </si>
  <si>
    <t>First Capital Advisors</t>
  </si>
  <si>
    <t>31154/2</t>
  </si>
  <si>
    <t>31461/9</t>
  </si>
  <si>
    <t>Urban Atelier Group LLC</t>
  </si>
  <si>
    <t>31464/7</t>
  </si>
  <si>
    <t>31651/6</t>
  </si>
  <si>
    <t>31762/6</t>
  </si>
  <si>
    <t>Fyffe Construction CO/ LaQuinta Manchester</t>
  </si>
  <si>
    <t>31847/4</t>
  </si>
  <si>
    <t>Homewood Suites Beaumont</t>
  </si>
  <si>
    <t>31877/6</t>
  </si>
  <si>
    <t>31877/7</t>
  </si>
  <si>
    <t>32086/21</t>
  </si>
  <si>
    <t>32302/9</t>
  </si>
  <si>
    <t>Grand Sierra Resort &amp; Casino</t>
  </si>
  <si>
    <t>32388/4</t>
  </si>
  <si>
    <t>Ascent Hospitality- Autograph Montogmery</t>
  </si>
  <si>
    <t>32401/5</t>
  </si>
  <si>
    <t>Sunbridge Venetian LP Inc.</t>
  </si>
  <si>
    <t>32521/4</t>
  </si>
  <si>
    <t>CAPITOL HOTEL NASHVILLE/Dan</t>
  </si>
  <si>
    <t>32691/2</t>
  </si>
  <si>
    <t>La Quinta, Huntsville AL</t>
  </si>
  <si>
    <t>32807/12</t>
  </si>
  <si>
    <t>Marriott Fairfield Harrisburg PA</t>
  </si>
  <si>
    <t>32807/13</t>
  </si>
  <si>
    <t>32847/2</t>
  </si>
  <si>
    <t>LA QUINTA MODEL ROOM / GV HEADQUARTERS, HOUSTON</t>
  </si>
  <si>
    <t>32888/4</t>
  </si>
  <si>
    <t>32981/4</t>
  </si>
  <si>
    <t>LAQUINTA YUMA AZ</t>
  </si>
  <si>
    <t>32983/14</t>
  </si>
  <si>
    <t>33025/7</t>
  </si>
  <si>
    <t>Courtyard Navy Yard, Philadelphia</t>
  </si>
  <si>
    <t>33025/8</t>
  </si>
  <si>
    <t>33257/20</t>
  </si>
  <si>
    <t>33309/14</t>
  </si>
  <si>
    <t>CAMBRIA NASHVILLE</t>
  </si>
  <si>
    <t>33309/15</t>
  </si>
  <si>
    <t>33314/24</t>
  </si>
  <si>
    <t>33314/25</t>
  </si>
  <si>
    <t>33315/10</t>
  </si>
  <si>
    <t>33343/9</t>
  </si>
  <si>
    <t>Laquinta Memphis</t>
  </si>
  <si>
    <t>33374/14</t>
  </si>
  <si>
    <t>Las Vegas Resort Holdings, LLC</t>
  </si>
  <si>
    <t>33374/15</t>
  </si>
  <si>
    <t>33385/8</t>
  </si>
  <si>
    <t>LQ Kingston</t>
  </si>
  <si>
    <t>33385/9</t>
  </si>
  <si>
    <t>33390/3</t>
  </si>
  <si>
    <t>CORNER STONE FLOORING COMPANIES</t>
  </si>
  <si>
    <t>33472/12</t>
  </si>
  <si>
    <t>La Quinta -Madison WI -Savan Patel</t>
  </si>
  <si>
    <t>33478/9</t>
  </si>
  <si>
    <t>33495/8</t>
  </si>
  <si>
    <t>33539/10</t>
  </si>
  <si>
    <t>33558/11</t>
  </si>
  <si>
    <t>33560/4</t>
  </si>
  <si>
    <t>33562/5</t>
  </si>
  <si>
    <t>33570/6</t>
  </si>
  <si>
    <t>33644/4</t>
  </si>
  <si>
    <t>33725/11</t>
  </si>
  <si>
    <t>33760/3</t>
  </si>
  <si>
    <t>Angles Contractor, INC./Carlton Apartments</t>
  </si>
  <si>
    <t>33853/3</t>
  </si>
  <si>
    <t>Nandas Holding Ltd.c/o Sunray Group</t>
  </si>
  <si>
    <t>33856/7</t>
  </si>
  <si>
    <t>33884/4</t>
  </si>
  <si>
    <t>33948/7</t>
  </si>
  <si>
    <t>33950/14</t>
  </si>
  <si>
    <t>33950/15</t>
  </si>
  <si>
    <t>33951/8</t>
  </si>
  <si>
    <t>33953/5</t>
  </si>
  <si>
    <t>33959/9</t>
  </si>
  <si>
    <t>33967/2</t>
  </si>
  <si>
    <t>33974/7</t>
  </si>
  <si>
    <t>The Stroud Group</t>
  </si>
  <si>
    <t>34012/3</t>
  </si>
  <si>
    <t>34012/4</t>
  </si>
  <si>
    <t>34013/9</t>
  </si>
  <si>
    <t>34036/5</t>
  </si>
  <si>
    <t>34063/5</t>
  </si>
  <si>
    <t>Laquinta Homewood Alabama</t>
  </si>
  <si>
    <t>34067/3</t>
  </si>
  <si>
    <t>34113/3</t>
  </si>
  <si>
    <t>34170/5</t>
  </si>
  <si>
    <t>34170/6</t>
  </si>
  <si>
    <t>34171/5</t>
  </si>
  <si>
    <t>34173/3</t>
  </si>
  <si>
    <t>34173/4</t>
  </si>
  <si>
    <t>34294/12</t>
  </si>
  <si>
    <t>34363/10</t>
  </si>
  <si>
    <t>Hampton Inn &amp; Suites Enterprise,AL</t>
  </si>
  <si>
    <t>34363/9</t>
  </si>
  <si>
    <t>34402/9</t>
  </si>
  <si>
    <t>34405/2</t>
  </si>
  <si>
    <t>34443/9</t>
  </si>
  <si>
    <t>Stay Bridge - Manteca - CA - Aman Dhillon</t>
  </si>
  <si>
    <t>34445/2</t>
  </si>
  <si>
    <t>34445/3</t>
  </si>
  <si>
    <t>34449/2</t>
  </si>
  <si>
    <t>34452/4</t>
  </si>
  <si>
    <t>34479/4</t>
  </si>
  <si>
    <t>Jaimin Patel</t>
  </si>
  <si>
    <t>34482/2</t>
  </si>
  <si>
    <t>34502/8</t>
  </si>
  <si>
    <t>The Eden</t>
  </si>
  <si>
    <t>34502/9</t>
  </si>
  <si>
    <t>34514/4</t>
  </si>
  <si>
    <t>Kanti kusum Inc</t>
  </si>
  <si>
    <t>34521/6</t>
  </si>
  <si>
    <t>34559/10</t>
  </si>
  <si>
    <t>HAMPTON INN PEARLAND</t>
  </si>
  <si>
    <t>34559/11</t>
  </si>
  <si>
    <t>34559/8</t>
  </si>
  <si>
    <t>34559/9</t>
  </si>
  <si>
    <t>34560/2</t>
  </si>
  <si>
    <t>34601/2</t>
  </si>
  <si>
    <t>34602/10</t>
  </si>
  <si>
    <t>34602/11</t>
  </si>
  <si>
    <t>34611/3</t>
  </si>
  <si>
    <t>Acoya South Bay</t>
  </si>
  <si>
    <t>34640/2</t>
  </si>
  <si>
    <t>EXPOSED DESIGN GROUP</t>
  </si>
  <si>
    <t>34649/3</t>
  </si>
  <si>
    <t>34657/6</t>
  </si>
  <si>
    <t>34658/3</t>
  </si>
  <si>
    <t>34660/11</t>
  </si>
  <si>
    <t>34660/12</t>
  </si>
  <si>
    <t>34660/13</t>
  </si>
  <si>
    <t>BMK Construction LLC</t>
  </si>
  <si>
    <t>34697/19</t>
  </si>
  <si>
    <t>34697/20</t>
  </si>
  <si>
    <t>34697/21</t>
  </si>
  <si>
    <t>34697/22</t>
  </si>
  <si>
    <t>34697/23</t>
  </si>
  <si>
    <t>34697/24</t>
  </si>
  <si>
    <t>34697/25</t>
  </si>
  <si>
    <t>34697/26</t>
  </si>
  <si>
    <t>34697/27</t>
  </si>
  <si>
    <t>34699/2</t>
  </si>
  <si>
    <t>CCMH Metro Center LLC</t>
  </si>
  <si>
    <t>34731/3</t>
  </si>
  <si>
    <t>WYNDHAM D&amp;C CONFERENCE BOOTH / WYNDHAM BRAND</t>
  </si>
  <si>
    <t>34758/7</t>
  </si>
  <si>
    <t>34758/8</t>
  </si>
  <si>
    <t>34807/10</t>
  </si>
  <si>
    <t>La Quinta by Wyndham Dallas DFW Airport N</t>
  </si>
  <si>
    <t>34807/11</t>
  </si>
  <si>
    <t>34809/16</t>
  </si>
  <si>
    <t>34843/6</t>
  </si>
  <si>
    <t>Sunray Group / Holiday Inn Burlington Hotel &amp; Conference Centre CANADA</t>
  </si>
  <si>
    <t>34853/5</t>
  </si>
  <si>
    <t>34853/6</t>
  </si>
  <si>
    <t>34913/2</t>
  </si>
  <si>
    <t>Wingate/ Hawthorne Kingman</t>
  </si>
  <si>
    <t>34916/3</t>
  </si>
  <si>
    <t>34970/3</t>
  </si>
  <si>
    <t>35012/12</t>
  </si>
  <si>
    <t>35057/6</t>
  </si>
  <si>
    <t>Devkrupa Hospitality Inc</t>
  </si>
  <si>
    <t>35065/7</t>
  </si>
  <si>
    <t>35066/2</t>
  </si>
  <si>
    <t>35082/6</t>
  </si>
  <si>
    <t>35101/10</t>
  </si>
  <si>
    <t>Sonder</t>
  </si>
  <si>
    <t>35101/9</t>
  </si>
  <si>
    <t>35103/7</t>
  </si>
  <si>
    <t>THE TD GROUP</t>
  </si>
  <si>
    <t>35113/2</t>
  </si>
  <si>
    <t>Layered Dimensions Interior Design</t>
  </si>
  <si>
    <t>35121/3</t>
  </si>
  <si>
    <t>LAQUINTA TRINIDAD CO</t>
  </si>
  <si>
    <t>35139/2</t>
  </si>
  <si>
    <t>La Quinta Brookshire TX</t>
  </si>
  <si>
    <t>35162/3</t>
  </si>
  <si>
    <t>La Quinta Inn - Sarasota FL - Raj Mukkirla</t>
  </si>
  <si>
    <t>35170/6</t>
  </si>
  <si>
    <t>ECHO SUITES /MCP Development, Inc</t>
  </si>
  <si>
    <t>35224/2</t>
  </si>
  <si>
    <t>35234/3</t>
  </si>
  <si>
    <t>35235/5</t>
  </si>
  <si>
    <t>35235/6</t>
  </si>
  <si>
    <t>35235/7</t>
  </si>
  <si>
    <t>35235/8</t>
  </si>
  <si>
    <t>35266/14</t>
  </si>
  <si>
    <t>35266/15</t>
  </si>
  <si>
    <t>35289/5</t>
  </si>
  <si>
    <t>35309/3</t>
  </si>
  <si>
    <t>35322/10</t>
  </si>
  <si>
    <t>35322/11</t>
  </si>
  <si>
    <t>35327/5</t>
  </si>
  <si>
    <t>Candlewood Suites -Columbus,Oh-Kautilya group</t>
  </si>
  <si>
    <t>35333/7</t>
  </si>
  <si>
    <t>35336/4</t>
  </si>
  <si>
    <t>35349/14</t>
  </si>
  <si>
    <t>35349/2</t>
  </si>
  <si>
    <t>35392/5</t>
  </si>
  <si>
    <t>HOME 2 SUITES - Lake Jackson, TX</t>
  </si>
  <si>
    <t>35399/10</t>
  </si>
  <si>
    <t>35431/8</t>
  </si>
  <si>
    <t>35438/5</t>
  </si>
  <si>
    <t>35438/6</t>
  </si>
  <si>
    <t>35440/8</t>
  </si>
  <si>
    <t>35441/9</t>
  </si>
  <si>
    <t>35446/5</t>
  </si>
  <si>
    <t>35485/5</t>
  </si>
  <si>
    <t>Interstate Construction Corp</t>
  </si>
  <si>
    <t>35492/5</t>
  </si>
  <si>
    <t>Krushiker Hospitality Group, Inc/ Homewood Suites- Fayetteville, AR</t>
  </si>
  <si>
    <t>35497/4</t>
  </si>
  <si>
    <t>35501/12</t>
  </si>
  <si>
    <t>35545/3</t>
  </si>
  <si>
    <t>Wingate Owensboro_KY</t>
  </si>
  <si>
    <t>35595/7</t>
  </si>
  <si>
    <t>35597/4</t>
  </si>
  <si>
    <t>35599/9</t>
  </si>
  <si>
    <t>35602/8</t>
  </si>
  <si>
    <t>35606/2</t>
  </si>
  <si>
    <t>35606/4</t>
  </si>
  <si>
    <t>35611/13</t>
  </si>
  <si>
    <t>35611/14</t>
  </si>
  <si>
    <t>35611/15</t>
  </si>
  <si>
    <t>35614/10</t>
  </si>
  <si>
    <t>Wyndham Garden Newark</t>
  </si>
  <si>
    <t>35620/10</t>
  </si>
  <si>
    <t>35620/6</t>
  </si>
  <si>
    <t>35620/7</t>
  </si>
  <si>
    <t>35620/8</t>
  </si>
  <si>
    <t>35620/9</t>
  </si>
  <si>
    <t>35654/5</t>
  </si>
  <si>
    <t>Wyndham Trademark Fredericksburg</t>
  </si>
  <si>
    <t>35654/6</t>
  </si>
  <si>
    <t>35654/7</t>
  </si>
  <si>
    <t>35698/3</t>
  </si>
  <si>
    <t>Ascent hospitality Home2 West Lafayette IN</t>
  </si>
  <si>
    <t>35711/5</t>
  </si>
  <si>
    <t>Ascent hospitality Home2 Suites Fairburn GA</t>
  </si>
  <si>
    <t>35727/2</t>
  </si>
  <si>
    <t>35728/11</t>
  </si>
  <si>
    <t>35756/4</t>
  </si>
  <si>
    <t>35763/5</t>
  </si>
  <si>
    <t>35772/5</t>
  </si>
  <si>
    <t>35784/4</t>
  </si>
  <si>
    <t>35785/3</t>
  </si>
  <si>
    <t>Ritzway Group, LLC / Crowne Plaza Galleria Area</t>
  </si>
  <si>
    <t>35796/4</t>
  </si>
  <si>
    <t>35796/5</t>
  </si>
  <si>
    <t>35797/3</t>
  </si>
  <si>
    <t>35797/4</t>
  </si>
  <si>
    <t>35799/5</t>
  </si>
  <si>
    <t>35799/6</t>
  </si>
  <si>
    <t>35800/4</t>
  </si>
  <si>
    <t>35804/5</t>
  </si>
  <si>
    <t>35807/3</t>
  </si>
  <si>
    <t>35807/4</t>
  </si>
  <si>
    <t>35808/3</t>
  </si>
  <si>
    <t>35808/4</t>
  </si>
  <si>
    <t>35809/3</t>
  </si>
  <si>
    <t>35809/4</t>
  </si>
  <si>
    <t>35811/2</t>
  </si>
  <si>
    <t>35812/3</t>
  </si>
  <si>
    <t>35812/4</t>
  </si>
  <si>
    <t>35812/5</t>
  </si>
  <si>
    <t>35813/2</t>
  </si>
  <si>
    <t>35813/3</t>
  </si>
  <si>
    <t>35912/6</t>
  </si>
  <si>
    <t>35940/4</t>
  </si>
  <si>
    <t>La Quinta Hawthorn - DeSoto,TX</t>
  </si>
  <si>
    <t>35942/8</t>
  </si>
  <si>
    <t>35949/5</t>
  </si>
  <si>
    <t>35957/8</t>
  </si>
  <si>
    <t>35959/10</t>
  </si>
  <si>
    <t>35959/11</t>
  </si>
  <si>
    <t>36008/8</t>
  </si>
  <si>
    <t>LaQuinta Inn Pharr TX</t>
  </si>
  <si>
    <t>36008/9</t>
  </si>
  <si>
    <t>36016/3</t>
  </si>
  <si>
    <t>36016/4</t>
  </si>
  <si>
    <t>36016/5</t>
  </si>
  <si>
    <t>36016/6</t>
  </si>
  <si>
    <t>36016/7</t>
  </si>
  <si>
    <t>36016/8</t>
  </si>
  <si>
    <t>36016/9</t>
  </si>
  <si>
    <t>36048/4</t>
  </si>
  <si>
    <t>LaQuinta - Stafford - TX</t>
  </si>
  <si>
    <t>36072/7</t>
  </si>
  <si>
    <t>36072/8</t>
  </si>
  <si>
    <t>36073/10</t>
  </si>
  <si>
    <t>Yale Tile &amp; Stone, LLC</t>
  </si>
  <si>
    <t>36073/11</t>
  </si>
  <si>
    <t>36073/12</t>
  </si>
  <si>
    <t>36081/2</t>
  </si>
  <si>
    <t>36081/3</t>
  </si>
  <si>
    <t>36095/2</t>
  </si>
  <si>
    <t>36096/5</t>
  </si>
  <si>
    <t>335 8th Avenue</t>
  </si>
  <si>
    <t>36096/7</t>
  </si>
  <si>
    <t>36096/8</t>
  </si>
  <si>
    <t>36096/9</t>
  </si>
  <si>
    <t>36133/8</t>
  </si>
  <si>
    <t>Wingate by Wyndham-Farmington, NM.</t>
  </si>
  <si>
    <t>36155/3</t>
  </si>
  <si>
    <t>36155/4</t>
  </si>
  <si>
    <t>36158/3</t>
  </si>
  <si>
    <t>36158/4</t>
  </si>
  <si>
    <t>36162/5</t>
  </si>
  <si>
    <t>CANDLEWOOD - PERRYSBERG</t>
  </si>
  <si>
    <t>36199/11</t>
  </si>
  <si>
    <t>Pinnacle Hospitality Partners / Hilton Garden inn Nashville</t>
  </si>
  <si>
    <t>36234/2</t>
  </si>
  <si>
    <t>36237/2</t>
  </si>
  <si>
    <t>36240/5</t>
  </si>
  <si>
    <t>36240/6</t>
  </si>
  <si>
    <t>36240/7</t>
  </si>
  <si>
    <t>36247/2</t>
  </si>
  <si>
    <t>36247/3</t>
  </si>
  <si>
    <t>36247/4</t>
  </si>
  <si>
    <t>36316/5</t>
  </si>
  <si>
    <t>LA QUINTA SHONTO AZ</t>
  </si>
  <si>
    <t>36317/2</t>
  </si>
  <si>
    <t>36327/8</t>
  </si>
  <si>
    <t>36327/9</t>
  </si>
  <si>
    <t>36329/4</t>
  </si>
  <si>
    <t>36333/5</t>
  </si>
  <si>
    <t>36363/2</t>
  </si>
  <si>
    <t>Hampton Inn Katy TX</t>
  </si>
  <si>
    <t>36365/4</t>
  </si>
  <si>
    <t>36373/8</t>
  </si>
  <si>
    <t>36417/11</t>
  </si>
  <si>
    <t>CPNA Management &amp; Services Inc.</t>
  </si>
  <si>
    <t>36432/8</t>
  </si>
  <si>
    <t>36456/8</t>
  </si>
  <si>
    <t>36465/3</t>
  </si>
  <si>
    <t>Guru Krishna Corporation</t>
  </si>
  <si>
    <t>36465/4</t>
  </si>
  <si>
    <t>36465/5</t>
  </si>
  <si>
    <t>36469/3</t>
  </si>
  <si>
    <t>36469/4</t>
  </si>
  <si>
    <t>36473/6</t>
  </si>
  <si>
    <t>36488/7</t>
  </si>
  <si>
    <t>Hilton Garden Inn Nashville</t>
  </si>
  <si>
    <t>36489/2</t>
  </si>
  <si>
    <t>36501/3</t>
  </si>
  <si>
    <t>36504/4</t>
  </si>
  <si>
    <t>36505/6</t>
  </si>
  <si>
    <t>Nancy Paolino</t>
  </si>
  <si>
    <t>36520/3</t>
  </si>
  <si>
    <t>36569/6</t>
  </si>
  <si>
    <t>36571/5</t>
  </si>
  <si>
    <t>36574/2</t>
  </si>
  <si>
    <t>36575/5</t>
  </si>
  <si>
    <t>36582/7</t>
  </si>
  <si>
    <t>36582/8</t>
  </si>
  <si>
    <t>36583/7</t>
  </si>
  <si>
    <t>36585/5</t>
  </si>
  <si>
    <t>36647/3</t>
  </si>
  <si>
    <t>SUPREME BRIGHT ATLANTIC CITY LLC (TRIBUTE SEAHAUS)</t>
  </si>
  <si>
    <t>36649/3</t>
  </si>
  <si>
    <t>36654/2</t>
  </si>
  <si>
    <t>36660/4</t>
  </si>
  <si>
    <t>36674/4</t>
  </si>
  <si>
    <t>36677/4</t>
  </si>
  <si>
    <t>36681/11</t>
  </si>
  <si>
    <t>36703/2</t>
  </si>
  <si>
    <t>COURY HOSPITALITY (TRIBUTE SEAHAUS)</t>
  </si>
  <si>
    <t>36705/2</t>
  </si>
  <si>
    <t>36716/4</t>
  </si>
  <si>
    <t>36719/3</t>
  </si>
  <si>
    <t>36720/5</t>
  </si>
  <si>
    <t>36721/3</t>
  </si>
  <si>
    <t>36724/2</t>
  </si>
  <si>
    <t>36727/10</t>
  </si>
  <si>
    <t>36727/9</t>
  </si>
  <si>
    <t>36729/2</t>
  </si>
  <si>
    <t>36734/2</t>
  </si>
  <si>
    <t>36737/5</t>
  </si>
  <si>
    <t>36740/10</t>
  </si>
  <si>
    <t>36740/11</t>
  </si>
  <si>
    <t>36740/12</t>
  </si>
  <si>
    <t>36755/10</t>
  </si>
  <si>
    <t>36762/11</t>
  </si>
  <si>
    <t>36763/6</t>
  </si>
  <si>
    <t>36765/4</t>
  </si>
  <si>
    <t>36766/4</t>
  </si>
  <si>
    <t>36771/2</t>
  </si>
  <si>
    <t>Swift DBM LLC</t>
  </si>
  <si>
    <t>36771/3</t>
  </si>
  <si>
    <t>36782/5</t>
  </si>
  <si>
    <t>36793/10</t>
  </si>
  <si>
    <t>36793/11</t>
  </si>
  <si>
    <t>36799/7</t>
  </si>
  <si>
    <t>36803/10</t>
  </si>
  <si>
    <t>36803/9</t>
  </si>
  <si>
    <t>36870/13</t>
  </si>
  <si>
    <t>Comfort Inn, Rebrand, Princeton IL</t>
  </si>
  <si>
    <t>36870/14</t>
  </si>
  <si>
    <t>36871/5</t>
  </si>
  <si>
    <t>36883/2</t>
  </si>
  <si>
    <t>36903/8</t>
  </si>
  <si>
    <t>36904/7</t>
  </si>
  <si>
    <t>36904/8</t>
  </si>
  <si>
    <t>36910/3</t>
  </si>
  <si>
    <t>36910/4</t>
  </si>
  <si>
    <t>36915/3</t>
  </si>
  <si>
    <t>36919/14</t>
  </si>
  <si>
    <t>36919/15</t>
  </si>
  <si>
    <t>36919/16</t>
  </si>
  <si>
    <t>36919/17</t>
  </si>
  <si>
    <t>36920/5</t>
  </si>
  <si>
    <t>36931/3</t>
  </si>
  <si>
    <t>New Rock Tile</t>
  </si>
  <si>
    <t>36942/15</t>
  </si>
  <si>
    <t>36943/2</t>
  </si>
  <si>
    <t>36952/3</t>
  </si>
  <si>
    <t>Wingate - Erlanger, KY</t>
  </si>
  <si>
    <t>36965/8</t>
  </si>
  <si>
    <t>36990/11</t>
  </si>
  <si>
    <t>37006/15</t>
  </si>
  <si>
    <t>37006/16</t>
  </si>
  <si>
    <t>37006/17</t>
  </si>
  <si>
    <t>37006/18</t>
  </si>
  <si>
    <t>37006/19</t>
  </si>
  <si>
    <t>37054/4</t>
  </si>
  <si>
    <t>37060/10</t>
  </si>
  <si>
    <t>37060/11</t>
  </si>
  <si>
    <t>37060/12</t>
  </si>
  <si>
    <t>37060/8</t>
  </si>
  <si>
    <t>37060/9</t>
  </si>
  <si>
    <t>37071/2</t>
  </si>
  <si>
    <t>Milender-White</t>
  </si>
  <si>
    <t>37073/13</t>
  </si>
  <si>
    <t>Wyndham Garden Romulus Detroit Metro Airport</t>
  </si>
  <si>
    <t>37086/3</t>
  </si>
  <si>
    <t>37092/4</t>
  </si>
  <si>
    <t>37108/8</t>
  </si>
  <si>
    <t>37149/6</t>
  </si>
  <si>
    <t>Sea Glass Beach Place LLC</t>
  </si>
  <si>
    <t>37153/4</t>
  </si>
  <si>
    <t>37156/4</t>
  </si>
  <si>
    <t>37213/5</t>
  </si>
  <si>
    <t>37228/6</t>
  </si>
  <si>
    <t>TOWNEPLACE SUITES - OKC</t>
  </si>
  <si>
    <t>37229/16</t>
  </si>
  <si>
    <t>37229/17</t>
  </si>
  <si>
    <t>37229/18</t>
  </si>
  <si>
    <t>37239/2</t>
  </si>
  <si>
    <t>37260/22</t>
  </si>
  <si>
    <t>37260/23</t>
  </si>
  <si>
    <t>37260/24</t>
  </si>
  <si>
    <t>37260/25</t>
  </si>
  <si>
    <t>37260/26</t>
  </si>
  <si>
    <t>37271/15</t>
  </si>
  <si>
    <t>37279/4</t>
  </si>
  <si>
    <t>37280/11</t>
  </si>
  <si>
    <t>37281/3</t>
  </si>
  <si>
    <t>37289/11</t>
  </si>
  <si>
    <t>37289/12</t>
  </si>
  <si>
    <t>37290/3</t>
  </si>
  <si>
    <t>37296/5</t>
  </si>
  <si>
    <t>37304/3</t>
  </si>
  <si>
    <t>Wingate by Wyndham Pueblo CO.</t>
  </si>
  <si>
    <t>37304/4</t>
  </si>
  <si>
    <t>37311/5</t>
  </si>
  <si>
    <t>37356/4</t>
  </si>
  <si>
    <t>37365/3</t>
  </si>
  <si>
    <t>37373/2</t>
  </si>
  <si>
    <t>AFP 103 Corp</t>
  </si>
  <si>
    <t>37467/10</t>
  </si>
  <si>
    <t>37468/2</t>
  </si>
  <si>
    <t>37470/5</t>
  </si>
  <si>
    <t>37472/5</t>
  </si>
  <si>
    <t>37478/4</t>
  </si>
  <si>
    <t>Best Western Premiere / Colorado Hospitality</t>
  </si>
  <si>
    <t>37598/7</t>
  </si>
  <si>
    <t>Fairfield Inn - Indianapolis</t>
  </si>
  <si>
    <t>37599/5</t>
  </si>
  <si>
    <t>37606/14</t>
  </si>
  <si>
    <t>37608/3</t>
  </si>
  <si>
    <t>37611/5</t>
  </si>
  <si>
    <t>37611/6</t>
  </si>
  <si>
    <t>37614/5</t>
  </si>
  <si>
    <t>The DOI Residence/ DEAZLY INC.</t>
  </si>
  <si>
    <t>37614/6</t>
  </si>
  <si>
    <t>37627/4</t>
  </si>
  <si>
    <t>Brighter Vision Group, LP</t>
  </si>
  <si>
    <t>37656/2</t>
  </si>
  <si>
    <t>Staybridge Suites c/o Ravi Designs</t>
  </si>
  <si>
    <t>37676/6</t>
  </si>
  <si>
    <t>37679/2</t>
  </si>
  <si>
    <t>37680/11</t>
  </si>
  <si>
    <t>37680/12</t>
  </si>
  <si>
    <t>37692/7</t>
  </si>
  <si>
    <t>37692/8</t>
  </si>
  <si>
    <t>37692/9</t>
  </si>
  <si>
    <t>37696/3</t>
  </si>
  <si>
    <t>37726/2</t>
  </si>
  <si>
    <t>Hawthorn Suites.</t>
  </si>
  <si>
    <t>37746/4</t>
  </si>
  <si>
    <t>Lynden Hospitality 2, LLC</t>
  </si>
  <si>
    <t>37767/6</t>
  </si>
  <si>
    <t>Residence Inn Indianapolis,IN</t>
  </si>
  <si>
    <t>37769/8</t>
  </si>
  <si>
    <t>37769/9</t>
  </si>
  <si>
    <t>37772/6</t>
  </si>
  <si>
    <t>37779/3</t>
  </si>
  <si>
    <t>37781/11</t>
  </si>
  <si>
    <t>37781/12</t>
  </si>
  <si>
    <t>37783/4</t>
  </si>
  <si>
    <t>37832/2</t>
  </si>
  <si>
    <t>37855/10</t>
  </si>
  <si>
    <t>APD Construction - The Place</t>
  </si>
  <si>
    <t>37855/11</t>
  </si>
  <si>
    <t>37865/8</t>
  </si>
  <si>
    <t>The Place Port Aransas TX</t>
  </si>
  <si>
    <t>37865/9</t>
  </si>
  <si>
    <t>37876/4</t>
  </si>
  <si>
    <t>La Quinta Inn Richmond</t>
  </si>
  <si>
    <t>37880/3</t>
  </si>
  <si>
    <t>37880/4</t>
  </si>
  <si>
    <t>37881/4</t>
  </si>
  <si>
    <t>37881/5</t>
  </si>
  <si>
    <t>37904/5</t>
  </si>
  <si>
    <t>37906/11</t>
  </si>
  <si>
    <t>37906/12</t>
  </si>
  <si>
    <t>37906/13</t>
  </si>
  <si>
    <t>37913/4</t>
  </si>
  <si>
    <t>Someshwar Motel LLC - Comfort Inn Ogallala, NE</t>
  </si>
  <si>
    <t>37914/7</t>
  </si>
  <si>
    <t>37914/8</t>
  </si>
  <si>
    <t>37915/7</t>
  </si>
  <si>
    <t>37920/3</t>
  </si>
  <si>
    <t>37923/5</t>
  </si>
  <si>
    <t>37924/3</t>
  </si>
  <si>
    <t>37947/10</t>
  </si>
  <si>
    <t>Supreme Bright Westlake I LLC</t>
  </si>
  <si>
    <t>37962/5</t>
  </si>
  <si>
    <t>Ritzway Group, LLC / Sheraton Columbus</t>
  </si>
  <si>
    <t>37967/8</t>
  </si>
  <si>
    <t>AUTOGRAPH TRILOGY HUNTSVILLE AL</t>
  </si>
  <si>
    <t>37970/11</t>
  </si>
  <si>
    <t>37970/12</t>
  </si>
  <si>
    <t>37970/13</t>
  </si>
  <si>
    <t>37976/12</t>
  </si>
  <si>
    <t>37976/13</t>
  </si>
  <si>
    <t>37976/14</t>
  </si>
  <si>
    <t>37991/6</t>
  </si>
  <si>
    <t>AJA Investments LLC/ Wyndham Lake Charles</t>
  </si>
  <si>
    <t>37994/5</t>
  </si>
  <si>
    <t>38002/8</t>
  </si>
  <si>
    <t>38024/2</t>
  </si>
  <si>
    <t>UPNEXT HOSPITALITY - STAYBRIDGE</t>
  </si>
  <si>
    <t>SUBLIME CUSTOM STONE</t>
  </si>
  <si>
    <t>38036/13</t>
  </si>
  <si>
    <t>38044/4</t>
  </si>
  <si>
    <t>38045/4</t>
  </si>
  <si>
    <t>38047/20</t>
  </si>
  <si>
    <t>38047/21</t>
  </si>
  <si>
    <t>38064/4</t>
  </si>
  <si>
    <t>Hotel Beacon NYC</t>
  </si>
  <si>
    <t>38064/5</t>
  </si>
  <si>
    <t>38064/6</t>
  </si>
  <si>
    <t>38073/3</t>
  </si>
  <si>
    <t>38082/5</t>
  </si>
  <si>
    <t>HIGHLAND STORES LLC-CIC</t>
  </si>
  <si>
    <t>38083/2</t>
  </si>
  <si>
    <t>38097/6</t>
  </si>
  <si>
    <t>Ramada Plaza Resort &amp; Suites Orlando/ MIC Hotel Corp</t>
  </si>
  <si>
    <t>38099/2</t>
  </si>
  <si>
    <t>38141/12</t>
  </si>
  <si>
    <t>A-1 Clackamas LLC</t>
  </si>
  <si>
    <t>38141/13</t>
  </si>
  <si>
    <t>38141/14</t>
  </si>
  <si>
    <t>38141/15</t>
  </si>
  <si>
    <t>38141/16</t>
  </si>
  <si>
    <t>38142/3</t>
  </si>
  <si>
    <t>38145/3</t>
  </si>
  <si>
    <t>38145/4</t>
  </si>
  <si>
    <t>38146/2</t>
  </si>
  <si>
    <t>38154/2</t>
  </si>
  <si>
    <t>38168/2</t>
  </si>
  <si>
    <t>38173/5</t>
  </si>
  <si>
    <t>38181/4</t>
  </si>
  <si>
    <t>SWINERTON</t>
  </si>
  <si>
    <t>38181/5</t>
  </si>
  <si>
    <t>38193/7</t>
  </si>
  <si>
    <t>38202/4</t>
  </si>
  <si>
    <t>38202/5</t>
  </si>
  <si>
    <t>38203/8</t>
  </si>
  <si>
    <t>38212/9</t>
  </si>
  <si>
    <t>38219/5</t>
  </si>
  <si>
    <t>Super 8 motel - TN.</t>
  </si>
  <si>
    <t>38238/5</t>
  </si>
  <si>
    <t>38239/6</t>
  </si>
  <si>
    <t>38239/7</t>
  </si>
  <si>
    <t>38243/2</t>
  </si>
  <si>
    <t>Body Harmony (Anthony Buck)</t>
  </si>
  <si>
    <t>38251/6</t>
  </si>
  <si>
    <t>38253/3</t>
  </si>
  <si>
    <t>38256/2</t>
  </si>
  <si>
    <t>38257/2</t>
  </si>
  <si>
    <t>38258/3</t>
  </si>
  <si>
    <t>38258/4</t>
  </si>
  <si>
    <t>38259/3</t>
  </si>
  <si>
    <t>38259/4</t>
  </si>
  <si>
    <t>38263/2</t>
  </si>
  <si>
    <t>38264/4</t>
  </si>
  <si>
    <t>38273/16</t>
  </si>
  <si>
    <t>38273/17</t>
  </si>
  <si>
    <t>38278/5</t>
  </si>
  <si>
    <t>Innovation Hospitality Purveyors</t>
  </si>
  <si>
    <t>38282/11</t>
  </si>
  <si>
    <t>Fairfield Inn Gadsden AL</t>
  </si>
  <si>
    <t>38296/5</t>
  </si>
  <si>
    <t>38296/6</t>
  </si>
  <si>
    <t>38297/3</t>
  </si>
  <si>
    <t>38299/5</t>
  </si>
  <si>
    <t>38305/8</t>
  </si>
  <si>
    <t>38305/9</t>
  </si>
  <si>
    <t>38318/2</t>
  </si>
  <si>
    <t>38327/10</t>
  </si>
  <si>
    <t>38329/3</t>
  </si>
  <si>
    <t>38331/3</t>
  </si>
  <si>
    <t>38359/3</t>
  </si>
  <si>
    <t>38360/2</t>
  </si>
  <si>
    <t>38363/3</t>
  </si>
  <si>
    <t>38366/5</t>
  </si>
  <si>
    <t>38373/11</t>
  </si>
  <si>
    <t>38376/2</t>
  </si>
  <si>
    <t>38396/2</t>
  </si>
  <si>
    <t>38403/7</t>
  </si>
  <si>
    <t>38411/3</t>
  </si>
  <si>
    <t>Fairfield Denver</t>
  </si>
  <si>
    <t>38412/6</t>
  </si>
  <si>
    <t>38419/10</t>
  </si>
  <si>
    <t>38419/11</t>
  </si>
  <si>
    <t>38422/3</t>
  </si>
  <si>
    <t>38422/4</t>
  </si>
  <si>
    <t>38443/2</t>
  </si>
  <si>
    <t>Quality Inn Del Valle</t>
  </si>
  <si>
    <t>38445/2</t>
  </si>
  <si>
    <t>38478/5</t>
  </si>
  <si>
    <t>38521/5</t>
  </si>
  <si>
    <t>Mitch Cox Construction</t>
  </si>
  <si>
    <t>38543/5</t>
  </si>
  <si>
    <t>38555/10</t>
  </si>
  <si>
    <t>Springhill Greensboro NC</t>
  </si>
  <si>
    <t>38565/9</t>
  </si>
  <si>
    <t>38567/2</t>
  </si>
  <si>
    <t>38576/2</t>
  </si>
  <si>
    <t>38577/5</t>
  </si>
  <si>
    <t>38580/2</t>
  </si>
  <si>
    <t>38587/4</t>
  </si>
  <si>
    <t>38587/5</t>
  </si>
  <si>
    <t>38612/2</t>
  </si>
  <si>
    <t>38628/10</t>
  </si>
  <si>
    <t>La Quinta Auburn AL</t>
  </si>
  <si>
    <t>38628/9</t>
  </si>
  <si>
    <t>38630/23</t>
  </si>
  <si>
    <t>38630/24</t>
  </si>
  <si>
    <t>38630/25</t>
  </si>
  <si>
    <t>38630/26</t>
  </si>
  <si>
    <t>38636/2</t>
  </si>
  <si>
    <t>HFD HAWTHORN/LA QUINTA, MEBANE, NC</t>
  </si>
  <si>
    <t>38637/3</t>
  </si>
  <si>
    <t>38654/2</t>
  </si>
  <si>
    <t>Finecraft Contractors</t>
  </si>
  <si>
    <t>38671/6</t>
  </si>
  <si>
    <t>38671/7</t>
  </si>
  <si>
    <t>38672/2</t>
  </si>
  <si>
    <t>38672/3</t>
  </si>
  <si>
    <t>38738/2</t>
  </si>
  <si>
    <t>38740/2</t>
  </si>
  <si>
    <t>38747/14</t>
  </si>
  <si>
    <t>38754/3</t>
  </si>
  <si>
    <t>Hawthorne Suites- Alpine WY</t>
  </si>
  <si>
    <t>38755/4</t>
  </si>
  <si>
    <t>Floor Source</t>
  </si>
  <si>
    <t>MCP Group</t>
  </si>
  <si>
    <t>E&amp;S Flooring LLC</t>
  </si>
  <si>
    <t>Supreme Bright Albuquerque I, LLC</t>
  </si>
  <si>
    <t>Intertech Flooring</t>
  </si>
  <si>
    <t>Contractors Tiles Plus</t>
  </si>
  <si>
    <t>AQUATERRA OUTDOORS</t>
  </si>
  <si>
    <t>SET Floors</t>
  </si>
  <si>
    <t>Landrys</t>
  </si>
  <si>
    <t>ZENITH ROOFING SERVICES</t>
  </si>
  <si>
    <t>Atmosphere Commercial Interiors</t>
  </si>
  <si>
    <t>39040/2</t>
  </si>
  <si>
    <t>Trilogy Autograph Huntsville</t>
  </si>
  <si>
    <t>39081/2</t>
  </si>
  <si>
    <t>ISLAMIC EDUCATION CENTER</t>
  </si>
  <si>
    <t>Darien Heights Residences</t>
  </si>
  <si>
    <t>28481/5</t>
  </si>
  <si>
    <t>30816/8</t>
  </si>
  <si>
    <t>Weaver Cooke Construction, LLC&gt;</t>
  </si>
  <si>
    <t>31759/3</t>
  </si>
  <si>
    <t>32174/4</t>
  </si>
  <si>
    <t>32178/6</t>
  </si>
  <si>
    <t>32179/4</t>
  </si>
  <si>
    <t>32181/3</t>
  </si>
  <si>
    <t>32210/3</t>
  </si>
  <si>
    <t>32215/2</t>
  </si>
  <si>
    <t>32217/6</t>
  </si>
  <si>
    <t>32554/2</t>
  </si>
  <si>
    <t>32650/2</t>
  </si>
  <si>
    <t>32791/4</t>
  </si>
  <si>
    <t>32813/3</t>
  </si>
  <si>
    <t>33553/5</t>
  </si>
  <si>
    <t>33554/4</t>
  </si>
  <si>
    <t>33555/2</t>
  </si>
  <si>
    <t>33556/8</t>
  </si>
  <si>
    <t>33557/2</t>
  </si>
  <si>
    <t>33559/5</t>
  </si>
  <si>
    <t>33560/3</t>
  </si>
  <si>
    <t>33561/3</t>
  </si>
  <si>
    <t>33587/2</t>
  </si>
  <si>
    <t>33652/3</t>
  </si>
  <si>
    <t>33729/4</t>
  </si>
  <si>
    <t>33860/2</t>
  </si>
  <si>
    <t>33876/2</t>
  </si>
  <si>
    <t>33884/3</t>
  </si>
  <si>
    <t>33921/4</t>
  </si>
  <si>
    <t>33926/2</t>
  </si>
  <si>
    <t>33983/5</t>
  </si>
  <si>
    <t>33983/6</t>
  </si>
  <si>
    <t>33983/7</t>
  </si>
  <si>
    <t>34012/2</t>
  </si>
  <si>
    <t>34114/4</t>
  </si>
  <si>
    <t>34212/3</t>
  </si>
  <si>
    <t>Watermark Commercial Contractors LLC</t>
  </si>
  <si>
    <t>34483/13</t>
  </si>
  <si>
    <t>34520/7</t>
  </si>
  <si>
    <t>34757/8</t>
  </si>
  <si>
    <t>AAA Hotel Management, Inc.</t>
  </si>
  <si>
    <t>34758/6</t>
  </si>
  <si>
    <t>34807/5</t>
  </si>
  <si>
    <t>35001/2</t>
  </si>
  <si>
    <t>35103/5</t>
  </si>
  <si>
    <t>35103/6</t>
  </si>
  <si>
    <t>35207/9</t>
  </si>
  <si>
    <t>35250/6</t>
  </si>
  <si>
    <t>35266/10</t>
  </si>
  <si>
    <t>35266/11</t>
  </si>
  <si>
    <t>35266/12</t>
  </si>
  <si>
    <t>35266/13</t>
  </si>
  <si>
    <t>35266/3</t>
  </si>
  <si>
    <t>35266/8</t>
  </si>
  <si>
    <t>35274/10</t>
  </si>
  <si>
    <t>35363/4</t>
  </si>
  <si>
    <t>TOWNEPLACE SUITES, DALLAS</t>
  </si>
  <si>
    <t>35412/2</t>
  </si>
  <si>
    <t>35422/2</t>
  </si>
  <si>
    <t>35432/5</t>
  </si>
  <si>
    <t>35437/3</t>
  </si>
  <si>
    <t>35440/7</t>
  </si>
  <si>
    <t>35441/3</t>
  </si>
  <si>
    <t>35441/4</t>
  </si>
  <si>
    <t>35441/6</t>
  </si>
  <si>
    <t>35441/8</t>
  </si>
  <si>
    <t>35444/3</t>
  </si>
  <si>
    <t>35445/7</t>
  </si>
  <si>
    <t>35446/4</t>
  </si>
  <si>
    <t>35485/4</t>
  </si>
  <si>
    <t>35490/3</t>
  </si>
  <si>
    <t>35528/4</t>
  </si>
  <si>
    <t>35529/8</t>
  </si>
  <si>
    <t>35530/2</t>
  </si>
  <si>
    <t>35533/2</t>
  </si>
  <si>
    <t>35535/2</t>
  </si>
  <si>
    <t>35538/4</t>
  </si>
  <si>
    <t>35539/3</t>
  </si>
  <si>
    <t>35540/2</t>
  </si>
  <si>
    <t>35543/3</t>
  </si>
  <si>
    <t>35545/2</t>
  </si>
  <si>
    <t>35546/9</t>
  </si>
  <si>
    <t>35606/3</t>
  </si>
  <si>
    <t>35784/3</t>
  </si>
  <si>
    <t>35794/2</t>
  </si>
  <si>
    <t>35795/3</t>
  </si>
  <si>
    <t>35796/3</t>
  </si>
  <si>
    <t>35799/4</t>
  </si>
  <si>
    <t>35800/3</t>
  </si>
  <si>
    <t>35807/2</t>
  </si>
  <si>
    <t>35808/2</t>
  </si>
  <si>
    <t>35812/2</t>
  </si>
  <si>
    <t>35870/5</t>
  </si>
  <si>
    <t>Two one two</t>
  </si>
  <si>
    <t>36072/6</t>
  </si>
  <si>
    <t>36096/6</t>
  </si>
  <si>
    <t>36155/2</t>
  </si>
  <si>
    <t>36158/2</t>
  </si>
  <si>
    <t>36159/5</t>
  </si>
  <si>
    <t>36160/2</t>
  </si>
  <si>
    <t>36162/4</t>
  </si>
  <si>
    <t>36199/10</t>
  </si>
  <si>
    <t>36318/2</t>
  </si>
  <si>
    <t>36442/2</t>
  </si>
  <si>
    <t>36647/2</t>
  </si>
  <si>
    <t>36649/2</t>
  </si>
  <si>
    <t>36718/3</t>
  </si>
  <si>
    <t>36849/12</t>
  </si>
  <si>
    <t>37135/2</t>
  </si>
  <si>
    <t>Wingate Sheboygan WI - 01954</t>
  </si>
  <si>
    <t>37255/4</t>
  </si>
  <si>
    <t>37260/21</t>
  </si>
  <si>
    <t>37316/2</t>
  </si>
  <si>
    <t>37316/3</t>
  </si>
  <si>
    <t>37316/5</t>
  </si>
  <si>
    <t>37316/6</t>
  </si>
  <si>
    <t>Goodall Distributors</t>
  </si>
  <si>
    <t>37365/2</t>
  </si>
  <si>
    <t>37418/10</t>
  </si>
  <si>
    <t>37625/2</t>
  </si>
  <si>
    <t>37644/2</t>
  </si>
  <si>
    <t>37644/3</t>
  </si>
  <si>
    <t>37744/5</t>
  </si>
  <si>
    <t>37744/6</t>
  </si>
  <si>
    <t>37766/3</t>
  </si>
  <si>
    <t>37770/2</t>
  </si>
  <si>
    <t>37770/3</t>
  </si>
  <si>
    <t>37775/3</t>
  </si>
  <si>
    <t>37784/2</t>
  </si>
  <si>
    <t>37904/4</t>
  </si>
  <si>
    <t>37953/2</t>
  </si>
  <si>
    <t>37955/2</t>
  </si>
  <si>
    <t>37955/4</t>
  </si>
  <si>
    <t>37957/4</t>
  </si>
  <si>
    <t>37958/5</t>
  </si>
  <si>
    <t>37958/6</t>
  </si>
  <si>
    <t>37959/3</t>
  </si>
  <si>
    <t>37960/3</t>
  </si>
  <si>
    <t>37961/5</t>
  </si>
  <si>
    <t>38021/3</t>
  </si>
  <si>
    <t>HSI Design Group</t>
  </si>
  <si>
    <t>38132/3</t>
  </si>
  <si>
    <t>38172/2</t>
  </si>
  <si>
    <t>38172/4</t>
  </si>
  <si>
    <t>38172/6</t>
  </si>
  <si>
    <t>38172/7</t>
  </si>
  <si>
    <t>Installations plus</t>
  </si>
  <si>
    <t>38220/2</t>
  </si>
  <si>
    <t>38221/2</t>
  </si>
  <si>
    <t>38222/2</t>
  </si>
  <si>
    <t>38222/3</t>
  </si>
  <si>
    <t>38248/3</t>
  </si>
  <si>
    <t>38264/3</t>
  </si>
  <si>
    <t>GROSE &amp; MANZ BUILDERS LLC</t>
  </si>
  <si>
    <t>38371/3</t>
  </si>
  <si>
    <t>38371/5</t>
  </si>
  <si>
    <t>Hestan Winery</t>
  </si>
  <si>
    <t>38477/2</t>
  </si>
  <si>
    <t>38507/4</t>
  </si>
  <si>
    <t>ELEMENT OPELIKA AL</t>
  </si>
  <si>
    <t>38508/2</t>
  </si>
  <si>
    <t>Tommy Wong</t>
  </si>
  <si>
    <t>38515/3</t>
  </si>
  <si>
    <t>Link Floors</t>
  </si>
  <si>
    <t>Gaurang(Gary) Patel</t>
  </si>
  <si>
    <t>38544/2</t>
  </si>
  <si>
    <t>38544/3</t>
  </si>
  <si>
    <t>38544/4</t>
  </si>
  <si>
    <t>38553/2</t>
  </si>
  <si>
    <t>DEVEN BHAKTA PORT ARANSAS HOME</t>
  </si>
  <si>
    <t>38606/2</t>
  </si>
  <si>
    <t>SKIMS Retail</t>
  </si>
  <si>
    <t>38671/5</t>
  </si>
  <si>
    <t>Didier Nader</t>
  </si>
  <si>
    <t>Schoenfelder Renovations</t>
  </si>
  <si>
    <t>Holiday Inn Express and Suites</t>
  </si>
  <si>
    <t>Hampton Inn Corpus Christi</t>
  </si>
  <si>
    <t>38733/3</t>
  </si>
  <si>
    <t>Marino Construction</t>
  </si>
  <si>
    <t>Pinnacle Marble And Granite, Inc</t>
  </si>
  <si>
    <t>Vedi Hospitality LLC</t>
  </si>
  <si>
    <t>My Grout Guyz Inc</t>
  </si>
  <si>
    <t>Trinity Contract Flooring</t>
  </si>
  <si>
    <t>ASHWIN PATEL</t>
  </si>
  <si>
    <t>SSC Construction</t>
  </si>
  <si>
    <t>Southwest Contracting LP</t>
  </si>
  <si>
    <t>La Quinta Inn &amp; Suites-Mansfield, OH</t>
  </si>
  <si>
    <t>38805/2</t>
  </si>
  <si>
    <t>Jenkins Contract Flooring, LLC</t>
  </si>
  <si>
    <t>Homewood Suites Fayetteville</t>
  </si>
  <si>
    <t>Hampton Inn &amp; Suite - NM</t>
  </si>
  <si>
    <t>ALPHA REMODELING</t>
  </si>
  <si>
    <t>Iannacone Residence</t>
  </si>
  <si>
    <t>38820/2</t>
  </si>
  <si>
    <t>38820/3</t>
  </si>
  <si>
    <t>American Stone Co of Texas LP</t>
  </si>
  <si>
    <t>Specialty Tile Products Inc.</t>
  </si>
  <si>
    <t>Auburn Lodging LLC</t>
  </si>
  <si>
    <t>Bridgerland Group</t>
  </si>
  <si>
    <t>L Peters Construction, Inc.</t>
  </si>
  <si>
    <t>Days Inn in Georgetown</t>
  </si>
  <si>
    <t>STONERIDGE HOSPITALITY GROUP</t>
  </si>
  <si>
    <t>Soma construction</t>
  </si>
  <si>
    <t>PRIME SAY LLC</t>
  </si>
  <si>
    <t>CONTEMPO builders</t>
  </si>
  <si>
    <t>Triton Stone</t>
  </si>
  <si>
    <t>Holiday Inn Express - Zion, IL</t>
  </si>
  <si>
    <t>Davaco - Chilies Restroom remodel Woodlands. TX</t>
  </si>
  <si>
    <t>FLOORSCAPES</t>
  </si>
  <si>
    <t>Treco Enterprises Inc.</t>
  </si>
  <si>
    <t>La Quinta Albq West</t>
  </si>
  <si>
    <t>Home 2 Suite by Hilton</t>
  </si>
  <si>
    <t>Gulf Coast Hotel Group,LLC DBA Doubletree by Hilton</t>
  </si>
  <si>
    <t>Apex Imaging Services</t>
  </si>
  <si>
    <t>Rock River Valley Flooring Inc</t>
  </si>
  <si>
    <t>Anish Patel</t>
  </si>
  <si>
    <t>Queen City Winnelson</t>
  </si>
  <si>
    <t>Total Floors</t>
  </si>
  <si>
    <t>Kevin Sims</t>
  </si>
  <si>
    <t>Contempo Builder</t>
  </si>
  <si>
    <t>AAA Hotel Company/ Home2Suties Springdale OH</t>
  </si>
  <si>
    <t>Medallion Hospitality</t>
  </si>
  <si>
    <t>Kings Construction</t>
  </si>
  <si>
    <t>Apple Investments LLC</t>
  </si>
  <si>
    <t>Nick Platt Construction</t>
  </si>
  <si>
    <t>Jerry Osborne &amp; Associates, LLC</t>
  </si>
  <si>
    <t>MTZ Tile Stone LLC</t>
  </si>
  <si>
    <t>Texas Floor Covering</t>
  </si>
  <si>
    <t>39086/2</t>
  </si>
  <si>
    <t>PREDOCK</t>
  </si>
  <si>
    <t>Daren R Snider Construction</t>
  </si>
  <si>
    <t>FLOOR INSPIRATIONS</t>
  </si>
  <si>
    <t>Hampton 801 Walnut</t>
  </si>
  <si>
    <t>JDL Flooring Solutions Inc</t>
  </si>
  <si>
    <t>Kyle Hicks</t>
  </si>
  <si>
    <t>Steve Hari/ Best Western TN</t>
  </si>
  <si>
    <t>Aug 25 service revenue in SPS</t>
  </si>
  <si>
    <t>33569/6</t>
  </si>
  <si>
    <t>33512/9</t>
  </si>
  <si>
    <t>36064/2</t>
  </si>
  <si>
    <t>La Quinta - Fort Lauderdale - FL - Rob Song</t>
  </si>
  <si>
    <t>Double Tree</t>
  </si>
  <si>
    <t>Pinnacle Marble &amp; Granite, Inc.</t>
  </si>
  <si>
    <t>Wheel Fish Group</t>
  </si>
  <si>
    <t>Aug 25 delivery revenue in SPS</t>
  </si>
  <si>
    <t>33574/3</t>
  </si>
  <si>
    <t>33286/2</t>
  </si>
  <si>
    <t>Tico</t>
  </si>
  <si>
    <t>35101/8</t>
  </si>
  <si>
    <t>36456/7</t>
  </si>
  <si>
    <t>37350/2</t>
  </si>
  <si>
    <t>38011/2</t>
  </si>
  <si>
    <t>Gene Cathey</t>
  </si>
  <si>
    <t>38148/2</t>
  </si>
  <si>
    <t>Capital Commercial Flooring, Inc.</t>
  </si>
  <si>
    <t>38643/4</t>
  </si>
  <si>
    <t>38684/3</t>
  </si>
  <si>
    <t>H-M Tile, Marble and Hardwood Floor</t>
  </si>
  <si>
    <t>Bridger Land Group</t>
  </si>
  <si>
    <t>S.No</t>
  </si>
  <si>
    <t>Entity Internal ID</t>
  </si>
  <si>
    <t>La Quinta Inn &amp; Suites - Seatac Airport - Seattle WA</t>
  </si>
  <si>
    <t>Chesterfield Hospitality, Inc.</t>
  </si>
  <si>
    <t>Account ID</t>
  </si>
  <si>
    <t>External ID</t>
  </si>
  <si>
    <t>Error</t>
  </si>
  <si>
    <t>Debit Amt</t>
  </si>
  <si>
    <t>Credit Amt</t>
  </si>
  <si>
    <t>Invalid entity reference key 2601 for subsidiary 3.</t>
  </si>
  <si>
    <t>JULYREV-37369</t>
  </si>
  <si>
    <t>07/31/2025</t>
  </si>
  <si>
    <t>This record already exists</t>
  </si>
  <si>
    <t>JULYREV-37579/3</t>
  </si>
  <si>
    <t>JULYREV-36570</t>
  </si>
  <si>
    <t>07/30/2025</t>
  </si>
  <si>
    <t>JULYREV-36581</t>
  </si>
  <si>
    <t>JULYREV-36729</t>
  </si>
  <si>
    <t>JULYREV-33555</t>
  </si>
  <si>
    <t>JULYREV-35518</t>
  </si>
  <si>
    <t>JULYREV-36221</t>
  </si>
  <si>
    <t>JULYREV-37959/2</t>
  </si>
  <si>
    <t>JULYREV-38130</t>
  </si>
  <si>
    <t>JULYREV-38187</t>
  </si>
  <si>
    <t>JULYREV-38196</t>
  </si>
  <si>
    <t>JULYREV-38396</t>
  </si>
  <si>
    <t>JULYREV-36580/2</t>
  </si>
  <si>
    <t>07/14/2025</t>
  </si>
  <si>
    <t>JULYREV-36582/2</t>
  </si>
  <si>
    <t>JULYREV-38213/6</t>
  </si>
  <si>
    <t>07/18/2025</t>
  </si>
  <si>
    <t>JULYREV-38301/3</t>
  </si>
  <si>
    <t>07/25/2025</t>
  </si>
  <si>
    <t>JULYREV-38304/2</t>
  </si>
  <si>
    <t>JULYREV-38332</t>
  </si>
  <si>
    <t>JULYREV-38235/5</t>
  </si>
  <si>
    <t>JULYREV-35801</t>
  </si>
  <si>
    <t>JULYREV-35805</t>
  </si>
  <si>
    <t>JULYREV-37682</t>
  </si>
  <si>
    <t>JULYREV-38362</t>
  </si>
  <si>
    <t>JULYREV-38384</t>
  </si>
  <si>
    <t>JULYREV-38400</t>
  </si>
  <si>
    <t>JULYREV-38623</t>
  </si>
  <si>
    <t>JULYREV-35760/7</t>
  </si>
  <si>
    <t>SL no</t>
  </si>
  <si>
    <t>Entity ID</t>
  </si>
  <si>
    <t>Customer/vendor</t>
  </si>
  <si>
    <t>Hampton inn &amp; Suites Enterprise, Al (5335)</t>
  </si>
  <si>
    <t>Devkrupa Hospitality Inc.</t>
  </si>
  <si>
    <t>Deven Bhakta - Port Aransas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</si>
</sst>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.00_);[Red]\(&quot;$&quot;#,##0.00\)"/>
    <numFmt numFmtId="166" formatCode="dd\/mm\/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7"/>
      <color rgb="FF262626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1" fillId="0" borderId="0" xfId="1"/>
    <xf numFmtId="164" fontId="4" fillId="0" borderId="0" xfId="1" applyNumberFormat="1" applyFont="1"/>
    <xf numFmtId="0" fontId="3" fillId="0" borderId="0" xfId="1" applyFont="1" applyAlignment="1">
      <alignment wrapText="1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/>
    <xf numFmtId="0" fontId="2" fillId="0" borderId="0" xfId="1" applyFont="1" applyAlignment="1">
      <alignment wrapText="1"/>
    </xf>
    <xf numFmtId="14" fontId="1" fillId="0" borderId="1" xfId="1" applyNumberFormat="1" applyBorder="1"/>
    <xf numFmtId="14" fontId="1" fillId="0" borderId="2" xfId="1" applyNumberFormat="1" applyBorder="1"/>
    <xf numFmtId="0" fontId="1" fillId="0" borderId="2" xfId="1" applyBorder="1"/>
    <xf numFmtId="164" fontId="1" fillId="0" borderId="2" xfId="1" applyNumberFormat="1" applyBorder="1"/>
    <xf numFmtId="0" fontId="1" fillId="0" borderId="3" xfId="1" applyBorder="1"/>
    <xf numFmtId="14" fontId="1" fillId="0" borderId="4" xfId="1" applyNumberFormat="1" applyBorder="1"/>
    <xf numFmtId="14" fontId="1" fillId="0" borderId="5" xfId="1" applyNumberFormat="1" applyBorder="1"/>
    <xf numFmtId="0" fontId="1" fillId="0" borderId="5" xfId="1" applyBorder="1"/>
    <xf numFmtId="164" fontId="1" fillId="0" borderId="5" xfId="1" applyNumberFormat="1" applyBorder="1"/>
    <xf numFmtId="164" fontId="1" fillId="0" borderId="6" xfId="1" applyNumberFormat="1" applyBorder="1"/>
    <xf numFmtId="14" fontId="1" fillId="0" borderId="0" xfId="1" applyNumberFormat="1"/>
    <xf numFmtId="164" fontId="1" fillId="0" borderId="0" xfId="1" applyNumberFormat="1"/>
    <xf numFmtId="0" fontId="1" fillId="0" borderId="0" xfId="1" applyAlignment="1">
      <alignment wrapText="1"/>
    </xf>
    <xf numFmtId="164" fontId="1" fillId="2" borderId="0" xfId="1" applyNumberFormat="1" applyFill="1"/>
    <xf numFmtId="0" fontId="1" fillId="2" borderId="0" xfId="2" applyFill="1"/>
    <xf numFmtId="165" fontId="1" fillId="2" borderId="0" xfId="1" applyNumberFormat="1" applyFill="1"/>
    <xf numFmtId="0" fontId="2" fillId="2" borderId="0" xfId="2" applyFont="1" applyFill="1"/>
    <xf numFmtId="0" fontId="1" fillId="2" borderId="0" xfId="1" applyFill="1"/>
    <xf numFmtId="0" fontId="2" fillId="0" borderId="0" xfId="2" applyFont="1"/>
    <xf numFmtId="14" fontId="1" fillId="0" borderId="0" xfId="1" applyNumberFormat="1" applyAlignment="1">
      <alignment wrapText="1"/>
    </xf>
    <xf numFmtId="0" fontId="1" fillId="0" borderId="0" xfId="1" applyAlignment="1">
      <alignment horizontal="right"/>
    </xf>
    <xf numFmtId="165" fontId="1" fillId="0" borderId="0" xfId="1" applyNumberFormat="1"/>
    <xf numFmtId="0" fontId="1" fillId="0" borderId="0" xfId="2"/>
    <xf numFmtId="165" fontId="5" fillId="0" borderId="0" xfId="2" applyNumberFormat="1" applyFont="1"/>
    <xf numFmtId="164" fontId="1" fillId="2" borderId="0" xfId="2" applyNumberFormat="1" applyFill="1"/>
    <xf numFmtId="0" fontId="3" fillId="0" borderId="0" xfId="2" applyFont="1"/>
    <xf numFmtId="0" fontId="3" fillId="0" borderId="0" xfId="2" applyFont="1" applyAlignment="1">
      <alignment horizontal="center"/>
    </xf>
    <xf numFmtId="0" fontId="6" fillId="0" borderId="0" xfId="2" applyFont="1"/>
    <xf numFmtId="14" fontId="1" fillId="0" borderId="0" xfId="2" applyNumberFormat="1"/>
    <xf numFmtId="164" fontId="1" fillId="0" borderId="0" xfId="2" applyNumberFormat="1"/>
    <xf numFmtId="0" fontId="1" fillId="0" borderId="0" xfId="2" applyAlignment="1">
      <alignment horizontal="center"/>
    </xf>
    <xf numFmtId="0" fontId="1" fillId="3" borderId="7" xfId="1" applyFill="1" applyBorder="1"/>
    <xf numFmtId="164" fontId="4" fillId="3" borderId="7" xfId="1" applyNumberFormat="1" applyFont="1" applyFill="1" applyBorder="1"/>
    <xf numFmtId="0" fontId="3" fillId="3" borderId="7" xfId="1" applyFont="1" applyFill="1" applyBorder="1" applyAlignment="1">
      <alignment horizontal="center"/>
    </xf>
    <xf numFmtId="49" fontId="3" fillId="3" borderId="7" xfId="1" applyNumberFormat="1" applyFont="1" applyFill="1" applyBorder="1" applyAlignment="1">
      <alignment horizontal="center" vertical="center" wrapText="1"/>
    </xf>
    <xf numFmtId="0" fontId="3" fillId="3" borderId="7" xfId="1" applyFont="1" applyFill="1" applyBorder="1"/>
    <xf numFmtId="14" fontId="1" fillId="3" borderId="7" xfId="1" applyNumberFormat="1" applyFill="1" applyBorder="1"/>
    <xf numFmtId="164" fontId="1" fillId="3" borderId="7" xfId="1" applyNumberFormat="1" applyFill="1" applyBorder="1"/>
    <xf numFmtId="0" fontId="7" fillId="3" borderId="7" xfId="0" applyFont="1" applyFill="1" applyBorder="1"/>
    <xf numFmtId="14" fontId="1" fillId="3" borderId="7" xfId="1" applyNumberFormat="1" applyFill="1" applyBorder="1" applyAlignment="1">
      <alignment wrapText="1"/>
    </xf>
    <xf numFmtId="165" fontId="1" fillId="3" borderId="7" xfId="1" applyNumberFormat="1" applyFill="1" applyBorder="1"/>
    <xf numFmtId="0" fontId="1" fillId="3" borderId="7" xfId="1" applyFill="1" applyBorder="1" applyAlignment="1">
      <alignment horizontal="left"/>
    </xf>
    <xf numFmtId="0" fontId="3" fillId="3" borderId="7" xfId="1" applyFont="1" applyFill="1" applyBorder="1" applyAlignment="1">
      <alignment horizontal="left" vertical="center" wrapText="1"/>
    </xf>
    <xf numFmtId="166" fontId="0" fillId="0" borderId="0" xfId="0" applyNumberFormat="1"/>
    <xf numFmtId="0" fontId="7" fillId="0" borderId="0" xfId="0" applyFont="1"/>
  </cellXfs>
  <cellStyles count="3">
    <cellStyle name="Normal" xfId="0" builtinId="0"/>
    <cellStyle name="Normal 2" xfId="1" xr:uid="{ACA3D737-F5C6-47EE-BB51-ACA7FD11F56C}"/>
    <cellStyle name="Normal 3" xfId="2" xr:uid="{1232FA41-E5BC-4D92-8E47-5DE0DE7EB8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Vendors508.xls" TargetMode="External"/><Relationship Id="rId2" Type="http://schemas.openxmlformats.org/officeDocument/2006/relationships/externalLinkPath" Target="file:///C:\Users\Admin\Downloads\Vendors508.xls" TargetMode="External"/><Relationship Id="rId1" Type="http://schemas.openxmlformats.org/officeDocument/2006/relationships/externalLinkPath" Target="/Users/Admin/Downloads/Vendors5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ndors"/>
      <sheetName val="Sheet2"/>
    </sheetNames>
    <sheetDataSet>
      <sheetData sheetId="0" refreshError="1">
        <row r="1">
          <cell r="A1" t="str">
            <v>Name</v>
          </cell>
          <cell r="B1" t="str">
            <v>Internal ID</v>
          </cell>
        </row>
        <row r="2">
          <cell r="A2" t="str">
            <v>-Accountant-</v>
          </cell>
          <cell r="B2">
            <v>-3</v>
          </cell>
        </row>
        <row r="3">
          <cell r="A3" t="str">
            <v>911 Trucking LLC</v>
          </cell>
          <cell r="B3">
            <v>30</v>
          </cell>
        </row>
        <row r="4">
          <cell r="A4" t="str">
            <v>A-B Gas Company</v>
          </cell>
          <cell r="B4">
            <v>32</v>
          </cell>
        </row>
        <row r="5">
          <cell r="A5" t="str">
            <v>A-M Texas Electric</v>
          </cell>
          <cell r="B5">
            <v>50</v>
          </cell>
        </row>
        <row r="6">
          <cell r="A6" t="str">
            <v>AAA Pallet Co.</v>
          </cell>
          <cell r="B6">
            <v>31</v>
          </cell>
        </row>
        <row r="7">
          <cell r="A7" t="str">
            <v>Aaron Baraquiel</v>
          </cell>
          <cell r="B7">
            <v>3216</v>
          </cell>
        </row>
        <row r="8">
          <cell r="A8" t="str">
            <v>Aarti Singh</v>
          </cell>
          <cell r="B8">
            <v>2429</v>
          </cell>
        </row>
        <row r="9">
          <cell r="A9" t="str">
            <v>ABC Supply Co. Inc.</v>
          </cell>
          <cell r="B9">
            <v>33</v>
          </cell>
        </row>
        <row r="10">
          <cell r="A10" t="str">
            <v>Abhishek Kamat</v>
          </cell>
          <cell r="B10">
            <v>2430</v>
          </cell>
        </row>
        <row r="11">
          <cell r="A11" t="str">
            <v>Abhiyantriki Technology Private Limited</v>
          </cell>
          <cell r="B11">
            <v>1544</v>
          </cell>
        </row>
        <row r="12">
          <cell r="A12" t="str">
            <v>Ace Image wear</v>
          </cell>
          <cell r="B12">
            <v>34</v>
          </cell>
        </row>
        <row r="13">
          <cell r="A13" t="str">
            <v>Adam  LeBlanc</v>
          </cell>
          <cell r="B13">
            <v>2996</v>
          </cell>
        </row>
        <row r="14">
          <cell r="A14" t="str">
            <v>Aditya Ramachandrapurapu</v>
          </cell>
          <cell r="B14">
            <v>3154</v>
          </cell>
        </row>
        <row r="15">
          <cell r="A15" t="str">
            <v>Admiral Distribution, LLC</v>
          </cell>
          <cell r="B15">
            <v>35</v>
          </cell>
        </row>
        <row r="16">
          <cell r="A16" t="str">
            <v>Adobe</v>
          </cell>
          <cell r="B16">
            <v>36</v>
          </cell>
        </row>
        <row r="17">
          <cell r="A17" t="str">
            <v>Adsir Resource Holding Co. LTD.</v>
          </cell>
          <cell r="B17">
            <v>37</v>
          </cell>
        </row>
        <row r="18">
          <cell r="A18" t="str">
            <v>Advent Intermodal Solutions LLC</v>
          </cell>
          <cell r="B18">
            <v>38</v>
          </cell>
        </row>
        <row r="19">
          <cell r="A19" t="str">
            <v>AFCO</v>
          </cell>
          <cell r="B19">
            <v>39</v>
          </cell>
        </row>
        <row r="20">
          <cell r="A20" t="str">
            <v>Aflac</v>
          </cell>
          <cell r="B20">
            <v>40</v>
          </cell>
        </row>
        <row r="21">
          <cell r="A21" t="str">
            <v>AGA CAD, UAB</v>
          </cell>
          <cell r="B21">
            <v>41</v>
          </cell>
        </row>
        <row r="22">
          <cell r="A22" t="str">
            <v>AGM Tools, Inc.</v>
          </cell>
          <cell r="B22">
            <v>42</v>
          </cell>
        </row>
        <row r="23">
          <cell r="A23" t="str">
            <v>AGTAGAC</v>
          </cell>
          <cell r="B23">
            <v>1958</v>
          </cell>
        </row>
        <row r="24">
          <cell r="A24" t="str">
            <v>Aimpacific Services Inc.</v>
          </cell>
          <cell r="B24">
            <v>43</v>
          </cell>
        </row>
        <row r="25">
          <cell r="A25" t="str">
            <v>AIO International Inc.</v>
          </cell>
          <cell r="B25">
            <v>44</v>
          </cell>
        </row>
        <row r="26">
          <cell r="A26" t="str">
            <v>Airlift (USA) Inc.</v>
          </cell>
          <cell r="B26">
            <v>45</v>
          </cell>
        </row>
        <row r="27">
          <cell r="A27" t="str">
            <v>AKE S.R.L.</v>
          </cell>
          <cell r="B27">
            <v>46</v>
          </cell>
        </row>
        <row r="28">
          <cell r="A28" t="str">
            <v>Alexander Flooring LLC</v>
          </cell>
          <cell r="B28">
            <v>47</v>
          </cell>
        </row>
        <row r="29">
          <cell r="A29" t="str">
            <v>Alexandra Medellin</v>
          </cell>
          <cell r="B29">
            <v>2490</v>
          </cell>
        </row>
        <row r="30">
          <cell r="A30" t="str">
            <v>Algoratiles</v>
          </cell>
          <cell r="B30">
            <v>1929</v>
          </cell>
        </row>
        <row r="31">
          <cell r="A31" t="str">
            <v>Alice Moszczynski</v>
          </cell>
          <cell r="B31">
            <v>3199</v>
          </cell>
        </row>
        <row r="32">
          <cell r="A32" t="str">
            <v>All American Design Furnishings, Inc. DBA Kerrie Kelly Design Lab</v>
          </cell>
          <cell r="B32">
            <v>3164</v>
          </cell>
        </row>
        <row r="33">
          <cell r="A33" t="str">
            <v>All American Forwarding Inc.</v>
          </cell>
          <cell r="B33">
            <v>2053</v>
          </cell>
        </row>
        <row r="34">
          <cell r="A34" t="str">
            <v>Aluguard</v>
          </cell>
          <cell r="B34">
            <v>48</v>
          </cell>
        </row>
        <row r="35">
          <cell r="A35" t="str">
            <v>Alvelo Commercial LLC</v>
          </cell>
          <cell r="B35">
            <v>49</v>
          </cell>
        </row>
        <row r="36">
          <cell r="A36" t="str">
            <v>Amana construction LLC</v>
          </cell>
          <cell r="B36">
            <v>3004</v>
          </cell>
        </row>
        <row r="37">
          <cell r="A37" t="str">
            <v>Amazon</v>
          </cell>
          <cell r="B37">
            <v>2432</v>
          </cell>
        </row>
        <row r="38">
          <cell r="A38" t="str">
            <v>American Elevator Inspections</v>
          </cell>
          <cell r="B38">
            <v>2416</v>
          </cell>
        </row>
        <row r="39">
          <cell r="A39" t="str">
            <v>American Fiber Cushion</v>
          </cell>
          <cell r="B39">
            <v>2489</v>
          </cell>
        </row>
        <row r="40">
          <cell r="A40" t="str">
            <v>American PRO Air Conditioning &amp; Heating</v>
          </cell>
          <cell r="B40">
            <v>3033</v>
          </cell>
        </row>
        <row r="41">
          <cell r="A41" t="str">
            <v>Americlad, LLC</v>
          </cell>
          <cell r="B41">
            <v>51</v>
          </cell>
        </row>
        <row r="42">
          <cell r="A42" t="str">
            <v>Amit Chaudhari</v>
          </cell>
          <cell r="B42">
            <v>3083</v>
          </cell>
        </row>
        <row r="43">
          <cell r="A43" t="str">
            <v>Amoy Together Logistics CO LTD</v>
          </cell>
          <cell r="B43">
            <v>1939</v>
          </cell>
        </row>
        <row r="44">
          <cell r="A44" t="str">
            <v>AMY Building Material Investments</v>
          </cell>
          <cell r="B44">
            <v>1331</v>
          </cell>
        </row>
        <row r="45">
          <cell r="A45" t="str">
            <v>An Cuong Wood-Working</v>
          </cell>
          <cell r="B45">
            <v>1542</v>
          </cell>
        </row>
        <row r="46">
          <cell r="A46" t="str">
            <v>Anatolia Tile</v>
          </cell>
          <cell r="B46">
            <v>2766</v>
          </cell>
        </row>
        <row r="47">
          <cell r="A47" t="str">
            <v>Anatolia Tile**DO NOT USE**</v>
          </cell>
          <cell r="B47">
            <v>1959</v>
          </cell>
        </row>
        <row r="48">
          <cell r="A48" t="str">
            <v>Angel Alterations</v>
          </cell>
          <cell r="B48">
            <v>3287</v>
          </cell>
        </row>
        <row r="49">
          <cell r="A49" t="str">
            <v>ANIDRIDE DESIGN</v>
          </cell>
          <cell r="B49">
            <v>52</v>
          </cell>
        </row>
        <row r="50">
          <cell r="A50" t="str">
            <v>Anjani Sama</v>
          </cell>
          <cell r="B50">
            <v>2722</v>
          </cell>
        </row>
        <row r="51">
          <cell r="A51" t="str">
            <v>Ann Sacks</v>
          </cell>
          <cell r="B51">
            <v>2270</v>
          </cell>
        </row>
        <row r="52">
          <cell r="A52" t="str">
            <v>Annette Ramirez Tax Assessor-Collector</v>
          </cell>
          <cell r="B52">
            <v>53</v>
          </cell>
        </row>
        <row r="53">
          <cell r="A53" t="str">
            <v>Anoushka Braganza</v>
          </cell>
          <cell r="B53">
            <v>2189</v>
          </cell>
        </row>
        <row r="54">
          <cell r="A54" t="str">
            <v>APM Terminals Elizabeth, LLC</v>
          </cell>
          <cell r="B54">
            <v>54</v>
          </cell>
        </row>
        <row r="55">
          <cell r="A55" t="str">
            <v>Apple</v>
          </cell>
          <cell r="B55">
            <v>2433</v>
          </cell>
        </row>
        <row r="56">
          <cell r="A56" t="str">
            <v>Architectural Marble and Granite Inc.</v>
          </cell>
          <cell r="B56">
            <v>55</v>
          </cell>
        </row>
        <row r="57">
          <cell r="A57" t="str">
            <v>Armstrong Transport Group</v>
          </cell>
          <cell r="B57">
            <v>2042</v>
          </cell>
        </row>
        <row r="58">
          <cell r="A58" t="str">
            <v>Art is Love, LLC / Interia Hospitality</v>
          </cell>
          <cell r="B58">
            <v>2359</v>
          </cell>
        </row>
        <row r="59">
          <cell r="A59" t="str">
            <v>Artie Garden International Ltd.</v>
          </cell>
          <cell r="B59">
            <v>2361</v>
          </cell>
        </row>
        <row r="60">
          <cell r="A60" t="str">
            <v>ARTLINE</v>
          </cell>
          <cell r="B60">
            <v>1966</v>
          </cell>
        </row>
        <row r="61">
          <cell r="A61" t="str">
            <v>Artonomy Inc.</v>
          </cell>
          <cell r="B61">
            <v>3215</v>
          </cell>
        </row>
        <row r="62">
          <cell r="A62" t="str">
            <v>ASAPh Transportation &amp; Logistics, LLC</v>
          </cell>
          <cell r="B62">
            <v>56</v>
          </cell>
        </row>
        <row r="63">
          <cell r="A63" t="str">
            <v>Asian American Hotel Owners Association / AAHOA</v>
          </cell>
          <cell r="B63">
            <v>57</v>
          </cell>
        </row>
        <row r="64">
          <cell r="A64" t="str">
            <v>Aspinwall And Associates</v>
          </cell>
          <cell r="B64">
            <v>2743</v>
          </cell>
        </row>
        <row r="65">
          <cell r="A65" t="str">
            <v>Astrolabs</v>
          </cell>
          <cell r="B65">
            <v>58</v>
          </cell>
        </row>
        <row r="66">
          <cell r="A66" t="str">
            <v>AT&amp;T</v>
          </cell>
          <cell r="B66">
            <v>59</v>
          </cell>
        </row>
        <row r="67">
          <cell r="A67" t="str">
            <v>Atlas Concorde</v>
          </cell>
          <cell r="B67">
            <v>1232</v>
          </cell>
        </row>
        <row r="68">
          <cell r="A68" t="str">
            <v>Atlas Sling Co., Inc.</v>
          </cell>
          <cell r="B68">
            <v>60</v>
          </cell>
        </row>
        <row r="69">
          <cell r="A69" t="str">
            <v>Atmos Energy</v>
          </cell>
          <cell r="B69">
            <v>61</v>
          </cell>
        </row>
        <row r="70">
          <cell r="A70" t="str">
            <v>Autodesk Inc.</v>
          </cell>
          <cell r="B70">
            <v>62</v>
          </cell>
        </row>
        <row r="71">
          <cell r="A71" t="str">
            <v>Axiom Pro Tree Service</v>
          </cell>
          <cell r="B71">
            <v>63</v>
          </cell>
        </row>
        <row r="72">
          <cell r="A72" t="str">
            <v>Ayman El Zabet</v>
          </cell>
          <cell r="B72">
            <v>2482</v>
          </cell>
        </row>
        <row r="73">
          <cell r="A73" t="str">
            <v>B and B Glass Company</v>
          </cell>
          <cell r="B73">
            <v>64</v>
          </cell>
        </row>
        <row r="74">
          <cell r="A74" t="str">
            <v>Bacon Work Inc.</v>
          </cell>
          <cell r="B74">
            <v>65</v>
          </cell>
        </row>
        <row r="75">
          <cell r="A75" t="str">
            <v>Balco USA, Inc.</v>
          </cell>
          <cell r="B75">
            <v>2782</v>
          </cell>
        </row>
        <row r="76">
          <cell r="A76" t="str">
            <v>Bassett Outdoor Contract</v>
          </cell>
          <cell r="B76">
            <v>2649</v>
          </cell>
        </row>
        <row r="77">
          <cell r="A77" t="str">
            <v>Bayou City Fire &amp; Safety</v>
          </cell>
          <cell r="B77">
            <v>66</v>
          </cell>
        </row>
        <row r="78">
          <cell r="A78" t="str">
            <v>Beijing Topli Decorative Materials Co., LTD</v>
          </cell>
          <cell r="B78">
            <v>1233</v>
          </cell>
        </row>
        <row r="79">
          <cell r="A79" t="str">
            <v>Beleco Design LLC</v>
          </cell>
          <cell r="B79">
            <v>2508</v>
          </cell>
        </row>
        <row r="80">
          <cell r="A80" t="str">
            <v>Benetti Home srl</v>
          </cell>
          <cell r="B80">
            <v>2948</v>
          </cell>
        </row>
        <row r="81">
          <cell r="A81" t="str">
            <v>Best Price Locksmiths</v>
          </cell>
          <cell r="B81">
            <v>2372</v>
          </cell>
        </row>
        <row r="82">
          <cell r="A82" t="str">
            <v>BESTILE, S.L.</v>
          </cell>
          <cell r="B82">
            <v>2903</v>
          </cell>
        </row>
        <row r="83">
          <cell r="A83" t="str">
            <v>Bhavik Desai</v>
          </cell>
          <cell r="B83">
            <v>2643</v>
          </cell>
        </row>
        <row r="84">
          <cell r="A84" t="str">
            <v>Big City Access Holdings LLC</v>
          </cell>
          <cell r="B84">
            <v>67</v>
          </cell>
        </row>
        <row r="85">
          <cell r="A85" t="str">
            <v>BimgrafX / BIM &amp; Grafx Intergrated Studio LLC</v>
          </cell>
          <cell r="B85">
            <v>2915</v>
          </cell>
        </row>
        <row r="86">
          <cell r="A86" t="str">
            <v>Bisazza North America Inc</v>
          </cell>
          <cell r="B86">
            <v>1722</v>
          </cell>
        </row>
        <row r="87">
          <cell r="A87" t="str">
            <v>Blue Cross Blue Shield of Texas</v>
          </cell>
          <cell r="B87">
            <v>68</v>
          </cell>
        </row>
        <row r="88">
          <cell r="A88" t="str">
            <v>Blue Form Studio S.R.L.</v>
          </cell>
          <cell r="B88">
            <v>3008</v>
          </cell>
        </row>
        <row r="89">
          <cell r="A89" t="str">
            <v>BlueCollar Cloud Solutions</v>
          </cell>
          <cell r="B89">
            <v>69</v>
          </cell>
        </row>
        <row r="90">
          <cell r="A90" t="str">
            <v>Bolon ViiR North American Partner</v>
          </cell>
          <cell r="B90">
            <v>2323</v>
          </cell>
        </row>
        <row r="91">
          <cell r="A91" t="str">
            <v>Bostik Mexicana, S.A. de C.V.</v>
          </cell>
          <cell r="B91">
            <v>2716</v>
          </cell>
        </row>
        <row r="92">
          <cell r="A92" t="str">
            <v>Bradley Silverstein</v>
          </cell>
          <cell r="B92">
            <v>2868</v>
          </cell>
        </row>
        <row r="93">
          <cell r="A93" t="str">
            <v>Briar Forest Lofts</v>
          </cell>
          <cell r="B93">
            <v>70</v>
          </cell>
        </row>
        <row r="94">
          <cell r="A94" t="str">
            <v>Brilliant Group Logistics Corp.</v>
          </cell>
          <cell r="B94">
            <v>3208</v>
          </cell>
        </row>
        <row r="95">
          <cell r="A95" t="str">
            <v>Brookline Furniture Company</v>
          </cell>
          <cell r="B95">
            <v>1235</v>
          </cell>
        </row>
        <row r="96">
          <cell r="A96" t="str">
            <v>BusBot/Freedom Logistics (Denim)</v>
          </cell>
          <cell r="B96">
            <v>2278</v>
          </cell>
        </row>
        <row r="97">
          <cell r="A97" t="str">
            <v>C&amp;D Janitor Service, Inc. / Building Professionals of Texas</v>
          </cell>
          <cell r="B97">
            <v>71</v>
          </cell>
        </row>
        <row r="98">
          <cell r="A98" t="str">
            <v>C.H. Robinson Company, Inc.</v>
          </cell>
          <cell r="B98">
            <v>72</v>
          </cell>
        </row>
        <row r="99">
          <cell r="A99" t="str">
            <v>Callistus Blinds Middle East FZE</v>
          </cell>
          <cell r="B99">
            <v>2852</v>
          </cell>
        </row>
        <row r="100">
          <cell r="A100" t="str">
            <v>Cambodian Zulite Stone Co., LTD.</v>
          </cell>
          <cell r="B100">
            <v>1237</v>
          </cell>
        </row>
        <row r="101">
          <cell r="A101" t="str">
            <v>Cargoways Warehousing and Trucking</v>
          </cell>
          <cell r="B101">
            <v>3041</v>
          </cell>
        </row>
        <row r="102">
          <cell r="A102" t="str">
            <v>CARROLL SCHEXNADYER</v>
          </cell>
          <cell r="B102">
            <v>2391</v>
          </cell>
        </row>
        <row r="103">
          <cell r="A103" t="str">
            <v>Casalgrande Padana SpA</v>
          </cell>
          <cell r="B103">
            <v>2163</v>
          </cell>
        </row>
        <row r="104">
          <cell r="A104" t="str">
            <v>CCL Imperial Stone</v>
          </cell>
          <cell r="B104">
            <v>3244</v>
          </cell>
        </row>
        <row r="105">
          <cell r="A105" t="str">
            <v>Cemal Akgul</v>
          </cell>
          <cell r="B105">
            <v>2206</v>
          </cell>
        </row>
        <row r="106">
          <cell r="A106" t="str">
            <v>Ceramica Refin SPA</v>
          </cell>
          <cell r="B106">
            <v>1238</v>
          </cell>
        </row>
        <row r="107">
          <cell r="A107" t="str">
            <v>CERAMICA RONDINE</v>
          </cell>
          <cell r="B107">
            <v>2462</v>
          </cell>
        </row>
        <row r="108">
          <cell r="A108" t="str">
            <v>Ceramiche Keope</v>
          </cell>
          <cell r="B108">
            <v>3023</v>
          </cell>
        </row>
        <row r="109">
          <cell r="A109" t="str">
            <v>Ceramiche Piemme</v>
          </cell>
          <cell r="B109">
            <v>2704</v>
          </cell>
        </row>
        <row r="110">
          <cell r="A110" t="str">
            <v>CERAMICHE SUPERGRES</v>
          </cell>
          <cell r="B110">
            <v>2824</v>
          </cell>
        </row>
        <row r="111">
          <cell r="A111" t="str">
            <v>Chaitra Katragadda</v>
          </cell>
          <cell r="B111">
            <v>2434</v>
          </cell>
        </row>
        <row r="112">
          <cell r="A112" t="str">
            <v>Chandana Donekal Alla</v>
          </cell>
          <cell r="B112">
            <v>2721</v>
          </cell>
        </row>
        <row r="113">
          <cell r="A113" t="str">
            <v>Chaparrita Wood Pallets</v>
          </cell>
          <cell r="B113">
            <v>2610</v>
          </cell>
        </row>
        <row r="114">
          <cell r="A114" t="str">
            <v>Charan Veeramalla</v>
          </cell>
          <cell r="B114">
            <v>2511</v>
          </cell>
        </row>
        <row r="115">
          <cell r="A115" t="str">
            <v>Chariot Energy</v>
          </cell>
          <cell r="B115">
            <v>2312</v>
          </cell>
        </row>
        <row r="116">
          <cell r="A116" t="str">
            <v>Chase Home Finance</v>
          </cell>
          <cell r="B116">
            <v>3281</v>
          </cell>
        </row>
        <row r="117">
          <cell r="A117" t="str">
            <v>Choice Hotels</v>
          </cell>
          <cell r="B117">
            <v>2435</v>
          </cell>
        </row>
        <row r="118">
          <cell r="A118" t="str">
            <v>Choice Hotels International, Inc.</v>
          </cell>
          <cell r="B118">
            <v>3240</v>
          </cell>
        </row>
        <row r="119">
          <cell r="A119" t="str">
            <v>Christine Katragadda</v>
          </cell>
          <cell r="B119">
            <v>2436</v>
          </cell>
        </row>
        <row r="120">
          <cell r="A120" t="str">
            <v>Cincinnati</v>
          </cell>
          <cell r="B120">
            <v>2871</v>
          </cell>
        </row>
        <row r="121">
          <cell r="A121" t="str">
            <v>Cintas Corp.</v>
          </cell>
          <cell r="B121">
            <v>73</v>
          </cell>
        </row>
        <row r="122">
          <cell r="A122" t="str">
            <v>CINTAS FIRE PROTECTION</v>
          </cell>
          <cell r="B122">
            <v>3076</v>
          </cell>
        </row>
        <row r="123">
          <cell r="A123" t="str">
            <v>City of Houston</v>
          </cell>
          <cell r="B123">
            <v>74</v>
          </cell>
        </row>
        <row r="124">
          <cell r="A124" t="str">
            <v>CL Tech &amp; Services</v>
          </cell>
          <cell r="B124">
            <v>1930</v>
          </cell>
        </row>
        <row r="125">
          <cell r="A125" t="str">
            <v>Cladding Installation Services Inc.</v>
          </cell>
          <cell r="B125">
            <v>75</v>
          </cell>
        </row>
        <row r="126">
          <cell r="A126" t="str">
            <v>ClearFreight Inc</v>
          </cell>
          <cell r="B126">
            <v>3102</v>
          </cell>
        </row>
        <row r="127">
          <cell r="A127" t="str">
            <v>CM Cadeiras/Campos Movel SA</v>
          </cell>
          <cell r="B127">
            <v>2393</v>
          </cell>
        </row>
        <row r="128">
          <cell r="A128" t="str">
            <v>CM Hospitality Carpets</v>
          </cell>
          <cell r="B128">
            <v>1540</v>
          </cell>
        </row>
        <row r="129">
          <cell r="A129" t="str">
            <v>CMA CGM (America) LLC</v>
          </cell>
          <cell r="B129">
            <v>76</v>
          </cell>
        </row>
        <row r="130">
          <cell r="A130" t="str">
            <v>Comcast</v>
          </cell>
          <cell r="B130">
            <v>77</v>
          </cell>
        </row>
        <row r="131">
          <cell r="A131" t="str">
            <v>Commercial Fitness Equipment</v>
          </cell>
          <cell r="B131">
            <v>2888</v>
          </cell>
        </row>
        <row r="132">
          <cell r="A132" t="str">
            <v>Concertex</v>
          </cell>
          <cell r="B132">
            <v>1239</v>
          </cell>
        </row>
        <row r="133">
          <cell r="A133" t="str">
            <v>ConstructConnect</v>
          </cell>
          <cell r="B133">
            <v>2975</v>
          </cell>
        </row>
        <row r="134">
          <cell r="A134" t="str">
            <v>Consulesse di Silvana Buzzai &amp; C sas</v>
          </cell>
          <cell r="B134">
            <v>3214</v>
          </cell>
        </row>
        <row r="135">
          <cell r="A135" t="str">
            <v>Core/Lee Apartment/Broadstone</v>
          </cell>
          <cell r="B135">
            <v>78</v>
          </cell>
        </row>
        <row r="136">
          <cell r="A136" t="str">
            <v>Cornerstone Solutions, Inc/ZOHO</v>
          </cell>
          <cell r="B136">
            <v>79</v>
          </cell>
        </row>
        <row r="137">
          <cell r="A137" t="str">
            <v>Cosentino</v>
          </cell>
          <cell r="B137">
            <v>1240</v>
          </cell>
        </row>
        <row r="138">
          <cell r="A138" t="str">
            <v>Cosmac s.r.l.</v>
          </cell>
          <cell r="B138">
            <v>80</v>
          </cell>
        </row>
        <row r="139">
          <cell r="A139" t="str">
            <v>Costco Wholesale</v>
          </cell>
          <cell r="B139">
            <v>81</v>
          </cell>
        </row>
        <row r="140">
          <cell r="A140" t="str">
            <v>Cowin Shipping co., LTD</v>
          </cell>
          <cell r="B140">
            <v>82</v>
          </cell>
        </row>
        <row r="141">
          <cell r="A141" t="str">
            <v>Cowtan &amp; Tout</v>
          </cell>
          <cell r="B141">
            <v>3080</v>
          </cell>
        </row>
        <row r="142">
          <cell r="A142" t="str">
            <v>Crate&amp;Barrel</v>
          </cell>
          <cell r="B142">
            <v>1241</v>
          </cell>
        </row>
        <row r="143">
          <cell r="A143" t="str">
            <v>Creative Spaces Construction &amp; Develpoment</v>
          </cell>
          <cell r="B143">
            <v>2946</v>
          </cell>
        </row>
        <row r="144">
          <cell r="A144" t="str">
            <v>Crown Delivery Services LLC</v>
          </cell>
          <cell r="B144">
            <v>83</v>
          </cell>
        </row>
        <row r="145">
          <cell r="A145" t="str">
            <v>CSMETAL</v>
          </cell>
          <cell r="B145">
            <v>3181</v>
          </cell>
        </row>
        <row r="146">
          <cell r="A146" t="str">
            <v>Cutting Tools, Inc.</v>
          </cell>
          <cell r="B146">
            <v>84</v>
          </cell>
        </row>
        <row r="147">
          <cell r="A147" t="str">
            <v>D.V.S Borjas Construction</v>
          </cell>
          <cell r="B147">
            <v>85</v>
          </cell>
        </row>
        <row r="148">
          <cell r="A148" t="str">
            <v>Daga Construction LLC</v>
          </cell>
          <cell r="B148">
            <v>3172</v>
          </cell>
        </row>
        <row r="149">
          <cell r="A149" t="str">
            <v>DAL USA, LCC.</v>
          </cell>
          <cell r="B149">
            <v>1723</v>
          </cell>
        </row>
        <row r="150">
          <cell r="A150" t="str">
            <v>DaleGia</v>
          </cell>
          <cell r="B150">
            <v>1940</v>
          </cell>
        </row>
        <row r="151">
          <cell r="A151" t="str">
            <v>Daltile</v>
          </cell>
          <cell r="B151">
            <v>2506</v>
          </cell>
        </row>
        <row r="152">
          <cell r="A152" t="str">
            <v>Das Tech Solutions</v>
          </cell>
          <cell r="B152">
            <v>86</v>
          </cell>
        </row>
        <row r="153">
          <cell r="A153" t="str">
            <v>DB Shipping Canada</v>
          </cell>
          <cell r="B153">
            <v>2542</v>
          </cell>
        </row>
        <row r="154">
          <cell r="A154" t="str">
            <v>DDD Property Holdings LLC</v>
          </cell>
          <cell r="B154">
            <v>87</v>
          </cell>
        </row>
        <row r="155">
          <cell r="A155" t="str">
            <v>DECORATORI BASSANESI SRL</v>
          </cell>
          <cell r="B155">
            <v>2886</v>
          </cell>
        </row>
        <row r="156">
          <cell r="A156" t="str">
            <v>Decorators Best</v>
          </cell>
          <cell r="B156">
            <v>3060</v>
          </cell>
        </row>
        <row r="157">
          <cell r="A157" t="str">
            <v>Default Tax Agency IN</v>
          </cell>
          <cell r="B157">
            <v>17</v>
          </cell>
        </row>
        <row r="158">
          <cell r="A158" t="str">
            <v>Default Tax Agency SA</v>
          </cell>
          <cell r="B158">
            <v>2056</v>
          </cell>
        </row>
        <row r="159">
          <cell r="A159" t="str">
            <v>Dental Select / Ameritas</v>
          </cell>
          <cell r="B159">
            <v>89</v>
          </cell>
        </row>
        <row r="160">
          <cell r="A160" t="str">
            <v>Designer Appliances</v>
          </cell>
          <cell r="B160">
            <v>3272</v>
          </cell>
        </row>
        <row r="161">
          <cell r="A161" t="str">
            <v>Desjardins Insurance</v>
          </cell>
          <cell r="B161">
            <v>3142</v>
          </cell>
        </row>
        <row r="162">
          <cell r="A162" t="str">
            <v>DHL Express - USA</v>
          </cell>
          <cell r="B162">
            <v>90</v>
          </cell>
        </row>
        <row r="163">
          <cell r="A163" t="str">
            <v>Dhruvsoft Services Private Limited</v>
          </cell>
          <cell r="B163">
            <v>3202</v>
          </cell>
        </row>
        <row r="164">
          <cell r="A164" t="str">
            <v>Diaz Trade Law, P.A.</v>
          </cell>
          <cell r="B164">
            <v>91</v>
          </cell>
        </row>
        <row r="165">
          <cell r="A165" t="str">
            <v>Discount Building Materials</v>
          </cell>
          <cell r="B165">
            <v>92</v>
          </cell>
        </row>
        <row r="166">
          <cell r="A166" t="str">
            <v>Discount Power</v>
          </cell>
          <cell r="B166">
            <v>3138</v>
          </cell>
        </row>
        <row r="167">
          <cell r="A167" t="str">
            <v>Docusign, Inc.</v>
          </cell>
          <cell r="B167">
            <v>1580</v>
          </cell>
        </row>
        <row r="168">
          <cell r="A168" t="str">
            <v>Double Building Materials Co., Limited</v>
          </cell>
          <cell r="B168">
            <v>2980</v>
          </cell>
        </row>
        <row r="169">
          <cell r="A169" t="str">
            <v>Dragon X LLC</v>
          </cell>
          <cell r="B169">
            <v>93</v>
          </cell>
        </row>
        <row r="170">
          <cell r="A170" t="str">
            <v>Draps &amp; Stitching Alteration</v>
          </cell>
          <cell r="B170">
            <v>2938</v>
          </cell>
        </row>
        <row r="171">
          <cell r="A171" t="str">
            <v>Drewkol sp. Z o.o.</v>
          </cell>
          <cell r="B171">
            <v>1242</v>
          </cell>
        </row>
        <row r="172">
          <cell r="A172" t="str">
            <v>Dun &amp; Bradstreet</v>
          </cell>
          <cell r="B172">
            <v>3196</v>
          </cell>
        </row>
        <row r="173">
          <cell r="A173" t="str">
            <v>Durkan Patterned Carpet</v>
          </cell>
          <cell r="B173">
            <v>1243</v>
          </cell>
        </row>
        <row r="174">
          <cell r="A174" t="str">
            <v>Dwayne Clark</v>
          </cell>
          <cell r="B174">
            <v>3163</v>
          </cell>
        </row>
        <row r="175">
          <cell r="A175" t="str">
            <v>DYNA Logistics</v>
          </cell>
          <cell r="B175">
            <v>94</v>
          </cell>
        </row>
        <row r="176">
          <cell r="A176" t="str">
            <v>East Best LLC</v>
          </cell>
          <cell r="B176">
            <v>95</v>
          </cell>
        </row>
        <row r="177">
          <cell r="A177" t="str">
            <v>Easy Stones</v>
          </cell>
          <cell r="B177">
            <v>1244</v>
          </cell>
        </row>
        <row r="178">
          <cell r="A178" t="str">
            <v>ECAD, Inc.</v>
          </cell>
          <cell r="B178">
            <v>1245</v>
          </cell>
        </row>
        <row r="179">
          <cell r="A179" t="str">
            <v>ECO Bierzo Composite SL / Stacbond</v>
          </cell>
          <cell r="B179">
            <v>96</v>
          </cell>
        </row>
        <row r="180">
          <cell r="A180" t="str">
            <v>Ecore Commercial</v>
          </cell>
          <cell r="B180">
            <v>2369</v>
          </cell>
        </row>
        <row r="181">
          <cell r="A181" t="str">
            <v>Egan Visual Corporation</v>
          </cell>
          <cell r="B181">
            <v>2771</v>
          </cell>
        </row>
        <row r="182">
          <cell r="A182" t="str">
            <v>Eggleston &amp; Briscoe LLP</v>
          </cell>
          <cell r="B182">
            <v>2810</v>
          </cell>
        </row>
        <row r="183">
          <cell r="A183" t="str">
            <v>Elastron Group</v>
          </cell>
          <cell r="B183">
            <v>1246</v>
          </cell>
        </row>
        <row r="184">
          <cell r="A184" t="str">
            <v>Elton Claxton</v>
          </cell>
          <cell r="B184">
            <v>3284</v>
          </cell>
        </row>
        <row r="185">
          <cell r="A185" t="str">
            <v>Elysium Tile Florida</v>
          </cell>
          <cell r="B185">
            <v>97</v>
          </cell>
        </row>
        <row r="186">
          <cell r="A186" t="str">
            <v>Emeco</v>
          </cell>
          <cell r="B186">
            <v>2487</v>
          </cell>
        </row>
        <row r="187">
          <cell r="A187" t="str">
            <v>Emerald</v>
          </cell>
          <cell r="B187">
            <v>98</v>
          </cell>
        </row>
        <row r="188">
          <cell r="A188" t="str">
            <v>EmilCeramica S.r.l. a socio unico</v>
          </cell>
          <cell r="B188">
            <v>2325</v>
          </cell>
        </row>
        <row r="189">
          <cell r="A189" t="str">
            <v>EMODAL /PIERPASS</v>
          </cell>
          <cell r="B189">
            <v>1960</v>
          </cell>
        </row>
        <row r="190">
          <cell r="A190" t="str">
            <v>Emser Tile</v>
          </cell>
          <cell r="B190">
            <v>3104</v>
          </cell>
        </row>
        <row r="191">
          <cell r="A191" t="str">
            <v>Emuamericas, LLC</v>
          </cell>
          <cell r="B191">
            <v>3014</v>
          </cell>
        </row>
        <row r="192">
          <cell r="A192" t="str">
            <v>EQUIPE CERÁMICAS S.L.U.</v>
          </cell>
          <cell r="B192">
            <v>2526</v>
          </cell>
        </row>
        <row r="193">
          <cell r="A193" t="str">
            <v>Eric Reyes</v>
          </cell>
          <cell r="B193">
            <v>2683</v>
          </cell>
        </row>
        <row r="194">
          <cell r="A194" t="str">
            <v>ERICA SHAMROCK TEXTILES</v>
          </cell>
          <cell r="B194">
            <v>2394</v>
          </cell>
        </row>
        <row r="195">
          <cell r="A195" t="str">
            <v>Esbeida Hernandez</v>
          </cell>
          <cell r="B195">
            <v>2308</v>
          </cell>
        </row>
        <row r="196">
          <cell r="A196" t="str">
            <v>Eswari Exports</v>
          </cell>
          <cell r="B196">
            <v>99</v>
          </cell>
        </row>
        <row r="197">
          <cell r="A197" t="str">
            <v>Evangel Shipping Inc.</v>
          </cell>
          <cell r="B197">
            <v>100</v>
          </cell>
        </row>
        <row r="198">
          <cell r="A198" t="str">
            <v>Everest Transportation Systems, LLC</v>
          </cell>
          <cell r="B198">
            <v>101</v>
          </cell>
        </row>
        <row r="199">
          <cell r="A199" t="str">
            <v>Evimteks</v>
          </cell>
          <cell r="B199">
            <v>2682</v>
          </cell>
        </row>
        <row r="200">
          <cell r="A200" t="str">
            <v>EVN Ingenieria y Construccion/Hugo vargas</v>
          </cell>
          <cell r="B200">
            <v>102</v>
          </cell>
        </row>
        <row r="201">
          <cell r="A201" t="str">
            <v>Expeditors INT'L of WA Inc.</v>
          </cell>
          <cell r="B201">
            <v>103</v>
          </cell>
        </row>
        <row r="202">
          <cell r="A202" t="str">
            <v>EXPO Stones</v>
          </cell>
          <cell r="B202">
            <v>2768</v>
          </cell>
        </row>
        <row r="203">
          <cell r="A203" t="str">
            <v>EZ Delivery Service LLC</v>
          </cell>
          <cell r="B203">
            <v>2897</v>
          </cell>
        </row>
        <row r="204">
          <cell r="A204" t="str">
            <v>F.B. STONES S.R.L.</v>
          </cell>
          <cell r="B204">
            <v>2660</v>
          </cell>
        </row>
        <row r="205">
          <cell r="A205" t="str">
            <v>Fabricut, Inc.</v>
          </cell>
          <cell r="B205">
            <v>1247</v>
          </cell>
        </row>
        <row r="206">
          <cell r="A206" t="str">
            <v>Fama Sofas S.L.U</v>
          </cell>
          <cell r="B206">
            <v>1248</v>
          </cell>
        </row>
        <row r="207">
          <cell r="A207" t="str">
            <v>FAPCERA</v>
          </cell>
          <cell r="B207">
            <v>1967</v>
          </cell>
        </row>
        <row r="208">
          <cell r="A208" t="str">
            <v>Fasco Fasteners &amp; Supply</v>
          </cell>
          <cell r="B208">
            <v>105</v>
          </cell>
        </row>
        <row r="209">
          <cell r="A209" t="str">
            <v>Fashion Bed Group / Sinca Furniture &amp; Bedding Inc.</v>
          </cell>
          <cell r="B209">
            <v>3100</v>
          </cell>
        </row>
        <row r="210">
          <cell r="A210" t="str">
            <v>Fay Marcantel</v>
          </cell>
          <cell r="B210">
            <v>2331</v>
          </cell>
        </row>
        <row r="211">
          <cell r="A211" t="str">
            <v>FBM Group Corporation</v>
          </cell>
          <cell r="B211">
            <v>2043</v>
          </cell>
        </row>
        <row r="212">
          <cell r="A212" t="str">
            <v>FC Construction Services LLC</v>
          </cell>
          <cell r="B212">
            <v>106</v>
          </cell>
        </row>
        <row r="213">
          <cell r="A213" t="str">
            <v>FedEx</v>
          </cell>
          <cell r="B213">
            <v>107</v>
          </cell>
        </row>
        <row r="214">
          <cell r="A214" t="str">
            <v>Fenabel, S.A.</v>
          </cell>
          <cell r="B214">
            <v>1249</v>
          </cell>
        </row>
        <row r="215">
          <cell r="A215" t="str">
            <v>Ferguson Home</v>
          </cell>
          <cell r="B215">
            <v>2819</v>
          </cell>
        </row>
        <row r="216">
          <cell r="A216" t="str">
            <v>Fernando Hidalgo</v>
          </cell>
          <cell r="B216">
            <v>2213</v>
          </cell>
        </row>
        <row r="217">
          <cell r="A217" t="str">
            <v>Ferrari &amp; Cigarini North America</v>
          </cell>
          <cell r="B217">
            <v>108</v>
          </cell>
        </row>
        <row r="218">
          <cell r="A218" t="str">
            <v>Fiber Splicers of Texas LLC</v>
          </cell>
          <cell r="B218">
            <v>3178</v>
          </cell>
        </row>
        <row r="219">
          <cell r="A219" t="str">
            <v>Fil Doux Textiles</v>
          </cell>
          <cell r="B219">
            <v>2289</v>
          </cell>
        </row>
        <row r="220">
          <cell r="A220" t="str">
            <v>Five Star Floors Pearland</v>
          </cell>
          <cell r="B220">
            <v>2370</v>
          </cell>
        </row>
        <row r="221">
          <cell r="A221" t="str">
            <v>Florida Tile Inc. DBA Panariagroup USA</v>
          </cell>
          <cell r="B221">
            <v>109</v>
          </cell>
        </row>
        <row r="222">
          <cell r="A222" t="str">
            <v>FlorimC</v>
          </cell>
          <cell r="B222">
            <v>1968</v>
          </cell>
        </row>
        <row r="223">
          <cell r="A223" t="str">
            <v>Flyway Commercial Solution Limited</v>
          </cell>
          <cell r="B223">
            <v>1250</v>
          </cell>
        </row>
        <row r="224">
          <cell r="A224" t="str">
            <v>FNK TRANSPORT LLC</v>
          </cell>
          <cell r="B224">
            <v>2961</v>
          </cell>
        </row>
        <row r="225">
          <cell r="A225" t="str">
            <v>Foshan Global Bridge Bulding Materials Co., LTD</v>
          </cell>
          <cell r="B225">
            <v>1251</v>
          </cell>
        </row>
        <row r="226">
          <cell r="A226" t="str">
            <v>Four Season Travels</v>
          </cell>
          <cell r="B226">
            <v>110</v>
          </cell>
        </row>
        <row r="227">
          <cell r="A227" t="str">
            <v>FPD SHPK</v>
          </cell>
          <cell r="B227">
            <v>1252</v>
          </cell>
        </row>
        <row r="228">
          <cell r="A228" t="str">
            <v>Freeman</v>
          </cell>
          <cell r="B228">
            <v>111</v>
          </cell>
        </row>
        <row r="229">
          <cell r="A229" t="str">
            <v>FreightPOP</v>
          </cell>
          <cell r="B229">
            <v>2557</v>
          </cell>
        </row>
        <row r="230">
          <cell r="A230" t="str">
            <v>FTLC Inc.</v>
          </cell>
          <cell r="B230">
            <v>112</v>
          </cell>
        </row>
        <row r="231">
          <cell r="A231" t="str">
            <v>FUJIAN PERFECT NEW MATERIAL TECHNOLOGY CO., LTD.</v>
          </cell>
          <cell r="B231">
            <v>3207</v>
          </cell>
        </row>
        <row r="232">
          <cell r="A232" t="str">
            <v>FX Sales, Inc.</v>
          </cell>
          <cell r="B232">
            <v>113</v>
          </cell>
        </row>
        <row r="233">
          <cell r="A233" t="str">
            <v>Galveston County Tax Assessor-Collector</v>
          </cell>
          <cell r="B233">
            <v>2280</v>
          </cell>
        </row>
        <row r="234">
          <cell r="A234" t="str">
            <v>Galveston County Tax Assessor-Collector (4-1735302464)</v>
          </cell>
          <cell r="B234">
            <v>1569</v>
          </cell>
        </row>
        <row r="235">
          <cell r="A235" t="str">
            <v>Genesis General Construction LLC</v>
          </cell>
          <cell r="B235">
            <v>114</v>
          </cell>
        </row>
        <row r="236">
          <cell r="A236" t="str">
            <v>GH Trans USA LLC</v>
          </cell>
          <cell r="B236">
            <v>115</v>
          </cell>
        </row>
        <row r="237">
          <cell r="A237" t="str">
            <v>Gibam Shops SPA</v>
          </cell>
          <cell r="B237">
            <v>1253</v>
          </cell>
        </row>
        <row r="238">
          <cell r="A238" t="str">
            <v>Gigacer s.p.a</v>
          </cell>
          <cell r="B238">
            <v>3026</v>
          </cell>
        </row>
        <row r="239">
          <cell r="A239" t="str">
            <v>Global Expereince Specialists Inc.</v>
          </cell>
          <cell r="B239">
            <v>116</v>
          </cell>
        </row>
        <row r="240">
          <cell r="A240" t="str">
            <v>Global Freight Services (USA) LLC</v>
          </cell>
          <cell r="B240">
            <v>117</v>
          </cell>
        </row>
        <row r="241">
          <cell r="A241" t="str">
            <v>Globe Life Liberty National Division</v>
          </cell>
          <cell r="B241">
            <v>118</v>
          </cell>
        </row>
        <row r="242">
          <cell r="A242" t="str">
            <v>Google LLC</v>
          </cell>
          <cell r="B242">
            <v>119</v>
          </cell>
        </row>
        <row r="243">
          <cell r="A243" t="str">
            <v>Grace Freight Inc.</v>
          </cell>
          <cell r="B243">
            <v>120</v>
          </cell>
        </row>
        <row r="244">
          <cell r="A244" t="str">
            <v>Grand Quartz Tech Co., Ltd</v>
          </cell>
          <cell r="B244">
            <v>2820</v>
          </cell>
        </row>
        <row r="245">
          <cell r="A245" t="str">
            <v>Granite Real</v>
          </cell>
          <cell r="B245">
            <v>2876</v>
          </cell>
        </row>
        <row r="246">
          <cell r="A246" t="str">
            <v>Graniti Vicenita Realty 2</v>
          </cell>
          <cell r="B246">
            <v>121</v>
          </cell>
        </row>
        <row r="247">
          <cell r="A247" t="str">
            <v>Graniti Vicentia LLC</v>
          </cell>
          <cell r="B247">
            <v>2936</v>
          </cell>
        </row>
        <row r="248">
          <cell r="A248" t="str">
            <v>GranitiFiandre S.p. A.</v>
          </cell>
          <cell r="B248">
            <v>1254</v>
          </cell>
        </row>
        <row r="249">
          <cell r="A249" t="str">
            <v>GranQuartz</v>
          </cell>
          <cell r="B249">
            <v>2402</v>
          </cell>
        </row>
        <row r="250">
          <cell r="A250" t="str">
            <v>Graphic Stylus</v>
          </cell>
          <cell r="B250">
            <v>2467</v>
          </cell>
        </row>
        <row r="251">
          <cell r="A251" t="str">
            <v>Green River Oak World Inc.</v>
          </cell>
          <cell r="B251">
            <v>1255</v>
          </cell>
        </row>
        <row r="252">
          <cell r="A252" t="str">
            <v>GRESDEA</v>
          </cell>
          <cell r="B252">
            <v>1961</v>
          </cell>
        </row>
        <row r="253">
          <cell r="A253" t="str">
            <v>GROUND FREIGHT SOLUTIONS, LLC</v>
          </cell>
          <cell r="B253">
            <v>3209</v>
          </cell>
        </row>
        <row r="254">
          <cell r="A254" t="str">
            <v>Gruppo Bardelli s.p.a.</v>
          </cell>
          <cell r="B254">
            <v>3027</v>
          </cell>
        </row>
        <row r="255">
          <cell r="A255" t="str">
            <v>Guangdong Aluno Industry Co., Ltd.</v>
          </cell>
          <cell r="B255">
            <v>2979</v>
          </cell>
        </row>
        <row r="256">
          <cell r="A256" t="str">
            <v>GV Facades LLC</v>
          </cell>
          <cell r="B256">
            <v>122</v>
          </cell>
        </row>
        <row r="257">
          <cell r="A257" t="str">
            <v>GV Service, Inc.</v>
          </cell>
          <cell r="B257">
            <v>2798</v>
          </cell>
        </row>
        <row r="258">
          <cell r="A258" t="str">
            <v>HAIRris Beauty</v>
          </cell>
          <cell r="B258">
            <v>2742</v>
          </cell>
        </row>
        <row r="259">
          <cell r="A259" t="str">
            <v>Hapag-Lloyd (America) LLC.</v>
          </cell>
          <cell r="B259">
            <v>123</v>
          </cell>
        </row>
        <row r="260">
          <cell r="A260" t="str">
            <v>Harman Furniture Group</v>
          </cell>
          <cell r="B260">
            <v>3243</v>
          </cell>
        </row>
        <row r="261">
          <cell r="A261" t="str">
            <v>HARMONY HOSPITALITY CO LTD</v>
          </cell>
          <cell r="B261">
            <v>2517</v>
          </cell>
        </row>
        <row r="262">
          <cell r="A262" t="str">
            <v>Harris County Toll Road Authority / EZ TAG</v>
          </cell>
          <cell r="B262">
            <v>124</v>
          </cell>
        </row>
        <row r="263">
          <cell r="A263" t="str">
            <v>Haulotte US - Spare Parts</v>
          </cell>
          <cell r="B263">
            <v>3296</v>
          </cell>
        </row>
        <row r="264">
          <cell r="A264" t="str">
            <v>HBF Textiles</v>
          </cell>
          <cell r="B264">
            <v>3086</v>
          </cell>
        </row>
        <row r="265">
          <cell r="A265" t="str">
            <v>HD Expo</v>
          </cell>
          <cell r="B265">
            <v>2943</v>
          </cell>
        </row>
        <row r="266">
          <cell r="A266" t="str">
            <v>Hebei Forest Bright Wood Industry</v>
          </cell>
          <cell r="B266">
            <v>1716</v>
          </cell>
        </row>
        <row r="267">
          <cell r="A267" t="str">
            <v>HEBEIVI</v>
          </cell>
          <cell r="B267">
            <v>2039</v>
          </cell>
        </row>
        <row r="268">
          <cell r="A268" t="str">
            <v>Hecht Walker Jordan, P.C.</v>
          </cell>
          <cell r="B268">
            <v>125</v>
          </cell>
        </row>
        <row r="269">
          <cell r="A269" t="str">
            <v>Hera Industrial Joint Stock Company</v>
          </cell>
          <cell r="B269">
            <v>1332</v>
          </cell>
        </row>
        <row r="270">
          <cell r="A270" t="str">
            <v>Higginbotham Insurance Agency / Meridian Finance, LLC / First Insurance Funding</v>
          </cell>
          <cell r="B270">
            <v>2750</v>
          </cell>
        </row>
        <row r="271">
          <cell r="A271" t="str">
            <v>High Security Lock &amp; Safe</v>
          </cell>
          <cell r="B271">
            <v>126</v>
          </cell>
        </row>
        <row r="272">
          <cell r="A272" t="str">
            <v>Hijos De Cipriano Castello Alfonso, S.L.</v>
          </cell>
          <cell r="B272">
            <v>330</v>
          </cell>
        </row>
        <row r="273">
          <cell r="A273" t="str">
            <v>Hilltop Stones Inc.</v>
          </cell>
          <cell r="B273">
            <v>2157</v>
          </cell>
        </row>
        <row r="274">
          <cell r="A274" t="str">
            <v>Hilti, Inc.</v>
          </cell>
          <cell r="B274">
            <v>127</v>
          </cell>
        </row>
        <row r="275">
          <cell r="A275" t="str">
            <v>HJ Sink</v>
          </cell>
          <cell r="B275">
            <v>2464</v>
          </cell>
        </row>
        <row r="276">
          <cell r="A276" t="str">
            <v>Holiday Gift Check Program</v>
          </cell>
          <cell r="B276">
            <v>2969</v>
          </cell>
        </row>
        <row r="277">
          <cell r="A277" t="str">
            <v>Holly Hunt</v>
          </cell>
          <cell r="B277">
            <v>3065</v>
          </cell>
        </row>
        <row r="278">
          <cell r="A278" t="str">
            <v>Hollywood Bed &amp; Spring MFG. Co., Inc.</v>
          </cell>
          <cell r="B278">
            <v>1256</v>
          </cell>
        </row>
        <row r="279">
          <cell r="A279" t="str">
            <v>Home Depot</v>
          </cell>
          <cell r="B279">
            <v>128</v>
          </cell>
        </row>
        <row r="280">
          <cell r="A280" t="str">
            <v>Homeowners of America</v>
          </cell>
          <cell r="B280">
            <v>3298</v>
          </cell>
        </row>
        <row r="281">
          <cell r="A281" t="str">
            <v>Hotchkiss Insurance Agency, LLC</v>
          </cell>
          <cell r="B281">
            <v>129</v>
          </cell>
        </row>
        <row r="282">
          <cell r="A282" t="str">
            <v>Hotel Engine</v>
          </cell>
          <cell r="B282">
            <v>130</v>
          </cell>
        </row>
        <row r="283">
          <cell r="A283" t="str">
            <v>Hudson Energy Service LLC</v>
          </cell>
          <cell r="B283">
            <v>131</v>
          </cell>
        </row>
        <row r="284">
          <cell r="A284" t="str">
            <v>Humanscale Corporation</v>
          </cell>
          <cell r="B284">
            <v>3011</v>
          </cell>
        </row>
        <row r="285">
          <cell r="A285" t="str">
            <v>Hunter Hotel Investment Conference</v>
          </cell>
          <cell r="B285">
            <v>1257</v>
          </cell>
        </row>
        <row r="286">
          <cell r="A286" t="str">
            <v>Hyundai Merchant Marine / HMM Co., Ltd.</v>
          </cell>
          <cell r="B286">
            <v>3078</v>
          </cell>
        </row>
        <row r="287">
          <cell r="A287" t="str">
            <v>IC-Graniti Vicentia LLC</v>
          </cell>
          <cell r="B287">
            <v>1434</v>
          </cell>
        </row>
        <row r="288">
          <cell r="A288" t="str">
            <v>IC-GV Arabia LTD</v>
          </cell>
          <cell r="B288">
            <v>2057</v>
          </cell>
        </row>
        <row r="289">
          <cell r="A289" t="str">
            <v>IC-GV Canada</v>
          </cell>
          <cell r="B289">
            <v>1439</v>
          </cell>
        </row>
        <row r="290">
          <cell r="A290" t="str">
            <v>IC-GV Facades</v>
          </cell>
          <cell r="B290">
            <v>1435</v>
          </cell>
        </row>
        <row r="291">
          <cell r="A291" t="str">
            <v>IC-GV India</v>
          </cell>
          <cell r="B291">
            <v>1438</v>
          </cell>
        </row>
        <row r="292">
          <cell r="A292" t="str">
            <v>IC-GV Realty</v>
          </cell>
          <cell r="B292">
            <v>1436</v>
          </cell>
        </row>
        <row r="293">
          <cell r="A293" t="str">
            <v>IC-GV Realty 2</v>
          </cell>
          <cell r="B293">
            <v>1437</v>
          </cell>
        </row>
        <row r="294">
          <cell r="A294" t="str">
            <v>IC-Parent Company</v>
          </cell>
          <cell r="B294">
            <v>1433</v>
          </cell>
        </row>
        <row r="295">
          <cell r="A295" t="str">
            <v>ICC Evaluation Service</v>
          </cell>
          <cell r="B295">
            <v>3051</v>
          </cell>
        </row>
        <row r="296">
          <cell r="A296" t="str">
            <v>ID Label Inc.</v>
          </cell>
          <cell r="B296">
            <v>1560</v>
          </cell>
        </row>
        <row r="297">
          <cell r="A297" t="str">
            <v>IGM SURFACES</v>
          </cell>
          <cell r="B297">
            <v>2658</v>
          </cell>
        </row>
        <row r="298">
          <cell r="A298" t="str">
            <v>Imagine Porcelain</v>
          </cell>
          <cell r="B298">
            <v>2493</v>
          </cell>
        </row>
        <row r="299">
          <cell r="A299" t="str">
            <v>Inalco USA</v>
          </cell>
          <cell r="B299">
            <v>3028</v>
          </cell>
        </row>
        <row r="300">
          <cell r="A300" t="str">
            <v>Inchcape Shipping Services</v>
          </cell>
          <cell r="B300">
            <v>2922</v>
          </cell>
        </row>
        <row r="301">
          <cell r="A301" t="str">
            <v>Indus Trade &amp; Technology</v>
          </cell>
          <cell r="B301">
            <v>2468</v>
          </cell>
        </row>
        <row r="302">
          <cell r="A302" t="str">
            <v>Innovations</v>
          </cell>
          <cell r="B302">
            <v>2926</v>
          </cell>
        </row>
        <row r="303">
          <cell r="A303" t="str">
            <v>Insite Art</v>
          </cell>
          <cell r="B303">
            <v>3087</v>
          </cell>
        </row>
        <row r="304">
          <cell r="A304" t="str">
            <v>Intercontinental Marble &amp; Granite Inc.</v>
          </cell>
          <cell r="B304">
            <v>132</v>
          </cell>
        </row>
        <row r="305">
          <cell r="A305" t="str">
            <v>Interface Americas, Inc.</v>
          </cell>
          <cell r="B305">
            <v>1258</v>
          </cell>
        </row>
        <row r="306">
          <cell r="A306" t="str">
            <v>Interglobo Customs Brokers Inc.</v>
          </cell>
          <cell r="B306">
            <v>133</v>
          </cell>
        </row>
        <row r="307">
          <cell r="A307" t="str">
            <v>Internal Revenue Service (IRS)</v>
          </cell>
          <cell r="B307">
            <v>134</v>
          </cell>
        </row>
        <row r="308">
          <cell r="A308" t="str">
            <v>International Package Services**DO NOT USE**</v>
          </cell>
          <cell r="B308">
            <v>2784</v>
          </cell>
        </row>
        <row r="309">
          <cell r="A309" t="str">
            <v>Intertek - Architectural Testing, Inc.</v>
          </cell>
          <cell r="B309">
            <v>135</v>
          </cell>
        </row>
        <row r="310">
          <cell r="A310" t="str">
            <v>ISLAND MOVERS</v>
          </cell>
          <cell r="B310">
            <v>3005</v>
          </cell>
        </row>
        <row r="311">
          <cell r="A311" t="str">
            <v>ITALGRANITI GROUP S.p.A</v>
          </cell>
          <cell r="B311">
            <v>2431</v>
          </cell>
        </row>
        <row r="312">
          <cell r="A312" t="str">
            <v>ITC Societa Benefit SRL</v>
          </cell>
          <cell r="B312">
            <v>2656</v>
          </cell>
        </row>
        <row r="313">
          <cell r="A313" t="str">
            <v>J.A. Tree Experts</v>
          </cell>
          <cell r="B313">
            <v>136</v>
          </cell>
        </row>
        <row r="314">
          <cell r="A314" t="str">
            <v>JaipurR</v>
          </cell>
          <cell r="B314">
            <v>1969</v>
          </cell>
        </row>
        <row r="315">
          <cell r="A315" t="str">
            <v>Jasfer Industry Co., Limited</v>
          </cell>
          <cell r="B315">
            <v>137</v>
          </cell>
        </row>
        <row r="316">
          <cell r="A316" t="str">
            <v>JB Spain/Jose Manuel Boix Mulet</v>
          </cell>
          <cell r="B316">
            <v>331</v>
          </cell>
        </row>
        <row r="317">
          <cell r="A317" t="str">
            <v>JDA Builders, Inc. (Daniel A Rivera)</v>
          </cell>
          <cell r="B317">
            <v>1259</v>
          </cell>
        </row>
        <row r="318">
          <cell r="A318" t="str">
            <v>Jerry Osborne &amp; Associates</v>
          </cell>
          <cell r="B318">
            <v>3266</v>
          </cell>
        </row>
        <row r="319">
          <cell r="A319" t="str">
            <v>JMG WASTE CONTAINERS</v>
          </cell>
          <cell r="B319">
            <v>1942</v>
          </cell>
        </row>
        <row r="320">
          <cell r="A320" t="str">
            <v>JMS</v>
          </cell>
          <cell r="B320">
            <v>1260</v>
          </cell>
        </row>
        <row r="321">
          <cell r="A321" t="str">
            <v>JMSMILL</v>
          </cell>
          <cell r="B321">
            <v>1955</v>
          </cell>
        </row>
        <row r="322">
          <cell r="A322" t="str">
            <v>John Brooks Incorporated</v>
          </cell>
          <cell r="B322">
            <v>1261</v>
          </cell>
        </row>
        <row r="323">
          <cell r="A323" t="str">
            <v>John Penta Consulting</v>
          </cell>
          <cell r="B323">
            <v>139</v>
          </cell>
        </row>
        <row r="324">
          <cell r="A324" t="str">
            <v>John R. Ames, CTA - Tax Assessor/Collector</v>
          </cell>
          <cell r="B324">
            <v>140</v>
          </cell>
        </row>
        <row r="325">
          <cell r="A325" t="str">
            <v>JOHNPEN</v>
          </cell>
          <cell r="B325">
            <v>1953</v>
          </cell>
        </row>
        <row r="326">
          <cell r="A326" t="str">
            <v>Jones Delivery Service, Inc.</v>
          </cell>
          <cell r="B326">
            <v>141</v>
          </cell>
        </row>
        <row r="327">
          <cell r="A327" t="str">
            <v>Jose Martin Ramos</v>
          </cell>
          <cell r="B327">
            <v>2931</v>
          </cell>
        </row>
        <row r="328">
          <cell r="A328" t="str">
            <v>Jose Quijada</v>
          </cell>
          <cell r="B328">
            <v>2978</v>
          </cell>
        </row>
        <row r="329">
          <cell r="A329" t="str">
            <v>JosephS</v>
          </cell>
          <cell r="B329">
            <v>1943</v>
          </cell>
        </row>
        <row r="330">
          <cell r="A330" t="str">
            <v>Josh  Patko</v>
          </cell>
          <cell r="B330">
            <v>2997</v>
          </cell>
        </row>
        <row r="331">
          <cell r="A331" t="str">
            <v>JS INTERIORS</v>
          </cell>
          <cell r="B331">
            <v>2192</v>
          </cell>
        </row>
        <row r="332">
          <cell r="A332" t="str">
            <v>Juan Dominguez</v>
          </cell>
          <cell r="B332">
            <v>2648</v>
          </cell>
        </row>
        <row r="333">
          <cell r="A333" t="str">
            <v>Juan Roncancio</v>
          </cell>
          <cell r="B333">
            <v>2815</v>
          </cell>
        </row>
        <row r="334">
          <cell r="A334" t="str">
            <v>Julie's Alterations</v>
          </cell>
          <cell r="B334">
            <v>142</v>
          </cell>
        </row>
        <row r="335">
          <cell r="A335" t="str">
            <v>JUNIPER DESIGN GROUP</v>
          </cell>
          <cell r="B335">
            <v>2395</v>
          </cell>
        </row>
        <row r="336">
          <cell r="A336" t="str">
            <v>JVAArtG</v>
          </cell>
          <cell r="B336">
            <v>1970</v>
          </cell>
        </row>
        <row r="337">
          <cell r="A337" t="str">
            <v>KALISHER / Art is Love</v>
          </cell>
          <cell r="B337">
            <v>3012</v>
          </cell>
        </row>
        <row r="338">
          <cell r="A338" t="str">
            <v>KEIL Befestigungstechnik GmbH</v>
          </cell>
          <cell r="B338">
            <v>143</v>
          </cell>
        </row>
        <row r="339">
          <cell r="A339" t="str">
            <v>Kelly Turnage</v>
          </cell>
          <cell r="B339">
            <v>3250</v>
          </cell>
        </row>
        <row r="340">
          <cell r="A340" t="str">
            <v>Kenneth Ussenko Design / KUD Hospitality</v>
          </cell>
          <cell r="B340">
            <v>2469</v>
          </cell>
        </row>
        <row r="341">
          <cell r="A341" t="str">
            <v>Kerry Apex</v>
          </cell>
          <cell r="B341">
            <v>144</v>
          </cell>
        </row>
        <row r="342">
          <cell r="A342" t="str">
            <v>Kingkonree International China Surface Industrial Co., LTD</v>
          </cell>
          <cell r="B342">
            <v>2345</v>
          </cell>
        </row>
        <row r="343">
          <cell r="A343" t="str">
            <v>Kings Construction</v>
          </cell>
          <cell r="B343">
            <v>145</v>
          </cell>
        </row>
        <row r="344">
          <cell r="A344" t="str">
            <v>Koby Singletary</v>
          </cell>
          <cell r="B344">
            <v>1944</v>
          </cell>
        </row>
        <row r="345">
          <cell r="A345" t="str">
            <v>Konica Minolta Business Solutions USA Inc.</v>
          </cell>
          <cell r="B345">
            <v>146</v>
          </cell>
        </row>
        <row r="346">
          <cell r="A346" t="str">
            <v>Koroseal</v>
          </cell>
          <cell r="B346">
            <v>2324</v>
          </cell>
        </row>
        <row r="347">
          <cell r="A347" t="str">
            <v>Kristin Clennan</v>
          </cell>
          <cell r="B347">
            <v>2988</v>
          </cell>
        </row>
        <row r="348">
          <cell r="A348" t="str">
            <v>Kronos USA</v>
          </cell>
          <cell r="B348">
            <v>2563</v>
          </cell>
        </row>
        <row r="349">
          <cell r="A349" t="str">
            <v>KTC Logistics</v>
          </cell>
          <cell r="B349">
            <v>147</v>
          </cell>
        </row>
        <row r="350">
          <cell r="A350" t="str">
            <v>Kuartz Surfaces and Kitchens</v>
          </cell>
          <cell r="B350">
            <v>1262</v>
          </cell>
        </row>
        <row r="351">
          <cell r="A351" t="str">
            <v>Kvadrat Inc.</v>
          </cell>
          <cell r="B351">
            <v>1263</v>
          </cell>
        </row>
        <row r="352">
          <cell r="A352" t="str">
            <v>Kyle Dejean</v>
          </cell>
          <cell r="B352">
            <v>2428</v>
          </cell>
        </row>
        <row r="353">
          <cell r="A353" t="str">
            <v>L. Roberto Lomas P.E.</v>
          </cell>
          <cell r="B353">
            <v>148</v>
          </cell>
        </row>
        <row r="354">
          <cell r="A354" t="str">
            <v>LA FABBRICA AVA</v>
          </cell>
          <cell r="B354">
            <v>2986</v>
          </cell>
        </row>
        <row r="355">
          <cell r="A355" t="str">
            <v>Laminam USA Inc.</v>
          </cell>
          <cell r="B355">
            <v>149</v>
          </cell>
        </row>
        <row r="356">
          <cell r="A356" t="str">
            <v>Lamps Plus</v>
          </cell>
          <cell r="B356">
            <v>3059</v>
          </cell>
        </row>
        <row r="357">
          <cell r="A357" t="str">
            <v>Landstar Global Logistics, Inc.</v>
          </cell>
          <cell r="B357">
            <v>150</v>
          </cell>
        </row>
        <row r="358">
          <cell r="A358" t="str">
            <v>Landstar Ranger, Inc.</v>
          </cell>
          <cell r="B358">
            <v>151</v>
          </cell>
        </row>
        <row r="359">
          <cell r="A359" t="str">
            <v>Larson Engineering, Inc.</v>
          </cell>
          <cell r="B359">
            <v>152</v>
          </cell>
        </row>
        <row r="360">
          <cell r="A360" t="str">
            <v>Law Offices of Dean P. Sperling</v>
          </cell>
          <cell r="B360">
            <v>2404</v>
          </cell>
        </row>
        <row r="361">
          <cell r="A361" t="str">
            <v>Leggett &amp; Platt</v>
          </cell>
          <cell r="B361">
            <v>2925</v>
          </cell>
        </row>
        <row r="362">
          <cell r="A362" t="str">
            <v>Leica Geosystems Inc.</v>
          </cell>
          <cell r="B362">
            <v>153</v>
          </cell>
        </row>
        <row r="363">
          <cell r="A363" t="str">
            <v>Lift Service Now</v>
          </cell>
          <cell r="B363">
            <v>154</v>
          </cell>
        </row>
        <row r="364">
          <cell r="A364" t="str">
            <v>LinkedIn Corporation</v>
          </cell>
          <cell r="B364">
            <v>155</v>
          </cell>
        </row>
        <row r="365">
          <cell r="A365" t="str">
            <v>LinzTechnologies</v>
          </cell>
          <cell r="B365">
            <v>156</v>
          </cell>
        </row>
        <row r="366">
          <cell r="A366" t="str">
            <v>Lisa Brown</v>
          </cell>
          <cell r="B366">
            <v>2964</v>
          </cell>
        </row>
        <row r="367">
          <cell r="A367" t="str">
            <v>Lojik Design Systems LLC</v>
          </cell>
          <cell r="B367">
            <v>157</v>
          </cell>
        </row>
        <row r="368">
          <cell r="A368" t="str">
            <v>Lowes</v>
          </cell>
          <cell r="B368">
            <v>158</v>
          </cell>
        </row>
        <row r="369">
          <cell r="A369" t="str">
            <v>LP Printing</v>
          </cell>
          <cell r="B369">
            <v>159</v>
          </cell>
        </row>
        <row r="370">
          <cell r="A370" t="str">
            <v>Lubin Portillo</v>
          </cell>
          <cell r="B370">
            <v>2269</v>
          </cell>
        </row>
        <row r="371">
          <cell r="A371" t="str">
            <v>Lucio Martinez</v>
          </cell>
          <cell r="B371">
            <v>3046</v>
          </cell>
        </row>
        <row r="372">
          <cell r="A372" t="str">
            <v>Luis Hernandez</v>
          </cell>
          <cell r="B372">
            <v>1584</v>
          </cell>
        </row>
        <row r="373">
          <cell r="A373" t="str">
            <v>Luxe Stonecrafts</v>
          </cell>
          <cell r="B373">
            <v>3084</v>
          </cell>
        </row>
        <row r="374">
          <cell r="A374" t="str">
            <v>M &amp; Y Cleaning Services LLC</v>
          </cell>
          <cell r="B374">
            <v>1583</v>
          </cell>
        </row>
        <row r="375">
          <cell r="A375" t="str">
            <v>MacDeb Tech Solutions</v>
          </cell>
          <cell r="B375">
            <v>160</v>
          </cell>
        </row>
        <row r="376">
          <cell r="A376" t="str">
            <v>Maersk Line</v>
          </cell>
          <cell r="B376">
            <v>161</v>
          </cell>
        </row>
        <row r="377">
          <cell r="A377" t="str">
            <v>Maharam</v>
          </cell>
          <cell r="B377">
            <v>1264</v>
          </cell>
        </row>
        <row r="378">
          <cell r="A378" t="str">
            <v>Majestic Transportation</v>
          </cell>
          <cell r="B378">
            <v>162</v>
          </cell>
        </row>
        <row r="379">
          <cell r="A379" t="str">
            <v>Maple Tree Trading Inc.</v>
          </cell>
          <cell r="B379">
            <v>1265</v>
          </cell>
        </row>
        <row r="380">
          <cell r="A380" t="str">
            <v>Marca Corona USA, LLC</v>
          </cell>
          <cell r="B380">
            <v>3030</v>
          </cell>
        </row>
        <row r="381">
          <cell r="A381" t="str">
            <v>Marmite Sp. z o.o. - Poland</v>
          </cell>
          <cell r="B381">
            <v>1562</v>
          </cell>
        </row>
        <row r="382">
          <cell r="A382" t="str">
            <v>Martin Godinez/1090</v>
          </cell>
          <cell r="B382">
            <v>2406</v>
          </cell>
        </row>
        <row r="383">
          <cell r="A383" t="str">
            <v>Marvelous Surfaces LLC</v>
          </cell>
          <cell r="B383">
            <v>163</v>
          </cell>
        </row>
        <row r="384">
          <cell r="A384" t="str">
            <v>MASCOT INTERNATIONAL LOGISTICS, INC.</v>
          </cell>
          <cell r="B384">
            <v>2483</v>
          </cell>
        </row>
        <row r="385">
          <cell r="A385" t="str">
            <v>Masomex Global</v>
          </cell>
          <cell r="B385">
            <v>1266</v>
          </cell>
        </row>
        <row r="386">
          <cell r="A386" t="str">
            <v>Maynor Gutierrez</v>
          </cell>
          <cell r="B386">
            <v>2817</v>
          </cell>
        </row>
        <row r="387">
          <cell r="A387" t="str">
            <v>Mazariegos Cab Tech</v>
          </cell>
          <cell r="B387">
            <v>164</v>
          </cell>
        </row>
        <row r="388">
          <cell r="A388" t="str">
            <v>MBCI</v>
          </cell>
          <cell r="B388">
            <v>165</v>
          </cell>
        </row>
        <row r="389">
          <cell r="A389" t="str">
            <v>McGovern Hurley LLP</v>
          </cell>
          <cell r="B389">
            <v>2509</v>
          </cell>
        </row>
        <row r="390">
          <cell r="A390" t="str">
            <v>McGriff Insurance Services</v>
          </cell>
          <cell r="B390">
            <v>1692</v>
          </cell>
        </row>
        <row r="391">
          <cell r="A391" t="str">
            <v>MDC Interior Solutions</v>
          </cell>
          <cell r="B391">
            <v>1267</v>
          </cell>
        </row>
        <row r="392">
          <cell r="A392" t="str">
            <v>Meblabs</v>
          </cell>
          <cell r="B392">
            <v>1945</v>
          </cell>
        </row>
        <row r="393">
          <cell r="A393" t="str">
            <v>Medallion Transport &amp; Logistics, LLC</v>
          </cell>
          <cell r="B393">
            <v>166</v>
          </cell>
        </row>
        <row r="394">
          <cell r="A394" t="str">
            <v>Mediterranean Shipping Co. USA Inc</v>
          </cell>
          <cell r="B394">
            <v>167</v>
          </cell>
        </row>
        <row r="395">
          <cell r="A395" t="str">
            <v>Megha Raja</v>
          </cell>
          <cell r="B395">
            <v>2776</v>
          </cell>
        </row>
        <row r="396">
          <cell r="A396" t="str">
            <v>Melkin Lenin Trigueros Alvarado</v>
          </cell>
          <cell r="B396">
            <v>2301</v>
          </cell>
        </row>
        <row r="397">
          <cell r="A397" t="str">
            <v>Mellowland Furnishing Inc.</v>
          </cell>
          <cell r="B397">
            <v>168</v>
          </cell>
        </row>
        <row r="398">
          <cell r="A398" t="str">
            <v>Melton &amp; Melton, L.L.P.</v>
          </cell>
          <cell r="B398">
            <v>169</v>
          </cell>
        </row>
        <row r="399">
          <cell r="A399" t="str">
            <v>Metro Light &amp; Power LLC</v>
          </cell>
          <cell r="B399">
            <v>2985</v>
          </cell>
        </row>
        <row r="400">
          <cell r="A400" t="str">
            <v>Metro Light &amp; Power**DO NOT USE, DUPLICATE**</v>
          </cell>
          <cell r="B400">
            <v>2885</v>
          </cell>
        </row>
        <row r="401">
          <cell r="A401" t="str">
            <v>Metropolitan Development Company LLC</v>
          </cell>
          <cell r="B401">
            <v>170</v>
          </cell>
        </row>
        <row r="402">
          <cell r="A402" t="str">
            <v>MI &amp; GEI Hardware Design Studio</v>
          </cell>
          <cell r="B402">
            <v>1268</v>
          </cell>
        </row>
        <row r="403">
          <cell r="A403" t="str">
            <v>Microsoft</v>
          </cell>
          <cell r="B403">
            <v>171</v>
          </cell>
        </row>
        <row r="404">
          <cell r="A404" t="str">
            <v>Midstream &amp; Terminal</v>
          </cell>
          <cell r="B404">
            <v>172</v>
          </cell>
        </row>
        <row r="405">
          <cell r="A405" t="str">
            <v>MileStone Florim USA, Inc.</v>
          </cell>
          <cell r="B405">
            <v>1962</v>
          </cell>
        </row>
        <row r="406">
          <cell r="A406" t="str">
            <v>Milliken &amp; Company</v>
          </cell>
          <cell r="B406">
            <v>1269</v>
          </cell>
        </row>
        <row r="407">
          <cell r="A407" t="str">
            <v>Millwork Expressions, Inc.</v>
          </cell>
          <cell r="B407">
            <v>2890</v>
          </cell>
        </row>
        <row r="408">
          <cell r="A408" t="str">
            <v>Minister of Finance ON</v>
          </cell>
          <cell r="B408">
            <v>19</v>
          </cell>
        </row>
        <row r="409">
          <cell r="A409" t="str">
            <v>MIRAGE GRANITO CERAMICO USA INC</v>
          </cell>
          <cell r="B409">
            <v>1956</v>
          </cell>
        </row>
        <row r="410">
          <cell r="A410" t="str">
            <v>MirageGranitoCeramico S.p.A</v>
          </cell>
          <cell r="B410">
            <v>173</v>
          </cell>
        </row>
        <row r="411">
          <cell r="A411" t="str">
            <v>Mockett</v>
          </cell>
          <cell r="B411">
            <v>3161</v>
          </cell>
        </row>
        <row r="412">
          <cell r="A412" t="str">
            <v>Modular Shower Walls</v>
          </cell>
          <cell r="B412">
            <v>1270</v>
          </cell>
        </row>
        <row r="413">
          <cell r="A413" t="str">
            <v>Modular Vanity Tops</v>
          </cell>
          <cell r="B413">
            <v>1271</v>
          </cell>
        </row>
        <row r="414">
          <cell r="A414" t="str">
            <v>Momentum Group</v>
          </cell>
          <cell r="B414">
            <v>1971</v>
          </cell>
        </row>
        <row r="415">
          <cell r="A415" t="str">
            <v>MONSTER DISPLAYS</v>
          </cell>
          <cell r="B415">
            <v>2411</v>
          </cell>
        </row>
        <row r="416">
          <cell r="A416" t="str">
            <v>Moore Supply Co.</v>
          </cell>
          <cell r="B416">
            <v>1272</v>
          </cell>
        </row>
        <row r="417">
          <cell r="A417" t="str">
            <v>Motto Ceramic Private Limited</v>
          </cell>
          <cell r="B417">
            <v>1273</v>
          </cell>
        </row>
        <row r="418">
          <cell r="A418" t="str">
            <v>Mr. Fire Protection</v>
          </cell>
          <cell r="B418">
            <v>174</v>
          </cell>
        </row>
        <row r="419">
          <cell r="A419" t="str">
            <v>MS International, Inc.</v>
          </cell>
          <cell r="B419">
            <v>2497</v>
          </cell>
        </row>
        <row r="420">
          <cell r="A420" t="str">
            <v>MTS Logistics, Inc.</v>
          </cell>
          <cell r="B420">
            <v>175</v>
          </cell>
        </row>
        <row r="421">
          <cell r="A421" t="str">
            <v>Muraspec Decorative Solutions Limited</v>
          </cell>
          <cell r="B421">
            <v>1274</v>
          </cell>
        </row>
        <row r="422">
          <cell r="A422" t="str">
            <v>MW Logistics, LLC</v>
          </cell>
          <cell r="B422">
            <v>176</v>
          </cell>
        </row>
        <row r="423">
          <cell r="A423" t="str">
            <v>MY LIFE, LLC</v>
          </cell>
          <cell r="B423">
            <v>177</v>
          </cell>
        </row>
        <row r="424">
          <cell r="A424" t="str">
            <v>Nanos Construction Metal Building</v>
          </cell>
          <cell r="B424">
            <v>178</v>
          </cell>
        </row>
        <row r="425">
          <cell r="A425" t="str">
            <v>NARDI - SIT OUTDOOR</v>
          </cell>
          <cell r="B425">
            <v>3015</v>
          </cell>
        </row>
        <row r="426">
          <cell r="A426" t="str">
            <v>National Renovators INC</v>
          </cell>
          <cell r="B426">
            <v>3279</v>
          </cell>
        </row>
        <row r="427">
          <cell r="A427" t="str">
            <v>National Wallcovering, Inc.</v>
          </cell>
          <cell r="B427">
            <v>1275</v>
          </cell>
        </row>
        <row r="428">
          <cell r="A428" t="str">
            <v>Natucer Ceramica Natural</v>
          </cell>
          <cell r="B428">
            <v>1276</v>
          </cell>
        </row>
        <row r="429">
          <cell r="A429" t="str">
            <v>Nautalia Empresas</v>
          </cell>
          <cell r="B429">
            <v>179</v>
          </cell>
        </row>
        <row r="430">
          <cell r="A430" t="str">
            <v>Nautalia Travel</v>
          </cell>
          <cell r="B430">
            <v>1277</v>
          </cell>
        </row>
        <row r="431">
          <cell r="A431" t="str">
            <v>NEFCO Corporation</v>
          </cell>
          <cell r="B431">
            <v>2197</v>
          </cell>
        </row>
        <row r="432">
          <cell r="A432" t="str">
            <v>NemoTile</v>
          </cell>
          <cell r="B432">
            <v>2763</v>
          </cell>
        </row>
        <row r="433">
          <cell r="A433" t="str">
            <v>Net2Phone Global Services, LLC</v>
          </cell>
          <cell r="B433">
            <v>1575</v>
          </cell>
        </row>
        <row r="434">
          <cell r="A434" t="str">
            <v>New Direx, Inc.</v>
          </cell>
          <cell r="B434">
            <v>2924</v>
          </cell>
        </row>
        <row r="435">
          <cell r="A435" t="str">
            <v>NEW YORK BOOM TRUCKS, INC</v>
          </cell>
          <cell r="B435">
            <v>2747</v>
          </cell>
        </row>
        <row r="436">
          <cell r="A436" t="str">
            <v>New York Build</v>
          </cell>
          <cell r="B436">
            <v>2758</v>
          </cell>
        </row>
        <row r="437">
          <cell r="A437" t="str">
            <v>Next Level Medical</v>
          </cell>
          <cell r="B437">
            <v>2382</v>
          </cell>
        </row>
        <row r="438">
          <cell r="A438" t="str">
            <v>NextWave Safety Consulting LLC</v>
          </cell>
          <cell r="B438">
            <v>2317</v>
          </cell>
        </row>
        <row r="439">
          <cell r="A439" t="str">
            <v>Niblock &amp; Company LLP</v>
          </cell>
          <cell r="B439">
            <v>2971</v>
          </cell>
        </row>
        <row r="440">
          <cell r="A440" t="str">
            <v>Nichiha Fiber Cement</v>
          </cell>
          <cell r="B440">
            <v>180</v>
          </cell>
        </row>
        <row r="441">
          <cell r="A441" t="str">
            <v>Nova 401K Associates</v>
          </cell>
          <cell r="B441">
            <v>181</v>
          </cell>
        </row>
        <row r="442">
          <cell r="A442" t="str">
            <v>O.E.I International Inc</v>
          </cell>
          <cell r="B442">
            <v>182</v>
          </cell>
        </row>
        <row r="443">
          <cell r="A443" t="str">
            <v>Ocean Network Express (North America) Inc.</v>
          </cell>
          <cell r="B443">
            <v>183</v>
          </cell>
        </row>
        <row r="444">
          <cell r="A444" t="str">
            <v>OEC Group</v>
          </cell>
          <cell r="B444">
            <v>184</v>
          </cell>
        </row>
        <row r="445">
          <cell r="A445" t="str">
            <v>Oliver Kinross Ltd</v>
          </cell>
          <cell r="B445">
            <v>3193</v>
          </cell>
        </row>
        <row r="446">
          <cell r="A446" t="str">
            <v>Olympia Lighting Co., LTD.</v>
          </cell>
          <cell r="B446">
            <v>185</v>
          </cell>
        </row>
        <row r="447">
          <cell r="A447" t="str">
            <v>OneMonroe</v>
          </cell>
          <cell r="B447">
            <v>2785</v>
          </cell>
        </row>
        <row r="448">
          <cell r="A448" t="str">
            <v>Open AP Vendor</v>
          </cell>
          <cell r="B448">
            <v>2268</v>
          </cell>
        </row>
        <row r="449">
          <cell r="A449" t="str">
            <v>OPL LOGISTICS JOINT STOCK COMPANY</v>
          </cell>
          <cell r="B449">
            <v>3120</v>
          </cell>
        </row>
        <row r="450">
          <cell r="A450" t="str">
            <v>Optimum Textiles</v>
          </cell>
          <cell r="B450">
            <v>2840</v>
          </cell>
        </row>
        <row r="451">
          <cell r="A451" t="str">
            <v>ORACLEN</v>
          </cell>
          <cell r="B451">
            <v>1963</v>
          </cell>
        </row>
        <row r="452">
          <cell r="A452" t="str">
            <v>Orange Europe SB Srl</v>
          </cell>
          <cell r="B452">
            <v>2699</v>
          </cell>
        </row>
        <row r="453">
          <cell r="A453" t="str">
            <v>Oriental Weavers International</v>
          </cell>
          <cell r="B453">
            <v>1278</v>
          </cell>
        </row>
        <row r="454">
          <cell r="A454" t="str">
            <v>Oriental Weavers International Egypt</v>
          </cell>
          <cell r="B454">
            <v>2326</v>
          </cell>
        </row>
        <row r="455">
          <cell r="A455" t="str">
            <v>OrientO</v>
          </cell>
          <cell r="B455">
            <v>1946</v>
          </cell>
        </row>
        <row r="456">
          <cell r="A456" t="str">
            <v>Orkin LLC</v>
          </cell>
          <cell r="B456">
            <v>186</v>
          </cell>
        </row>
        <row r="457">
          <cell r="A457" t="str">
            <v>P/KAUFMANN CONTRACT</v>
          </cell>
          <cell r="B457">
            <v>2397</v>
          </cell>
        </row>
        <row r="458">
          <cell r="A458" t="str">
            <v>Padron Flooring &amp; Design Center</v>
          </cell>
          <cell r="B458">
            <v>2558</v>
          </cell>
        </row>
        <row r="459">
          <cell r="A459" t="str">
            <v>Padua Ceramics Pte. Ltd.</v>
          </cell>
          <cell r="B459">
            <v>1279</v>
          </cell>
        </row>
        <row r="460">
          <cell r="A460" t="str">
            <v>Palacio Royale Inn</v>
          </cell>
          <cell r="B460">
            <v>187</v>
          </cell>
        </row>
        <row r="461">
          <cell r="A461" t="str">
            <v>Panda Logistics USA Inc.</v>
          </cell>
          <cell r="B461">
            <v>188</v>
          </cell>
        </row>
        <row r="462">
          <cell r="A462" t="str">
            <v>Pantarei S.R.L</v>
          </cell>
          <cell r="B462">
            <v>1280</v>
          </cell>
        </row>
        <row r="463">
          <cell r="A463" t="str">
            <v>Papatya</v>
          </cell>
          <cell r="B463">
            <v>1333</v>
          </cell>
        </row>
        <row r="464">
          <cell r="A464" t="str">
            <v>Pappas Grubbs Price</v>
          </cell>
          <cell r="B464">
            <v>189</v>
          </cell>
        </row>
        <row r="465">
          <cell r="A465" t="str">
            <v>Paramount Logistics Inc.</v>
          </cell>
          <cell r="B465">
            <v>190</v>
          </cell>
        </row>
        <row r="466">
          <cell r="A466" t="str">
            <v>Paycargo</v>
          </cell>
          <cell r="B466">
            <v>191</v>
          </cell>
        </row>
        <row r="467">
          <cell r="A467" t="str">
            <v>Paylocity</v>
          </cell>
          <cell r="B467">
            <v>192</v>
          </cell>
        </row>
        <row r="468">
          <cell r="A468" t="str">
            <v>Peak Appraisal Group</v>
          </cell>
          <cell r="B468">
            <v>3003</v>
          </cell>
        </row>
        <row r="469">
          <cell r="A469" t="str">
            <v>Penny Pest Solutions, LLC</v>
          </cell>
          <cell r="B469">
            <v>193</v>
          </cell>
        </row>
        <row r="470">
          <cell r="A470" t="str">
            <v>PennyMac</v>
          </cell>
          <cell r="B470">
            <v>3280</v>
          </cell>
        </row>
        <row r="471">
          <cell r="A471" t="str">
            <v>PEOPLEREADY</v>
          </cell>
          <cell r="B471">
            <v>2644</v>
          </cell>
        </row>
        <row r="472">
          <cell r="A472" t="str">
            <v>Perigold</v>
          </cell>
          <cell r="B472">
            <v>2934</v>
          </cell>
        </row>
        <row r="473">
          <cell r="A473" t="str">
            <v>PI Fine Art</v>
          </cell>
          <cell r="B473">
            <v>1282</v>
          </cell>
        </row>
        <row r="474">
          <cell r="A474" t="str">
            <v>Piermaria New Form SRL</v>
          </cell>
          <cell r="B474">
            <v>1281</v>
          </cell>
        </row>
        <row r="475">
          <cell r="A475" t="str">
            <v>Plana Transportation</v>
          </cell>
          <cell r="B475">
            <v>194</v>
          </cell>
        </row>
        <row r="476">
          <cell r="A476" t="str">
            <v>POKARNA ENGINEERED STONE LIMITED</v>
          </cell>
          <cell r="B476">
            <v>2368</v>
          </cell>
        </row>
        <row r="477">
          <cell r="A477" t="str">
            <v>Pollack Associates</v>
          </cell>
          <cell r="B477">
            <v>3079</v>
          </cell>
        </row>
        <row r="478">
          <cell r="A478" t="str">
            <v>PORCEMEX LLC</v>
          </cell>
          <cell r="B478">
            <v>3043</v>
          </cell>
        </row>
        <row r="479">
          <cell r="A479" t="str">
            <v>Port of Houston</v>
          </cell>
          <cell r="B479">
            <v>195</v>
          </cell>
        </row>
        <row r="480">
          <cell r="A480" t="str">
            <v>PortChe</v>
          </cell>
          <cell r="B480">
            <v>1947</v>
          </cell>
        </row>
        <row r="481">
          <cell r="A481" t="str">
            <v>Pottery Barn</v>
          </cell>
          <cell r="B481">
            <v>3058</v>
          </cell>
        </row>
        <row r="482">
          <cell r="A482" t="str">
            <v>Price Laughlin</v>
          </cell>
          <cell r="B482">
            <v>196</v>
          </cell>
        </row>
        <row r="483">
          <cell r="A483" t="str">
            <v>Pride Fleet Services LLC</v>
          </cell>
          <cell r="B483">
            <v>197</v>
          </cell>
        </row>
        <row r="484">
          <cell r="A484" t="str">
            <v>PRIDON Global Supply Inc.</v>
          </cell>
          <cell r="B484">
            <v>2759</v>
          </cell>
        </row>
        <row r="485">
          <cell r="A485" t="str">
            <v>PRIDON PTE. LTD.</v>
          </cell>
          <cell r="B485">
            <v>2741</v>
          </cell>
        </row>
        <row r="486">
          <cell r="A486" t="str">
            <v>Prime Hospitality Group</v>
          </cell>
          <cell r="B486">
            <v>198</v>
          </cell>
        </row>
        <row r="487">
          <cell r="A487" t="str">
            <v>Priority 1 Inc.</v>
          </cell>
          <cell r="B487">
            <v>199</v>
          </cell>
        </row>
        <row r="488">
          <cell r="A488" t="str">
            <v>Product Design &amp; Procurement Services LLC</v>
          </cell>
          <cell r="B488">
            <v>200</v>
          </cell>
        </row>
        <row r="489">
          <cell r="A489" t="str">
            <v>Profilitec Corporation</v>
          </cell>
          <cell r="B489">
            <v>1543</v>
          </cell>
        </row>
        <row r="490">
          <cell r="A490" t="str">
            <v>PROMEX</v>
          </cell>
          <cell r="B490">
            <v>2805</v>
          </cell>
        </row>
        <row r="491">
          <cell r="A491" t="str">
            <v>Prospect Park Alliance</v>
          </cell>
          <cell r="B491">
            <v>2857</v>
          </cell>
        </row>
        <row r="492">
          <cell r="A492" t="str">
            <v>ProSport Inc.</v>
          </cell>
          <cell r="B492">
            <v>201</v>
          </cell>
        </row>
        <row r="493">
          <cell r="A493" t="str">
            <v>PROWIN CARGO LOGISTICS</v>
          </cell>
          <cell r="B493">
            <v>2687</v>
          </cell>
        </row>
        <row r="494">
          <cell r="A494" t="str">
            <v>PROXIM</v>
          </cell>
          <cell r="B494">
            <v>2427</v>
          </cell>
        </row>
        <row r="495">
          <cell r="A495" t="str">
            <v>Pure Assure</v>
          </cell>
          <cell r="B495">
            <v>2773</v>
          </cell>
        </row>
        <row r="496">
          <cell r="A496" t="str">
            <v>Purvi Gupta / ArchiBIM Consultants</v>
          </cell>
          <cell r="B496">
            <v>2991</v>
          </cell>
        </row>
        <row r="497">
          <cell r="A497" t="str">
            <v>Quan Law Group ,PLLC</v>
          </cell>
          <cell r="B497">
            <v>202</v>
          </cell>
        </row>
        <row r="498">
          <cell r="A498" t="str">
            <v>Quartz America LLC</v>
          </cell>
          <cell r="B498">
            <v>1690</v>
          </cell>
        </row>
        <row r="499">
          <cell r="A499" t="str">
            <v>RABAAB Trucking LLC</v>
          </cell>
          <cell r="B499">
            <v>203</v>
          </cell>
        </row>
        <row r="500">
          <cell r="A500" t="str">
            <v>Racking Shelving Depot Inc.</v>
          </cell>
          <cell r="B500">
            <v>204</v>
          </cell>
        </row>
        <row r="501">
          <cell r="A501" t="str">
            <v>Ramon Garcia Mexico</v>
          </cell>
          <cell r="B501">
            <v>1283</v>
          </cell>
        </row>
        <row r="502">
          <cell r="A502" t="str">
            <v>RAMTECH LABORATORIES</v>
          </cell>
          <cell r="B502">
            <v>2396</v>
          </cell>
        </row>
        <row r="503">
          <cell r="A503" t="str">
            <v>Raytop Industry Co., LTD</v>
          </cell>
          <cell r="B503">
            <v>1284</v>
          </cell>
        </row>
        <row r="504">
          <cell r="A504" t="str">
            <v>RE/MAX Medalta Real Estate</v>
          </cell>
          <cell r="B504">
            <v>3117</v>
          </cell>
        </row>
        <row r="505">
          <cell r="A505" t="str">
            <v>Rebecca Owens</v>
          </cell>
          <cell r="B505">
            <v>2641</v>
          </cell>
        </row>
        <row r="506">
          <cell r="A506" t="str">
            <v>Receiver General</v>
          </cell>
          <cell r="B506">
            <v>18</v>
          </cell>
        </row>
        <row r="507">
          <cell r="A507" t="str">
            <v>Remodelers Dream</v>
          </cell>
          <cell r="B507">
            <v>3282</v>
          </cell>
        </row>
        <row r="508">
          <cell r="A508" t="str">
            <v>Republic Services</v>
          </cell>
          <cell r="B508">
            <v>205</v>
          </cell>
        </row>
        <row r="509">
          <cell r="A509" t="str">
            <v>Resident Center</v>
          </cell>
          <cell r="B509">
            <v>2902</v>
          </cell>
        </row>
        <row r="510">
          <cell r="A510" t="str">
            <v>Ricardo Gallegos</v>
          </cell>
          <cell r="B510">
            <v>2596</v>
          </cell>
        </row>
        <row r="511">
          <cell r="A511" t="str">
            <v>Richwood Hospitality Co. LTD</v>
          </cell>
          <cell r="B511">
            <v>1285</v>
          </cell>
        </row>
        <row r="512">
          <cell r="A512" t="str">
            <v>Rmz Construction Ltd.</v>
          </cell>
          <cell r="B512">
            <v>206</v>
          </cell>
        </row>
        <row r="513">
          <cell r="A513" t="str">
            <v>RoadStone LLC</v>
          </cell>
          <cell r="B513">
            <v>2205</v>
          </cell>
        </row>
        <row r="514">
          <cell r="A514" t="str">
            <v>Robert Cowie</v>
          </cell>
          <cell r="B514">
            <v>3155</v>
          </cell>
        </row>
        <row r="515">
          <cell r="A515" t="str">
            <v>Roca Tile USA INC</v>
          </cell>
          <cell r="B515">
            <v>2389</v>
          </cell>
        </row>
        <row r="516">
          <cell r="A516" t="str">
            <v>Rock Solid Tops</v>
          </cell>
          <cell r="B516">
            <v>207</v>
          </cell>
        </row>
        <row r="517">
          <cell r="A517" t="str">
            <v>Roger Meyers</v>
          </cell>
          <cell r="B517">
            <v>2989</v>
          </cell>
        </row>
        <row r="518">
          <cell r="A518" t="str">
            <v>Rohan Shirodkar</v>
          </cell>
          <cell r="B518">
            <v>3122</v>
          </cell>
        </row>
        <row r="519">
          <cell r="A519" t="str">
            <v>Ronnie Patel Insurance Agency</v>
          </cell>
          <cell r="B519">
            <v>208</v>
          </cell>
        </row>
        <row r="520">
          <cell r="A520" t="str">
            <v>Royal Thai Americas, Inc.</v>
          </cell>
          <cell r="B520">
            <v>3146</v>
          </cell>
        </row>
        <row r="521">
          <cell r="A521" t="str">
            <v>Ruchira Mattoo</v>
          </cell>
          <cell r="B521">
            <v>2657</v>
          </cell>
        </row>
        <row r="522">
          <cell r="A522" t="str">
            <v>Rusty Design</v>
          </cell>
          <cell r="B522">
            <v>3258</v>
          </cell>
        </row>
        <row r="523">
          <cell r="A523" t="str">
            <v>Sai Yerra</v>
          </cell>
          <cell r="B523">
            <v>3174</v>
          </cell>
        </row>
        <row r="524">
          <cell r="A524" t="str">
            <v>Samuel &amp; Sons Passementerie, Inc</v>
          </cell>
          <cell r="B524">
            <v>3073</v>
          </cell>
        </row>
        <row r="525">
          <cell r="A525" t="str">
            <v>Santa Rosa Marble, Inc.</v>
          </cell>
          <cell r="B525">
            <v>2527</v>
          </cell>
        </row>
        <row r="526">
          <cell r="A526" t="str">
            <v>Saraswatii Global Pvt. Ltd.</v>
          </cell>
          <cell r="B526">
            <v>3131</v>
          </cell>
        </row>
        <row r="527">
          <cell r="A527" t="str">
            <v>Savino Del Bene - Texas Inc.</v>
          </cell>
          <cell r="B527">
            <v>209</v>
          </cell>
        </row>
        <row r="528">
          <cell r="A528" t="str">
            <v>SAVOIA ITALIA S.p.A</v>
          </cell>
          <cell r="B528">
            <v>2992</v>
          </cell>
        </row>
        <row r="529">
          <cell r="A529" t="str">
            <v>Schindler Elevator Corporation</v>
          </cell>
          <cell r="B529">
            <v>210</v>
          </cell>
        </row>
        <row r="530">
          <cell r="A530" t="str">
            <v>Schumacher Hospitality</v>
          </cell>
          <cell r="B530">
            <v>1286</v>
          </cell>
        </row>
        <row r="531">
          <cell r="A531" t="str">
            <v>Scott Lamp Company</v>
          </cell>
          <cell r="B531">
            <v>2863</v>
          </cell>
        </row>
        <row r="532">
          <cell r="A532" t="str">
            <v>SEM srls</v>
          </cell>
          <cell r="B532">
            <v>2879</v>
          </cell>
        </row>
        <row r="533">
          <cell r="A533" t="str">
            <v>SENKO (U.S.A.), INC.</v>
          </cell>
          <cell r="B533">
            <v>211</v>
          </cell>
        </row>
        <row r="534">
          <cell r="A534" t="str">
            <v>Seyfarth Shaw LLP</v>
          </cell>
          <cell r="B534">
            <v>212</v>
          </cell>
        </row>
        <row r="535">
          <cell r="A535" t="str">
            <v>Shah Group Consulting, Inc.</v>
          </cell>
          <cell r="B535">
            <v>213</v>
          </cell>
        </row>
        <row r="536">
          <cell r="A536" t="str">
            <v>Shanhua Carpet</v>
          </cell>
          <cell r="B536">
            <v>2718</v>
          </cell>
        </row>
        <row r="537">
          <cell r="A537" t="str">
            <v>Shaw Integrated and Turf Solutions, Inc.</v>
          </cell>
          <cell r="B537">
            <v>1287</v>
          </cell>
        </row>
        <row r="538">
          <cell r="A538" t="str">
            <v>ShawInd</v>
          </cell>
          <cell r="B538">
            <v>1964</v>
          </cell>
        </row>
        <row r="539">
          <cell r="A539" t="str">
            <v>Shenzhen Double Building Materials Co., Ltd.</v>
          </cell>
          <cell r="B539">
            <v>2291</v>
          </cell>
        </row>
        <row r="540">
          <cell r="A540" t="str">
            <v>SHENZHEN FANYE TENT TECHNOLOGY CO.LTD.</v>
          </cell>
          <cell r="B540">
            <v>3062</v>
          </cell>
        </row>
        <row r="541">
          <cell r="A541" t="str">
            <v>Shepard Exposition Services, Inc.</v>
          </cell>
          <cell r="B541">
            <v>214</v>
          </cell>
        </row>
        <row r="542">
          <cell r="A542" t="str">
            <v>Shree Ganesha</v>
          </cell>
          <cell r="B542">
            <v>2737</v>
          </cell>
        </row>
        <row r="543">
          <cell r="A543" t="str">
            <v>Shree Ramkabir Bhakta Samaj of Corpus Christi</v>
          </cell>
          <cell r="B543">
            <v>2390</v>
          </cell>
        </row>
        <row r="544">
          <cell r="A544" t="str">
            <v>SICIS THE ART FACTORY</v>
          </cell>
          <cell r="B544">
            <v>2693</v>
          </cell>
        </row>
        <row r="545">
          <cell r="A545" t="str">
            <v>Sign &amp; Service Houston</v>
          </cell>
          <cell r="B545">
            <v>2823</v>
          </cell>
        </row>
        <row r="546">
          <cell r="A546" t="str">
            <v>Signature Flooring</v>
          </cell>
          <cell r="B546">
            <v>1972</v>
          </cell>
        </row>
        <row r="547">
          <cell r="A547" t="str">
            <v>Silmar Freight, S.L.U.</v>
          </cell>
          <cell r="B547">
            <v>215</v>
          </cell>
        </row>
        <row r="548">
          <cell r="A548" t="str">
            <v>SminkSt</v>
          </cell>
          <cell r="B548">
            <v>1973</v>
          </cell>
        </row>
        <row r="549">
          <cell r="A549" t="str">
            <v>Soho Studio Corp</v>
          </cell>
          <cell r="B549">
            <v>2757</v>
          </cell>
        </row>
        <row r="550">
          <cell r="A550" t="str">
            <v>SolySYS IT Solutions</v>
          </cell>
          <cell r="B550">
            <v>216</v>
          </cell>
        </row>
        <row r="551">
          <cell r="A551" t="str">
            <v>Sonesta Hotels Franchising Inc.</v>
          </cell>
          <cell r="B551">
            <v>217</v>
          </cell>
        </row>
        <row r="552">
          <cell r="A552" t="str">
            <v>Southeastern Freight Lines</v>
          </cell>
          <cell r="B552">
            <v>218</v>
          </cell>
        </row>
        <row r="553">
          <cell r="A553" t="str">
            <v>SouthWest Info Systems</v>
          </cell>
          <cell r="B553">
            <v>219</v>
          </cell>
        </row>
        <row r="554">
          <cell r="A554" t="str">
            <v>Sparkletts</v>
          </cell>
          <cell r="B554">
            <v>220</v>
          </cell>
        </row>
        <row r="555">
          <cell r="A555" t="str">
            <v>Spartan Surfaces</v>
          </cell>
          <cell r="B555">
            <v>3157</v>
          </cell>
        </row>
        <row r="556">
          <cell r="A556" t="str">
            <v>Special Deliveries</v>
          </cell>
          <cell r="B556">
            <v>221</v>
          </cell>
        </row>
        <row r="557">
          <cell r="A557" t="str">
            <v>Spectrum Business</v>
          </cell>
          <cell r="B557">
            <v>222</v>
          </cell>
        </row>
        <row r="558">
          <cell r="A558" t="str">
            <v>Sponge Cushion, Inc.</v>
          </cell>
          <cell r="B558">
            <v>1541</v>
          </cell>
        </row>
        <row r="559">
          <cell r="A559" t="str">
            <v>Spring Branch I.S.D. Tax Assessor - Collector</v>
          </cell>
          <cell r="B559">
            <v>3170</v>
          </cell>
        </row>
        <row r="560">
          <cell r="A560" t="str">
            <v>SSP Global Forwarding Inc.</v>
          </cell>
          <cell r="B560">
            <v>223</v>
          </cell>
        </row>
        <row r="561">
          <cell r="A561" t="str">
            <v>Standard Insurance Company**DUPLICATE. DO NOT USE**</v>
          </cell>
          <cell r="B561">
            <v>1545</v>
          </cell>
        </row>
        <row r="562">
          <cell r="A562" t="str">
            <v>Staples</v>
          </cell>
          <cell r="B562">
            <v>224</v>
          </cell>
        </row>
        <row r="563">
          <cell r="A563" t="str">
            <v>Stellar Background Checks</v>
          </cell>
          <cell r="B563">
            <v>225</v>
          </cell>
        </row>
        <row r="564">
          <cell r="A564" t="str">
            <v>STGLogi</v>
          </cell>
          <cell r="B564">
            <v>1948</v>
          </cell>
        </row>
        <row r="565">
          <cell r="A565" t="str">
            <v>Stikeman Elliot</v>
          </cell>
          <cell r="B565">
            <v>2272</v>
          </cell>
        </row>
        <row r="566">
          <cell r="A566" t="str">
            <v>Stone Mountain Access Systems, Inc.</v>
          </cell>
          <cell r="B566">
            <v>226</v>
          </cell>
        </row>
        <row r="567">
          <cell r="A567" t="str">
            <v>Stone Profits Systems Inc.</v>
          </cell>
          <cell r="B567">
            <v>227</v>
          </cell>
        </row>
        <row r="568">
          <cell r="A568" t="str">
            <v>Stone Systems of Houston, LLC</v>
          </cell>
          <cell r="B568">
            <v>1547</v>
          </cell>
        </row>
        <row r="569">
          <cell r="A569" t="str">
            <v>Stonepeak Ceramics, Inc.</v>
          </cell>
          <cell r="B569">
            <v>228</v>
          </cell>
        </row>
        <row r="570">
          <cell r="A570" t="str">
            <v>Storage On Site LLC</v>
          </cell>
          <cell r="B570">
            <v>229</v>
          </cell>
        </row>
        <row r="571">
          <cell r="A571" t="str">
            <v>Strategic Employment Partners (SEP)</v>
          </cell>
          <cell r="B571">
            <v>230</v>
          </cell>
        </row>
        <row r="572">
          <cell r="A572" t="str">
            <v>Strybuc Industries</v>
          </cell>
          <cell r="B572">
            <v>3132</v>
          </cell>
        </row>
        <row r="573">
          <cell r="A573" t="str">
            <v>Studio Arte co., LTD</v>
          </cell>
          <cell r="B573">
            <v>1334</v>
          </cell>
        </row>
        <row r="574">
          <cell r="A574" t="str">
            <v>Suburban Propane</v>
          </cell>
          <cell r="B574">
            <v>231</v>
          </cell>
        </row>
        <row r="575">
          <cell r="A575" t="str">
            <v>SUNBELT RENTALS, INC.</v>
          </cell>
          <cell r="B575">
            <v>2990</v>
          </cell>
        </row>
        <row r="576">
          <cell r="A576" t="str">
            <v>Sunil Nair</v>
          </cell>
          <cell r="B576">
            <v>2277</v>
          </cell>
        </row>
        <row r="577">
          <cell r="A577" t="str">
            <v>Sunny International Logistics, Inc.</v>
          </cell>
          <cell r="B577">
            <v>232</v>
          </cell>
        </row>
        <row r="578">
          <cell r="A578" t="str">
            <v>Sunteck Transport Co., LLC</v>
          </cell>
          <cell r="B578">
            <v>233</v>
          </cell>
        </row>
        <row r="579">
          <cell r="A579" t="str">
            <v>Suntek PC Parts, L.C.</v>
          </cell>
          <cell r="B579">
            <v>234</v>
          </cell>
        </row>
        <row r="580">
          <cell r="A580" t="str">
            <v>T.M. Leader Contract, S.L.</v>
          </cell>
          <cell r="B580">
            <v>1289</v>
          </cell>
        </row>
        <row r="581">
          <cell r="A581" t="str">
            <v>Tagina SPA</v>
          </cell>
          <cell r="B581">
            <v>3039</v>
          </cell>
        </row>
        <row r="582">
          <cell r="A582" t="str">
            <v>Tank Holding Corp.</v>
          </cell>
          <cell r="B582">
            <v>235</v>
          </cell>
        </row>
        <row r="583">
          <cell r="A583" t="str">
            <v>Tara Energy, Inc</v>
          </cell>
          <cell r="B583">
            <v>236</v>
          </cell>
        </row>
        <row r="584">
          <cell r="A584" t="str">
            <v>Target</v>
          </cell>
          <cell r="B584">
            <v>3056</v>
          </cell>
        </row>
        <row r="585">
          <cell r="A585" t="str">
            <v>Tarkett Hospitality</v>
          </cell>
          <cell r="B585">
            <v>1288</v>
          </cell>
        </row>
        <row r="586">
          <cell r="A586" t="str">
            <v>Tax Agency AK</v>
          </cell>
          <cell r="B586">
            <v>1586</v>
          </cell>
        </row>
        <row r="587">
          <cell r="A587" t="str">
            <v>Tax Agency AL</v>
          </cell>
          <cell r="B587">
            <v>2</v>
          </cell>
        </row>
        <row r="588">
          <cell r="A588" t="str">
            <v>Tax Agency AR</v>
          </cell>
          <cell r="B588">
            <v>1588</v>
          </cell>
        </row>
        <row r="589">
          <cell r="A589" t="str">
            <v>Tax Agency AZ</v>
          </cell>
          <cell r="B589">
            <v>1587</v>
          </cell>
        </row>
        <row r="590">
          <cell r="A590" t="str">
            <v>Tax Agency CA</v>
          </cell>
          <cell r="B590">
            <v>1589</v>
          </cell>
        </row>
        <row r="591">
          <cell r="A591" t="str">
            <v>Tax Agency CO</v>
          </cell>
          <cell r="B591">
            <v>1590</v>
          </cell>
        </row>
        <row r="592">
          <cell r="A592" t="str">
            <v>Tax Agency CT</v>
          </cell>
          <cell r="B592">
            <v>1591</v>
          </cell>
        </row>
        <row r="593">
          <cell r="A593" t="str">
            <v>Tax Agency DC</v>
          </cell>
          <cell r="B593">
            <v>1593</v>
          </cell>
        </row>
        <row r="594">
          <cell r="A594" t="str">
            <v>Tax Agency DE</v>
          </cell>
          <cell r="B594">
            <v>1592</v>
          </cell>
        </row>
        <row r="595">
          <cell r="A595" t="str">
            <v>Tax Agency FL</v>
          </cell>
          <cell r="B595">
            <v>1594</v>
          </cell>
        </row>
        <row r="596">
          <cell r="A596" t="str">
            <v>Tax Agency GA</v>
          </cell>
          <cell r="B596">
            <v>1595</v>
          </cell>
        </row>
        <row r="597">
          <cell r="A597" t="str">
            <v>Tax Agency HI</v>
          </cell>
          <cell r="B597">
            <v>1596</v>
          </cell>
        </row>
        <row r="598">
          <cell r="A598" t="str">
            <v>Tax Agency IA</v>
          </cell>
          <cell r="B598">
            <v>1600</v>
          </cell>
        </row>
        <row r="599">
          <cell r="A599" t="str">
            <v>Tax Agency ID</v>
          </cell>
          <cell r="B599">
            <v>1597</v>
          </cell>
        </row>
        <row r="600">
          <cell r="A600" t="str">
            <v>Tax Agency IL</v>
          </cell>
          <cell r="B600">
            <v>1598</v>
          </cell>
        </row>
        <row r="601">
          <cell r="A601" t="str">
            <v>Tax Agency IN</v>
          </cell>
          <cell r="B601">
            <v>1599</v>
          </cell>
        </row>
        <row r="602">
          <cell r="A602" t="str">
            <v>Tax Agency KS</v>
          </cell>
          <cell r="B602">
            <v>1601</v>
          </cell>
        </row>
        <row r="603">
          <cell r="A603" t="str">
            <v>Tax Agency KY</v>
          </cell>
          <cell r="B603">
            <v>1602</v>
          </cell>
        </row>
        <row r="604">
          <cell r="A604" t="str">
            <v>Tax Agency LA</v>
          </cell>
          <cell r="B604">
            <v>1603</v>
          </cell>
        </row>
        <row r="605">
          <cell r="A605" t="str">
            <v>Tax Agency MA</v>
          </cell>
          <cell r="B605">
            <v>1606</v>
          </cell>
        </row>
        <row r="606">
          <cell r="A606" t="str">
            <v>Tax Agency MD</v>
          </cell>
          <cell r="B606">
            <v>1605</v>
          </cell>
        </row>
        <row r="607">
          <cell r="A607" t="str">
            <v>Tax Agency ME</v>
          </cell>
          <cell r="B607">
            <v>1604</v>
          </cell>
        </row>
        <row r="608">
          <cell r="A608" t="str">
            <v>Tax Agency MI</v>
          </cell>
          <cell r="B608">
            <v>1607</v>
          </cell>
        </row>
        <row r="609">
          <cell r="A609" t="str">
            <v>Tax Agency MN</v>
          </cell>
          <cell r="B609">
            <v>1608</v>
          </cell>
        </row>
        <row r="610">
          <cell r="A610" t="str">
            <v>Tax Agency MO</v>
          </cell>
          <cell r="B610">
            <v>1610</v>
          </cell>
        </row>
        <row r="611">
          <cell r="A611" t="str">
            <v>Tax Agency MS</v>
          </cell>
          <cell r="B611">
            <v>1609</v>
          </cell>
        </row>
        <row r="612">
          <cell r="A612" t="str">
            <v>Tax Agency MT</v>
          </cell>
          <cell r="B612">
            <v>1611</v>
          </cell>
        </row>
        <row r="613">
          <cell r="A613" t="str">
            <v>Tax Agency NC</v>
          </cell>
          <cell r="B613">
            <v>1618</v>
          </cell>
        </row>
        <row r="614">
          <cell r="A614" t="str">
            <v>Tax Agency ND</v>
          </cell>
          <cell r="B614">
            <v>1619</v>
          </cell>
        </row>
        <row r="615">
          <cell r="A615" t="str">
            <v>Tax Agency NE</v>
          </cell>
          <cell r="B615">
            <v>1612</v>
          </cell>
        </row>
        <row r="616">
          <cell r="A616" t="str">
            <v>Tax Agency NH</v>
          </cell>
          <cell r="B616">
            <v>1614</v>
          </cell>
        </row>
        <row r="617">
          <cell r="A617" t="str">
            <v>Tax Agency NJ</v>
          </cell>
          <cell r="B617">
            <v>1615</v>
          </cell>
        </row>
        <row r="618">
          <cell r="A618" t="str">
            <v>Tax Agency NM</v>
          </cell>
          <cell r="B618">
            <v>1616</v>
          </cell>
        </row>
        <row r="619">
          <cell r="A619" t="str">
            <v>Tax Agency NV</v>
          </cell>
          <cell r="B619">
            <v>1613</v>
          </cell>
        </row>
        <row r="620">
          <cell r="A620" t="str">
            <v>Tax Agency NY</v>
          </cell>
          <cell r="B620">
            <v>1617</v>
          </cell>
        </row>
        <row r="621">
          <cell r="A621" t="str">
            <v>Tax Agency OH</v>
          </cell>
          <cell r="B621">
            <v>1620</v>
          </cell>
        </row>
        <row r="622">
          <cell r="A622" t="str">
            <v>Tax Agency OK</v>
          </cell>
          <cell r="B622">
            <v>1621</v>
          </cell>
        </row>
        <row r="623">
          <cell r="A623" t="str">
            <v>Tax Agency OR</v>
          </cell>
          <cell r="B623">
            <v>1622</v>
          </cell>
        </row>
        <row r="624">
          <cell r="A624" t="str">
            <v>Tax Agency PA</v>
          </cell>
          <cell r="B624">
            <v>1623</v>
          </cell>
        </row>
        <row r="625">
          <cell r="A625" t="str">
            <v>Tax Agency PR</v>
          </cell>
          <cell r="B625">
            <v>1624</v>
          </cell>
        </row>
        <row r="626">
          <cell r="A626" t="str">
            <v>Tax Agency RI</v>
          </cell>
          <cell r="B626">
            <v>1625</v>
          </cell>
        </row>
        <row r="627">
          <cell r="A627" t="str">
            <v>Tax Agency SC</v>
          </cell>
          <cell r="B627">
            <v>1626</v>
          </cell>
        </row>
        <row r="628">
          <cell r="A628" t="str">
            <v>Tax Agency SD</v>
          </cell>
          <cell r="B628">
            <v>1627</v>
          </cell>
        </row>
        <row r="629">
          <cell r="A629" t="str">
            <v>Tax Agency TN</v>
          </cell>
          <cell r="B629">
            <v>1628</v>
          </cell>
        </row>
        <row r="630">
          <cell r="A630" t="str">
            <v>Tax Agency TX</v>
          </cell>
          <cell r="B630">
            <v>10</v>
          </cell>
        </row>
        <row r="631">
          <cell r="A631" t="str">
            <v>Tax Agency UT</v>
          </cell>
          <cell r="B631">
            <v>1629</v>
          </cell>
        </row>
        <row r="632">
          <cell r="A632" t="str">
            <v>Tax Agency VA</v>
          </cell>
          <cell r="B632">
            <v>1631</v>
          </cell>
        </row>
        <row r="633">
          <cell r="A633" t="str">
            <v>Tax Agency VT</v>
          </cell>
          <cell r="B633">
            <v>1630</v>
          </cell>
        </row>
        <row r="634">
          <cell r="A634" t="str">
            <v>Tax Agency WA</v>
          </cell>
          <cell r="B634">
            <v>1632</v>
          </cell>
        </row>
        <row r="635">
          <cell r="A635" t="str">
            <v>Tax Agency WI</v>
          </cell>
          <cell r="B635">
            <v>1634</v>
          </cell>
        </row>
        <row r="636">
          <cell r="A636" t="str">
            <v>Tax Agency WV</v>
          </cell>
          <cell r="B636">
            <v>1633</v>
          </cell>
        </row>
        <row r="637">
          <cell r="A637" t="str">
            <v>Tax Agency WY</v>
          </cell>
          <cell r="B637">
            <v>1635</v>
          </cell>
        </row>
        <row r="638">
          <cell r="A638" t="str">
            <v>Tenarten Terrazzo LLC</v>
          </cell>
          <cell r="B638">
            <v>2974</v>
          </cell>
        </row>
        <row r="639">
          <cell r="A639" t="str">
            <v>Terracore Panels, LLC</v>
          </cell>
          <cell r="B639">
            <v>237</v>
          </cell>
        </row>
        <row r="640">
          <cell r="A640" t="str">
            <v>Terratinta Group SrlSB</v>
          </cell>
          <cell r="B640">
            <v>2762</v>
          </cell>
        </row>
        <row r="641">
          <cell r="A641" t="str">
            <v>Tesla Reservation US / Chase</v>
          </cell>
          <cell r="B641">
            <v>2995</v>
          </cell>
        </row>
        <row r="642">
          <cell r="A642" t="str">
            <v>Texas Compression Services</v>
          </cell>
          <cell r="B642">
            <v>238</v>
          </cell>
        </row>
        <row r="643">
          <cell r="A643" t="str">
            <v>Texas Mutual</v>
          </cell>
          <cell r="B643">
            <v>239</v>
          </cell>
        </row>
        <row r="644">
          <cell r="A644" t="str">
            <v>Texas Restaurant Improvement</v>
          </cell>
          <cell r="B644">
            <v>2315</v>
          </cell>
        </row>
        <row r="645">
          <cell r="A645" t="str">
            <v>Texas Security Group</v>
          </cell>
          <cell r="B645">
            <v>240</v>
          </cell>
        </row>
        <row r="646">
          <cell r="A646" t="str">
            <v>Textile Properties LLC</v>
          </cell>
          <cell r="B646">
            <v>241</v>
          </cell>
        </row>
        <row r="647">
          <cell r="A647" t="str">
            <v>The Architect's Newspaper, LLC</v>
          </cell>
          <cell r="B647">
            <v>242</v>
          </cell>
        </row>
        <row r="648">
          <cell r="A648" t="str">
            <v>THE COVEWORKS INC.</v>
          </cell>
          <cell r="B648">
            <v>2398</v>
          </cell>
        </row>
        <row r="649">
          <cell r="A649" t="str">
            <v>The Design Tex Group</v>
          </cell>
          <cell r="B649">
            <v>3145</v>
          </cell>
        </row>
        <row r="650">
          <cell r="A650" t="str">
            <v>The Hartford Financial Services Group, Inc.</v>
          </cell>
          <cell r="B650">
            <v>243</v>
          </cell>
        </row>
        <row r="651">
          <cell r="A651" t="str">
            <v>The Sales Tax Team</v>
          </cell>
          <cell r="B651">
            <v>3197</v>
          </cell>
        </row>
        <row r="652">
          <cell r="A652" t="str">
            <v>The Standard</v>
          </cell>
          <cell r="B652">
            <v>1579</v>
          </cell>
        </row>
        <row r="653">
          <cell r="A653" t="str">
            <v>The Weisblatt Law Firm, PLLC</v>
          </cell>
          <cell r="B653">
            <v>244</v>
          </cell>
        </row>
        <row r="654">
          <cell r="A654" t="str">
            <v>Thomas Turnage</v>
          </cell>
          <cell r="B654">
            <v>3096</v>
          </cell>
        </row>
        <row r="655">
          <cell r="A655" t="str">
            <v>Tile Eze Inc.</v>
          </cell>
          <cell r="B655">
            <v>245</v>
          </cell>
        </row>
        <row r="656">
          <cell r="A656" t="str">
            <v>TMLeade</v>
          </cell>
          <cell r="B656">
            <v>1957</v>
          </cell>
        </row>
        <row r="657">
          <cell r="A657" t="str">
            <v>TN Cooler LLC</v>
          </cell>
          <cell r="B657">
            <v>246</v>
          </cell>
        </row>
        <row r="658">
          <cell r="A658" t="str">
            <v>Tolga Kara</v>
          </cell>
          <cell r="B658">
            <v>2202</v>
          </cell>
        </row>
        <row r="659">
          <cell r="A659" t="str">
            <v>Tournesol</v>
          </cell>
          <cell r="B659">
            <v>1965</v>
          </cell>
        </row>
        <row r="660">
          <cell r="A660" t="str">
            <v>Toyota Lift of Houston</v>
          </cell>
          <cell r="B660">
            <v>247</v>
          </cell>
        </row>
        <row r="661">
          <cell r="A661" t="str">
            <v>Tran Smart Logistics Inc.</v>
          </cell>
          <cell r="B661">
            <v>248</v>
          </cell>
        </row>
        <row r="662">
          <cell r="A662" t="str">
            <v>TransCeramica-4042</v>
          </cell>
          <cell r="B662">
            <v>1290</v>
          </cell>
        </row>
        <row r="663">
          <cell r="A663" t="str">
            <v>Travelers</v>
          </cell>
          <cell r="B663">
            <v>249</v>
          </cell>
        </row>
        <row r="664">
          <cell r="A664" t="str">
            <v>Trinity Lighting</v>
          </cell>
          <cell r="B664">
            <v>2856</v>
          </cell>
        </row>
        <row r="665">
          <cell r="A665" t="str">
            <v>Triton Stone Group</v>
          </cell>
          <cell r="B665">
            <v>250</v>
          </cell>
        </row>
        <row r="666">
          <cell r="A666" t="str">
            <v>Triumph Customs Brokerage Service Inc.</v>
          </cell>
          <cell r="B666">
            <v>251</v>
          </cell>
        </row>
        <row r="667">
          <cell r="A667" t="str">
            <v>Triumph Express Service Canada Inc.</v>
          </cell>
          <cell r="B667">
            <v>2341</v>
          </cell>
        </row>
        <row r="668">
          <cell r="A668" t="str">
            <v>Tropitone</v>
          </cell>
          <cell r="B668">
            <v>3024</v>
          </cell>
        </row>
        <row r="669">
          <cell r="A669" t="str">
            <v>Troy Container Line Ltd</v>
          </cell>
          <cell r="B669">
            <v>1546</v>
          </cell>
        </row>
        <row r="670">
          <cell r="A670" t="str">
            <v>Truist Card Services</v>
          </cell>
          <cell r="B670">
            <v>252</v>
          </cell>
        </row>
        <row r="671">
          <cell r="A671" t="str">
            <v>U.S. Customs and Border Protection</v>
          </cell>
          <cell r="B671">
            <v>253</v>
          </cell>
        </row>
        <row r="672">
          <cell r="A672" t="str">
            <v>U.S. Vinyl Manufacturing Corp</v>
          </cell>
          <cell r="B672">
            <v>1292</v>
          </cell>
        </row>
        <row r="673">
          <cell r="A673" t="str">
            <v>Uj Group Inc.</v>
          </cell>
          <cell r="B673">
            <v>254</v>
          </cell>
        </row>
        <row r="674">
          <cell r="A674" t="str">
            <v>Uline</v>
          </cell>
          <cell r="B674">
            <v>255</v>
          </cell>
        </row>
        <row r="675">
          <cell r="A675" t="str">
            <v>UNIIK Design Solutions</v>
          </cell>
          <cell r="B675">
            <v>1291</v>
          </cell>
        </row>
        <row r="676">
          <cell r="A676" t="str">
            <v>Union Logistics Inc.</v>
          </cell>
          <cell r="B676">
            <v>256</v>
          </cell>
        </row>
        <row r="677">
          <cell r="A677" t="str">
            <v>Unishippers</v>
          </cell>
          <cell r="B677">
            <v>257</v>
          </cell>
        </row>
        <row r="678">
          <cell r="A678" t="str">
            <v>Unite Oak International Inc</v>
          </cell>
          <cell r="B678">
            <v>258</v>
          </cell>
        </row>
        <row r="679">
          <cell r="A679" t="str">
            <v>United Cargo Express S.L.</v>
          </cell>
          <cell r="B679">
            <v>259</v>
          </cell>
        </row>
        <row r="680">
          <cell r="A680" t="str">
            <v>United Fabrics</v>
          </cell>
          <cell r="B680">
            <v>2781</v>
          </cell>
        </row>
        <row r="681">
          <cell r="A681" t="str">
            <v>United Healthcare</v>
          </cell>
          <cell r="B681">
            <v>260</v>
          </cell>
        </row>
        <row r="682">
          <cell r="A682" t="str">
            <v>United Parcel Service</v>
          </cell>
          <cell r="B682">
            <v>2669</v>
          </cell>
        </row>
        <row r="683">
          <cell r="A683" t="str">
            <v>United Rentals (North America) Inc.</v>
          </cell>
          <cell r="B683">
            <v>261</v>
          </cell>
        </row>
        <row r="684">
          <cell r="A684" t="str">
            <v>UPS</v>
          </cell>
          <cell r="B684">
            <v>1949</v>
          </cell>
        </row>
        <row r="685">
          <cell r="A685" t="str">
            <v>VaproShield, LLC</v>
          </cell>
          <cell r="B685">
            <v>262</v>
          </cell>
        </row>
        <row r="686">
          <cell r="A686" t="str">
            <v>Vei May Wooden Appliances Company Limited</v>
          </cell>
          <cell r="B686">
            <v>1335</v>
          </cell>
        </row>
        <row r="687">
          <cell r="A687" t="str">
            <v>Verde Environments Lawn Services</v>
          </cell>
          <cell r="B687">
            <v>263</v>
          </cell>
        </row>
        <row r="688">
          <cell r="A688" t="str">
            <v>Verizon</v>
          </cell>
          <cell r="B688">
            <v>264</v>
          </cell>
        </row>
        <row r="689">
          <cell r="A689" t="str">
            <v>Veteran Security Service</v>
          </cell>
          <cell r="B689">
            <v>265</v>
          </cell>
        </row>
        <row r="690">
          <cell r="A690" t="str">
            <v>VICTORY BROKERAGE SERVICES, LLC</v>
          </cell>
          <cell r="B690">
            <v>2354</v>
          </cell>
        </row>
        <row r="691">
          <cell r="A691" t="str">
            <v>Virgilio &amp; Associates, LTD.</v>
          </cell>
          <cell r="B691">
            <v>266</v>
          </cell>
        </row>
        <row r="692">
          <cell r="A692" t="str">
            <v>Virginia Department of Taxation</v>
          </cell>
          <cell r="B692">
            <v>267</v>
          </cell>
        </row>
        <row r="693">
          <cell r="A693" t="str">
            <v>VLC Construction</v>
          </cell>
          <cell r="B693">
            <v>2295</v>
          </cell>
        </row>
        <row r="694">
          <cell r="A694" t="str">
            <v>Vonage</v>
          </cell>
          <cell r="B694">
            <v>268</v>
          </cell>
        </row>
        <row r="695">
          <cell r="A695" t="str">
            <v>Voya</v>
          </cell>
          <cell r="B695">
            <v>269</v>
          </cell>
        </row>
        <row r="696">
          <cell r="A696" t="str">
            <v>W3Global, Inc</v>
          </cell>
          <cell r="B696">
            <v>2816</v>
          </cell>
        </row>
        <row r="697">
          <cell r="A697" t="str">
            <v>Walkin Technologies LLC</v>
          </cell>
          <cell r="B697">
            <v>2839</v>
          </cell>
        </row>
        <row r="698">
          <cell r="A698" t="str">
            <v>Wall&amp;deco s.r.l</v>
          </cell>
          <cell r="B698">
            <v>2362</v>
          </cell>
        </row>
        <row r="699">
          <cell r="A699" t="str">
            <v>Walmart</v>
          </cell>
          <cell r="B699">
            <v>3057</v>
          </cell>
        </row>
        <row r="700">
          <cell r="A700" t="str">
            <v>Walters Wicker, Inc.</v>
          </cell>
          <cell r="B700">
            <v>3013</v>
          </cell>
        </row>
        <row r="701">
          <cell r="A701" t="str">
            <v>WANFU RUIYI HK CO.,LIMITED ( XIAMEN WANFU TRADE CO., LTD. )</v>
          </cell>
          <cell r="B701">
            <v>2789</v>
          </cell>
        </row>
        <row r="702">
          <cell r="A702" t="str">
            <v>Wayfair LLC</v>
          </cell>
          <cell r="B702">
            <v>1293</v>
          </cell>
        </row>
        <row r="703">
          <cell r="A703" t="str">
            <v>Webb Strahan, LLC</v>
          </cell>
          <cell r="B703">
            <v>2384</v>
          </cell>
        </row>
        <row r="704">
          <cell r="A704" t="str">
            <v>Weldz-r-us Welding and fabrication</v>
          </cell>
          <cell r="B704">
            <v>2772</v>
          </cell>
        </row>
        <row r="705">
          <cell r="A705" t="str">
            <v>Well-Done Maintenance</v>
          </cell>
          <cell r="B705">
            <v>270</v>
          </cell>
        </row>
        <row r="706">
          <cell r="A706" t="str">
            <v>Wells Fargo</v>
          </cell>
          <cell r="B706">
            <v>271</v>
          </cell>
        </row>
        <row r="707">
          <cell r="A707" t="str">
            <v>Wendover Art Group</v>
          </cell>
          <cell r="B707">
            <v>2488</v>
          </cell>
        </row>
        <row r="708">
          <cell r="A708" t="str">
            <v>West Elm</v>
          </cell>
          <cell r="B708">
            <v>2770</v>
          </cell>
        </row>
        <row r="709">
          <cell r="A709" t="str">
            <v>White Rock Security Group, LLC</v>
          </cell>
          <cell r="B709">
            <v>1561</v>
          </cell>
        </row>
        <row r="710">
          <cell r="A710" t="str">
            <v>White Space Group LLC</v>
          </cell>
          <cell r="B710">
            <v>272</v>
          </cell>
        </row>
        <row r="711">
          <cell r="A711" t="str">
            <v>William Vitacco Associates, Ltd.</v>
          </cell>
          <cell r="B711">
            <v>273</v>
          </cell>
        </row>
        <row r="712">
          <cell r="A712" t="str">
            <v>Wilsonart LLC</v>
          </cell>
          <cell r="B712">
            <v>2646</v>
          </cell>
        </row>
        <row r="713">
          <cell r="A713" t="str">
            <v>Wolf Gordon</v>
          </cell>
          <cell r="B713">
            <v>1294</v>
          </cell>
        </row>
        <row r="714">
          <cell r="A714" t="str">
            <v>Worldwide Circumbendibus Interests (WCI)</v>
          </cell>
          <cell r="B714">
            <v>274</v>
          </cell>
        </row>
        <row r="715">
          <cell r="A715" t="str">
            <v>Worldwide Express</v>
          </cell>
          <cell r="B715">
            <v>2409</v>
          </cell>
        </row>
        <row r="716">
          <cell r="A716" t="str">
            <v>Worldwide Flight Services (WFS)</v>
          </cell>
          <cell r="B716">
            <v>275</v>
          </cell>
        </row>
        <row r="717">
          <cell r="A717" t="str">
            <v>WOW USA, Inc.</v>
          </cell>
          <cell r="B717">
            <v>2367</v>
          </cell>
        </row>
        <row r="718">
          <cell r="A718" t="str">
            <v>WRIGHTE</v>
          </cell>
          <cell r="B718">
            <v>1951</v>
          </cell>
        </row>
        <row r="719">
          <cell r="A719" t="str">
            <v>Wyndham Hotels &amp; Resorts Inc.</v>
          </cell>
          <cell r="B719">
            <v>276</v>
          </cell>
        </row>
        <row r="720">
          <cell r="A720" t="str">
            <v>XIAMEN ALLY STONE INDUSTRIAL CO.,LTD.</v>
          </cell>
          <cell r="B720">
            <v>3186</v>
          </cell>
        </row>
        <row r="721">
          <cell r="A721" t="str">
            <v>Xiamen Deyuan Panmin Trading Co., LTD</v>
          </cell>
          <cell r="B721">
            <v>1295</v>
          </cell>
        </row>
        <row r="722">
          <cell r="A722" t="str">
            <v>XPO Logistics</v>
          </cell>
          <cell r="B722">
            <v>277</v>
          </cell>
        </row>
        <row r="723">
          <cell r="A723" t="str">
            <v>Yesenye Furniture Co., Ltd</v>
          </cell>
          <cell r="B723">
            <v>1296</v>
          </cell>
        </row>
        <row r="724">
          <cell r="A724" t="str">
            <v>YONG LI SUNFRAME CONSTRUCTION CONSULTING CO.,LTD</v>
          </cell>
          <cell r="B724">
            <v>3123</v>
          </cell>
        </row>
        <row r="725">
          <cell r="A725" t="str">
            <v>ZBOM Cabinets Corp.</v>
          </cell>
          <cell r="B725">
            <v>1297</v>
          </cell>
        </row>
        <row r="726">
          <cell r="A726" t="str">
            <v>Zhejiang Weworth Furniture Technology Co., LTD</v>
          </cell>
          <cell r="B726">
            <v>1298</v>
          </cell>
        </row>
        <row r="727">
          <cell r="A727" t="str">
            <v>Zim American Integrated Shipping Services Co., LLC</v>
          </cell>
          <cell r="B727">
            <v>278</v>
          </cell>
        </row>
        <row r="728">
          <cell r="A728" t="str">
            <v>ZOHO Corporation</v>
          </cell>
          <cell r="B728">
            <v>2767</v>
          </cell>
        </row>
        <row r="729">
          <cell r="A729" t="str">
            <v>Československý Lloyd</v>
          </cell>
          <cell r="B729">
            <v>3246</v>
          </cell>
        </row>
        <row r="730">
          <cell r="A730" t="str">
            <v>AFP  108 Corp.</v>
          </cell>
          <cell r="B730">
            <v>3510</v>
          </cell>
        </row>
        <row r="731">
          <cell r="A731" t="str">
            <v>Continental Inns of America La Q</v>
          </cell>
          <cell r="B731">
            <v>3509</v>
          </cell>
        </row>
        <row r="732">
          <cell r="A732" t="str">
            <v>Interior Dezyn</v>
          </cell>
          <cell r="B732">
            <v>3413</v>
          </cell>
        </row>
        <row r="733">
          <cell r="A733" t="str">
            <v>LQ Hawthorne Leavenworth</v>
          </cell>
          <cell r="B733">
            <v>3412</v>
          </cell>
        </row>
        <row r="734">
          <cell r="A734" t="str">
            <v>LaQuinta - Naples - FL - Raj Mukkirla</v>
          </cell>
          <cell r="B734">
            <v>3410</v>
          </cell>
        </row>
        <row r="735">
          <cell r="A735" t="str">
            <v>CANDLEWOOD LAFAYETTE</v>
          </cell>
          <cell r="B735">
            <v>3409</v>
          </cell>
        </row>
        <row r="736">
          <cell r="A736" t="str">
            <v>Wyndham Trademark Fredericksburg</v>
          </cell>
          <cell r="B736">
            <v>3404</v>
          </cell>
        </row>
        <row r="737">
          <cell r="A737" t="str">
            <v>WYNDHAM GARDEN INN- MANASSAS, VA</v>
          </cell>
          <cell r="B737">
            <v>3403</v>
          </cell>
        </row>
        <row r="738">
          <cell r="A738" t="str">
            <v>WYNDHAM D&amp;C CONFERENCE BOOTH / WYNDHAM BRAND</v>
          </cell>
          <cell r="B738">
            <v>3402</v>
          </cell>
        </row>
        <row r="739">
          <cell r="A739" t="str">
            <v>Wingate Owensboro_KY</v>
          </cell>
          <cell r="B739">
            <v>3400</v>
          </cell>
        </row>
        <row r="740">
          <cell r="A740" t="str">
            <v>Wingate/ Hawthorne Kingman</v>
          </cell>
          <cell r="B740">
            <v>3401</v>
          </cell>
        </row>
        <row r="741">
          <cell r="A741" t="str">
            <v>Weaver Cooke Construction, LLC&gt;</v>
          </cell>
          <cell r="B741">
            <v>3399</v>
          </cell>
        </row>
        <row r="742">
          <cell r="A742" t="str">
            <v>Watermark Commercial Contractors LLC</v>
          </cell>
          <cell r="B742">
            <v>3398</v>
          </cell>
        </row>
        <row r="743">
          <cell r="A743" t="str">
            <v>Two one two</v>
          </cell>
          <cell r="B743">
            <v>3397</v>
          </cell>
        </row>
        <row r="744">
          <cell r="A744" t="str">
            <v>The Place Port Aransas TX</v>
          </cell>
          <cell r="B744">
            <v>3396</v>
          </cell>
        </row>
        <row r="745">
          <cell r="A745" t="str">
            <v>The Eden</v>
          </cell>
          <cell r="B745">
            <v>3395</v>
          </cell>
        </row>
        <row r="746">
          <cell r="A746" t="str">
            <v>Supreme Bright Westlake I LLC</v>
          </cell>
          <cell r="B746">
            <v>3394</v>
          </cell>
        </row>
        <row r="747">
          <cell r="A747" t="str">
            <v>SUPREME BRIGHT ATLANTIC CITY LLC (TRIBUTE SEAHAUS)</v>
          </cell>
          <cell r="B747">
            <v>3393</v>
          </cell>
        </row>
        <row r="748">
          <cell r="A748" t="str">
            <v>Sunray Group / Holiday Inn Burlington Hotel &amp; Conference Centre CANADA</v>
          </cell>
          <cell r="B748">
            <v>3392</v>
          </cell>
        </row>
        <row r="749">
          <cell r="A749" t="str">
            <v>StonePeak Ceramics, INC.</v>
          </cell>
          <cell r="B749">
            <v>3391</v>
          </cell>
        </row>
        <row r="750">
          <cell r="A750" t="str">
            <v>STONE EDGE COUNTERTTOPS</v>
          </cell>
          <cell r="B750">
            <v>3390</v>
          </cell>
        </row>
        <row r="751">
          <cell r="A751" t="str">
            <v>Stay Bridge - Manteca - CA - Aman Dhillon</v>
          </cell>
          <cell r="B751">
            <v>3389</v>
          </cell>
        </row>
        <row r="752">
          <cell r="A752" t="str">
            <v>Someshwar Motel LLC - Comfort Inn Ogallala, NE</v>
          </cell>
          <cell r="B752">
            <v>3388</v>
          </cell>
        </row>
        <row r="753">
          <cell r="A753" t="str">
            <v>SMD Contracting, Inc</v>
          </cell>
          <cell r="B753">
            <v>3387</v>
          </cell>
        </row>
        <row r="754">
          <cell r="A754" t="str">
            <v>Sigma Marble Granite and Tile</v>
          </cell>
          <cell r="B754">
            <v>3386</v>
          </cell>
        </row>
        <row r="755">
          <cell r="A755" t="str">
            <v>SAPIEN STONE INC</v>
          </cell>
          <cell r="B755">
            <v>3385</v>
          </cell>
        </row>
        <row r="756">
          <cell r="A756" t="str">
            <v>Sam Shah Residence</v>
          </cell>
          <cell r="B756">
            <v>3384</v>
          </cell>
        </row>
        <row r="757">
          <cell r="A757" t="str">
            <v>SAM SHAH / ISHA REALTY INC. -COMFORT INN - GALVESTON</v>
          </cell>
          <cell r="B757">
            <v>3383</v>
          </cell>
        </row>
        <row r="758">
          <cell r="A758" t="str">
            <v>Ritzway Group, LLC / Crowne Plaza Galleria Area</v>
          </cell>
          <cell r="B758">
            <v>3381</v>
          </cell>
        </row>
        <row r="759">
          <cell r="A759" t="str">
            <v>Sam Shah</v>
          </cell>
          <cell r="B759">
            <v>3382</v>
          </cell>
        </row>
        <row r="760">
          <cell r="A760" t="str">
            <v>Red Roof Plus-Manassas</v>
          </cell>
          <cell r="B760">
            <v>3379</v>
          </cell>
        </row>
        <row r="761">
          <cell r="A761" t="str">
            <v>Ramada Plaza Resort &amp; Suites Orlando/  MIC Hotel Corp</v>
          </cell>
          <cell r="B761">
            <v>3378</v>
          </cell>
        </row>
        <row r="762">
          <cell r="A762" t="str">
            <v>Pitt-Cran Hospitality, LLC/ Wingate Cranberry</v>
          </cell>
          <cell r="B762">
            <v>3377</v>
          </cell>
        </row>
        <row r="763">
          <cell r="A763" t="str">
            <v>Padua Realty Company</v>
          </cell>
          <cell r="B763">
            <v>3376</v>
          </cell>
        </row>
        <row r="764">
          <cell r="A764" t="str">
            <v>Northlake Innkeepers I Ltd.</v>
          </cell>
          <cell r="B764">
            <v>3375</v>
          </cell>
        </row>
        <row r="765">
          <cell r="A765" t="str">
            <v>Newcrest Management, LLC</v>
          </cell>
          <cell r="B765">
            <v>3374</v>
          </cell>
        </row>
        <row r="766">
          <cell r="A766" t="str">
            <v>Milender-White</v>
          </cell>
          <cell r="B766">
            <v>3372</v>
          </cell>
        </row>
        <row r="767">
          <cell r="A767" t="str">
            <v>New crest image Magnolia Dallas</v>
          </cell>
          <cell r="B767">
            <v>3373</v>
          </cell>
        </row>
        <row r="768">
          <cell r="A768" t="str">
            <v>Microtel - Tracy Ca</v>
          </cell>
          <cell r="B768">
            <v>3371</v>
          </cell>
        </row>
        <row r="769">
          <cell r="A769" t="str">
            <v>Magnolia LXR Dallas TX -</v>
          </cell>
          <cell r="B769">
            <v>3370</v>
          </cell>
        </row>
        <row r="770">
          <cell r="A770" t="str">
            <v>LQ Management, LLC C/o HSI Design Group</v>
          </cell>
          <cell r="B770">
            <v>3369</v>
          </cell>
        </row>
        <row r="771">
          <cell r="A771" t="str">
            <v>Las Vegas Resort Holdings, LLC</v>
          </cell>
          <cell r="B771">
            <v>3368</v>
          </cell>
        </row>
        <row r="772">
          <cell r="A772" t="str">
            <v>LaQuinta/Hawthone - Knoxville TN - AMit</v>
          </cell>
          <cell r="B772">
            <v>3367</v>
          </cell>
        </row>
        <row r="773">
          <cell r="A773" t="str">
            <v>LaQuinta McAllen</v>
          </cell>
          <cell r="B773">
            <v>3366</v>
          </cell>
        </row>
        <row r="774">
          <cell r="A774" t="str">
            <v>LaQuinta Inn Pharr TX</v>
          </cell>
          <cell r="B774">
            <v>3365</v>
          </cell>
        </row>
        <row r="775">
          <cell r="A775" t="str">
            <v>Laquinta Homewood Alabama</v>
          </cell>
          <cell r="B775">
            <v>3364</v>
          </cell>
        </row>
        <row r="776">
          <cell r="A776" t="str">
            <v>Lansdowne Resort &amp; Spa</v>
          </cell>
          <cell r="B776">
            <v>3363</v>
          </cell>
        </row>
        <row r="777">
          <cell r="A777" t="str">
            <v>La Quinta, Huntsville AL</v>
          </cell>
          <cell r="B777">
            <v>3362</v>
          </cell>
        </row>
        <row r="778">
          <cell r="A778" t="str">
            <v>La Quinta, Anaheim CA</v>
          </cell>
          <cell r="B778">
            <v>3361</v>
          </cell>
        </row>
        <row r="779">
          <cell r="A779" t="str">
            <v>LA QUINTA SHONTO AZ</v>
          </cell>
          <cell r="B779">
            <v>3360</v>
          </cell>
        </row>
        <row r="780">
          <cell r="A780" t="str">
            <v>La Quinta Hawthorn - Miamisburg, OH</v>
          </cell>
          <cell r="B780">
            <v>3358</v>
          </cell>
        </row>
        <row r="781">
          <cell r="A781" t="str">
            <v>La Quinta Inn- Galveston, TX</v>
          </cell>
          <cell r="B781">
            <v>3359</v>
          </cell>
        </row>
        <row r="782">
          <cell r="A782" t="str">
            <v>La Quinta by Wyndham Dallas DFW Airport N</v>
          </cell>
          <cell r="B782">
            <v>3357</v>
          </cell>
        </row>
        <row r="783">
          <cell r="A783" t="str">
            <v>La Quinta by Wyndham</v>
          </cell>
          <cell r="B783">
            <v>3356</v>
          </cell>
        </row>
        <row r="784">
          <cell r="A784" t="str">
            <v>La Quinta - Chelsea,AL</v>
          </cell>
          <cell r="B784">
            <v>3355</v>
          </cell>
        </row>
        <row r="785">
          <cell r="A785" t="str">
            <v>Kings Bay Coastal Hotel Management LLC / Wingate Kingsland</v>
          </cell>
          <cell r="B785">
            <v>3354</v>
          </cell>
        </row>
        <row r="786">
          <cell r="A786" t="str">
            <v>Kimpton Monaco Baltimore</v>
          </cell>
          <cell r="B786">
            <v>3353</v>
          </cell>
        </row>
        <row r="787">
          <cell r="A787" t="str">
            <v>JERRY OSBOURNE ASSOCIATES HAMPTOM INN HAZARD KY</v>
          </cell>
          <cell r="B787">
            <v>3352</v>
          </cell>
        </row>
        <row r="788">
          <cell r="A788" t="str">
            <v>Jay Sun Hospitality LLC / La Quinta La Habra,CA</v>
          </cell>
          <cell r="B788">
            <v>3351</v>
          </cell>
        </row>
        <row r="789">
          <cell r="A789" t="str">
            <v>Innovativo Design</v>
          </cell>
          <cell r="B789">
            <v>3350</v>
          </cell>
        </row>
        <row r="790">
          <cell r="A790" t="str">
            <v>Hotel Tops USA/La Quinta Albany, GA</v>
          </cell>
          <cell r="B790">
            <v>3349</v>
          </cell>
        </row>
        <row r="791">
          <cell r="A791" t="str">
            <v>Hotel Beacon NYC</v>
          </cell>
          <cell r="B791">
            <v>3348</v>
          </cell>
        </row>
        <row r="792">
          <cell r="A792" t="str">
            <v>Homewood Suites by Hilton</v>
          </cell>
          <cell r="B792">
            <v>3347</v>
          </cell>
        </row>
        <row r="793">
          <cell r="A793" t="str">
            <v>Home 2 Suites Phoenix AZ</v>
          </cell>
          <cell r="B793">
            <v>3345</v>
          </cell>
        </row>
        <row r="794">
          <cell r="A794" t="str">
            <v>Hometown Inn &amp; Suites, Memphis TN</v>
          </cell>
          <cell r="B794">
            <v>3346</v>
          </cell>
        </row>
        <row r="795">
          <cell r="A795" t="str">
            <v>Holiday Inn Pauls Valley - Pete Patel</v>
          </cell>
          <cell r="B795">
            <v>3344</v>
          </cell>
        </row>
        <row r="796">
          <cell r="A796" t="str">
            <v>Holiday Inn Express - Zion, IL</v>
          </cell>
          <cell r="B796">
            <v>3343</v>
          </cell>
        </row>
        <row r="797">
          <cell r="A797" t="str">
            <v>HILTON WARWICK</v>
          </cell>
          <cell r="B797">
            <v>3342</v>
          </cell>
        </row>
        <row r="798">
          <cell r="A798" t="str">
            <v>Hawthorn Suites.</v>
          </cell>
          <cell r="B798">
            <v>3341</v>
          </cell>
        </row>
        <row r="799">
          <cell r="A799" t="str">
            <v>HAMPTON INN PEARLAND</v>
          </cell>
          <cell r="B799">
            <v>3339</v>
          </cell>
        </row>
        <row r="800">
          <cell r="A800" t="str">
            <v>Hampton Inn Nashville</v>
          </cell>
          <cell r="B800">
            <v>3338</v>
          </cell>
        </row>
        <row r="801">
          <cell r="A801" t="str">
            <v>Hampton Inn &amp; Suites  Enterprise,AL</v>
          </cell>
          <cell r="B801">
            <v>3336</v>
          </cell>
        </row>
        <row r="802">
          <cell r="A802" t="str">
            <v>Hampton Inn Katy TX</v>
          </cell>
          <cell r="B802">
            <v>3337</v>
          </cell>
        </row>
        <row r="803">
          <cell r="A803" t="str">
            <v>Fairfield Townplace East Hartford</v>
          </cell>
          <cell r="B803">
            <v>3335</v>
          </cell>
        </row>
        <row r="804">
          <cell r="A804" t="str">
            <v>Fairfield Inn GV HEADQUARTERS, HOUSTON</v>
          </cell>
          <cell r="B804">
            <v>3334</v>
          </cell>
        </row>
        <row r="805">
          <cell r="A805" t="str">
            <v>Fairfield Inn Gadsden AL</v>
          </cell>
          <cell r="B805">
            <v>3333</v>
          </cell>
        </row>
        <row r="806">
          <cell r="A806" t="str">
            <v>Fairfield Inn - Jeffersonville, OH</v>
          </cell>
          <cell r="B806">
            <v>3332</v>
          </cell>
        </row>
        <row r="807">
          <cell r="A807" t="str">
            <v>Fairfield Denver</v>
          </cell>
          <cell r="B807">
            <v>3331</v>
          </cell>
        </row>
        <row r="808">
          <cell r="A808" t="str">
            <v>ELEMENT FORTSMITH, ARKANSAS</v>
          </cell>
          <cell r="B808">
            <v>3330</v>
          </cell>
        </row>
        <row r="809">
          <cell r="A809" t="str">
            <v>ECHO SUITES  /MCP Development, Inc</v>
          </cell>
          <cell r="B809">
            <v>3329</v>
          </cell>
        </row>
        <row r="810">
          <cell r="A810" t="str">
            <v>Daren R Snider Construction</v>
          </cell>
          <cell r="B810">
            <v>3328</v>
          </cell>
        </row>
        <row r="811">
          <cell r="A811" t="str">
            <v>Daniel Van Dyke Construction Inc</v>
          </cell>
          <cell r="B811">
            <v>3327</v>
          </cell>
        </row>
        <row r="812">
          <cell r="A812" t="str">
            <v>COURY HOSPITALITY (TRIBUTE SEAHAUS)</v>
          </cell>
          <cell r="B812">
            <v>3326</v>
          </cell>
        </row>
        <row r="813">
          <cell r="A813" t="str">
            <v>Comfort Inn, Rebrand, Princeton IL</v>
          </cell>
          <cell r="B813">
            <v>3325</v>
          </cell>
        </row>
        <row r="814">
          <cell r="A814" t="str">
            <v>Candlewood Suites -Columbus,Oh-Kautilya group</v>
          </cell>
          <cell r="B814">
            <v>3324</v>
          </cell>
        </row>
        <row r="815">
          <cell r="A815" t="str">
            <v>CAMBRIA NASHVILLE</v>
          </cell>
          <cell r="B815">
            <v>3322</v>
          </cell>
        </row>
        <row r="816">
          <cell r="A816" t="str">
            <v>CANDLEWOOD EASTRIDGE TN</v>
          </cell>
          <cell r="B816">
            <v>3323</v>
          </cell>
        </row>
        <row r="817">
          <cell r="A817" t="str">
            <v>Brighter Vision Group, LP</v>
          </cell>
          <cell r="B817">
            <v>3321</v>
          </cell>
        </row>
        <row r="818">
          <cell r="A818" t="str">
            <v>Ascent Residence inn Montgomery</v>
          </cell>
          <cell r="B818">
            <v>3320</v>
          </cell>
        </row>
        <row r="819">
          <cell r="A819" t="str">
            <v>Ascent hospitality/Fairfield Inn &amp; Suites</v>
          </cell>
          <cell r="B819">
            <v>3319</v>
          </cell>
        </row>
        <row r="820">
          <cell r="A820" t="str">
            <v>Ascent Hospitality- Autograph Huntsville</v>
          </cell>
          <cell r="B820">
            <v>3318</v>
          </cell>
        </row>
        <row r="821">
          <cell r="A821" t="str">
            <v>Ascent hospitality Home2 West Lafayette IN</v>
          </cell>
          <cell r="B821">
            <v>3317</v>
          </cell>
        </row>
        <row r="822">
          <cell r="A822" t="str">
            <v>Ascent hospitality Home2 Suites Fairburn GA</v>
          </cell>
          <cell r="B822">
            <v>3316</v>
          </cell>
        </row>
        <row r="823">
          <cell r="A823" t="str">
            <v>Ascent Hospitality Hampton Inn &amp; Suites  Montgomery-South Airport,AL</v>
          </cell>
          <cell r="B823">
            <v>3315</v>
          </cell>
        </row>
        <row r="824">
          <cell r="A824" t="str">
            <v>Ascent Hospitality Element Carmel Indiana</v>
          </cell>
          <cell r="B824">
            <v>3314</v>
          </cell>
        </row>
        <row r="825">
          <cell r="A825" t="str">
            <v>APD Construction - The Place</v>
          </cell>
          <cell r="B825">
            <v>3312</v>
          </cell>
        </row>
        <row r="826">
          <cell r="A826" t="str">
            <v>AAA Hotel Management, Inc.</v>
          </cell>
          <cell r="B826">
            <v>3310</v>
          </cell>
        </row>
        <row r="827">
          <cell r="A827" t="str">
            <v>Angles Contractor, INC./Carlton Apartments</v>
          </cell>
          <cell r="B827">
            <v>3311</v>
          </cell>
        </row>
        <row r="828">
          <cell r="A828" t="str">
            <v>AAA Hospitality - Embassy Suites Las Colinas TX</v>
          </cell>
          <cell r="B828">
            <v>3309</v>
          </cell>
        </row>
        <row r="829">
          <cell r="A829" t="str">
            <v>001 Customer Deposits/Dummy Customer</v>
          </cell>
          <cell r="B829">
            <v>3308</v>
          </cell>
        </row>
        <row r="830">
          <cell r="A830" t="str">
            <v>Priya Vaswani_Hawthorn Suites Brownsville, TX</v>
          </cell>
          <cell r="B830">
            <v>3304</v>
          </cell>
        </row>
        <row r="831">
          <cell r="A831" t="str">
            <v>Bespoke Countertops</v>
          </cell>
          <cell r="B831">
            <v>3299</v>
          </cell>
        </row>
        <row r="832">
          <cell r="A832" t="str">
            <v>1446 Main Nephi, LLC.</v>
          </cell>
          <cell r="B832">
            <v>3294</v>
          </cell>
        </row>
        <row r="833">
          <cell r="A833" t="str">
            <v>Wesley Young</v>
          </cell>
          <cell r="B833">
            <v>3285</v>
          </cell>
        </row>
        <row r="834">
          <cell r="A834" t="str">
            <v>Grand Sierra Resort &amp; Casino - Facilities</v>
          </cell>
          <cell r="B834">
            <v>3278</v>
          </cell>
        </row>
        <row r="835">
          <cell r="A835" t="str">
            <v>TOWNEPLACE SUITES - OKC</v>
          </cell>
          <cell r="B835">
            <v>3273</v>
          </cell>
        </row>
        <row r="836">
          <cell r="A836" t="str">
            <v>JPS Inc. -  Comfort Inn &amp; Suites NC992</v>
          </cell>
          <cell r="B836">
            <v>3270</v>
          </cell>
        </row>
        <row r="837">
          <cell r="A837" t="str">
            <v>Wingate by Wyndham-Farmington, NM.</v>
          </cell>
          <cell r="B837">
            <v>3268</v>
          </cell>
        </row>
        <row r="838">
          <cell r="A838" t="str">
            <v>Dale Giardina</v>
          </cell>
          <cell r="B838">
            <v>3267</v>
          </cell>
        </row>
        <row r="839">
          <cell r="A839" t="str">
            <v>Hamilton Parker</v>
          </cell>
          <cell r="B839">
            <v>3263</v>
          </cell>
        </row>
        <row r="840">
          <cell r="A840" t="str">
            <v>CTS Construction</v>
          </cell>
          <cell r="B840">
            <v>3262</v>
          </cell>
        </row>
        <row r="841">
          <cell r="A841" t="str">
            <v>Comfort Inn Milford, MA</v>
          </cell>
          <cell r="B841">
            <v>3260</v>
          </cell>
        </row>
        <row r="842">
          <cell r="A842" t="str">
            <v>Wellness Shark QC LLC</v>
          </cell>
          <cell r="B842">
            <v>3259</v>
          </cell>
        </row>
        <row r="843">
          <cell r="A843" t="str">
            <v>Meghani</v>
          </cell>
          <cell r="B843">
            <v>3252</v>
          </cell>
        </row>
        <row r="844">
          <cell r="A844" t="str">
            <v>CMC SUPPLY, INC</v>
          </cell>
          <cell r="B844">
            <v>3248</v>
          </cell>
        </row>
        <row r="845">
          <cell r="A845" t="str">
            <v>Stealth Construction</v>
          </cell>
          <cell r="B845">
            <v>3247</v>
          </cell>
        </row>
        <row r="846">
          <cell r="A846" t="str">
            <v>Barefoot Concept Haven</v>
          </cell>
          <cell r="B846">
            <v>3242</v>
          </cell>
        </row>
        <row r="847">
          <cell r="A847" t="str">
            <v>La Quinta Inn Dumas TX</v>
          </cell>
          <cell r="B847">
            <v>3241</v>
          </cell>
        </row>
        <row r="848">
          <cell r="A848" t="str">
            <v>Nicola de Pellegrini</v>
          </cell>
          <cell r="B848">
            <v>3238</v>
          </cell>
        </row>
        <row r="849">
          <cell r="A849" t="str">
            <v>FOUR POINTS-TOWNEPLACE DENVER CO - (EX RADISSON) BRUCE</v>
          </cell>
          <cell r="B849">
            <v>3234</v>
          </cell>
        </row>
        <row r="850">
          <cell r="A850" t="str">
            <v>Tribute La Crosse</v>
          </cell>
          <cell r="B850">
            <v>3233</v>
          </cell>
        </row>
        <row r="851">
          <cell r="A851" t="str">
            <v>La Quinta</v>
          </cell>
          <cell r="B851">
            <v>3231</v>
          </cell>
        </row>
        <row r="852">
          <cell r="A852" t="str">
            <v>La Quinta Bossier City</v>
          </cell>
          <cell r="B852">
            <v>3228</v>
          </cell>
        </row>
        <row r="853">
          <cell r="A853" t="str">
            <v>FOUR POINTS DENVER AIRPORT CO - (EX RAMADA) BRUCE</v>
          </cell>
          <cell r="B853">
            <v>3227</v>
          </cell>
        </row>
        <row r="854">
          <cell r="A854" t="str">
            <v>FOUR POINTS-TOWNEPLACE DENVER CO</v>
          </cell>
          <cell r="B854">
            <v>3226</v>
          </cell>
        </row>
        <row r="855">
          <cell r="A855" t="str">
            <v>MCM ELEMENT COURTYARD ELEGANTE HOTEL</v>
          </cell>
          <cell r="B855">
            <v>3225</v>
          </cell>
        </row>
        <row r="856">
          <cell r="A856" t="str">
            <v>Comfort Inn Rocklin - CAE08</v>
          </cell>
          <cell r="B856">
            <v>3205</v>
          </cell>
        </row>
        <row r="857">
          <cell r="A857" t="str">
            <v>Bodenvy Charleston Holdings, LLC</v>
          </cell>
          <cell r="B857">
            <v>3204</v>
          </cell>
        </row>
        <row r="858">
          <cell r="A858" t="str">
            <v>UAC BUILDERS</v>
          </cell>
          <cell r="B858">
            <v>3201</v>
          </cell>
        </row>
        <row r="859">
          <cell r="A859" t="str">
            <v>C2 Flooring, LLC</v>
          </cell>
          <cell r="B859">
            <v>3200</v>
          </cell>
        </row>
        <row r="860">
          <cell r="A860" t="str">
            <v>Kalpesh Shah &amp; Lorraine Richardson</v>
          </cell>
          <cell r="B860">
            <v>3192</v>
          </cell>
        </row>
        <row r="861">
          <cell r="A861" t="str">
            <v>Boot Stompin' LLC dba Yodeler Motel</v>
          </cell>
          <cell r="B861">
            <v>3190</v>
          </cell>
        </row>
        <row r="862">
          <cell r="A862" t="str">
            <v>Ganga, LLC/ La Quinta Bossier City</v>
          </cell>
          <cell r="B862">
            <v>3188</v>
          </cell>
        </row>
        <row r="863">
          <cell r="A863" t="str">
            <v>Vantage Point Hospitality, LLC</v>
          </cell>
          <cell r="B863">
            <v>3184</v>
          </cell>
        </row>
        <row r="864">
          <cell r="A864" t="str">
            <v>Bobby Ooulette</v>
          </cell>
          <cell r="B864">
            <v>3173</v>
          </cell>
        </row>
        <row r="865">
          <cell r="A865" t="str">
            <v>JT DESIGN EYE, LLC</v>
          </cell>
          <cell r="B865">
            <v>3168</v>
          </cell>
        </row>
        <row r="866">
          <cell r="A866" t="str">
            <v>Laquita Kingsport</v>
          </cell>
          <cell r="B866">
            <v>3166</v>
          </cell>
        </row>
        <row r="867">
          <cell r="A867" t="str">
            <v>La Quinta - Chelsea, AL</v>
          </cell>
          <cell r="B867">
            <v>3165</v>
          </cell>
        </row>
        <row r="868">
          <cell r="A868" t="str">
            <v>Ascent Hospitality DoubleTree Montgomery, AL</v>
          </cell>
          <cell r="B868">
            <v>3159</v>
          </cell>
        </row>
        <row r="869">
          <cell r="A869" t="str">
            <v>Continental Inns of America La Quinta Inn</v>
          </cell>
          <cell r="B869">
            <v>3153</v>
          </cell>
        </row>
        <row r="870">
          <cell r="A870" t="str">
            <v>OKCDT ENTERPRISE,LLC</v>
          </cell>
          <cell r="B870">
            <v>3151</v>
          </cell>
        </row>
        <row r="871">
          <cell r="A871" t="str">
            <v>La Quinta inn-Richmond</v>
          </cell>
          <cell r="B871">
            <v>3150</v>
          </cell>
        </row>
        <row r="872">
          <cell r="A872" t="str">
            <v>King Management LLC</v>
          </cell>
          <cell r="B872">
            <v>3149</v>
          </cell>
        </row>
        <row r="873">
          <cell r="A873" t="str">
            <v>Wyndham Hotels &amp; Resorts, Inc.</v>
          </cell>
          <cell r="B873">
            <v>3148</v>
          </cell>
        </row>
        <row r="874">
          <cell r="A874" t="str">
            <v>Phx Pros Contracting &amp; Remodeling LLC</v>
          </cell>
          <cell r="B874">
            <v>3144</v>
          </cell>
        </row>
        <row r="875">
          <cell r="A875" t="str">
            <v>Wathco</v>
          </cell>
          <cell r="B875">
            <v>3143</v>
          </cell>
        </row>
        <row r="876">
          <cell r="A876" t="str">
            <v>Sevan Multi Site Solutions.</v>
          </cell>
          <cell r="B876">
            <v>3141</v>
          </cell>
        </row>
        <row r="877">
          <cell r="A877" t="str">
            <v>Mubarak Manasia</v>
          </cell>
          <cell r="B877">
            <v>3135</v>
          </cell>
        </row>
        <row r="878">
          <cell r="A878" t="str">
            <v>Home 2 Suites College station</v>
          </cell>
          <cell r="B878">
            <v>3128</v>
          </cell>
        </row>
        <row r="879">
          <cell r="A879" t="str">
            <v>Restaurant Renovations Inc</v>
          </cell>
          <cell r="B879">
            <v>3125</v>
          </cell>
        </row>
        <row r="880">
          <cell r="A880" t="str">
            <v>La Quinta Hawthorn - DeSoto,TX</v>
          </cell>
          <cell r="B880">
            <v>3119</v>
          </cell>
        </row>
        <row r="881">
          <cell r="A881" t="str">
            <v>Ascent Hospitality - home2 gulfport</v>
          </cell>
          <cell r="B881">
            <v>3118</v>
          </cell>
        </row>
        <row r="882">
          <cell r="A882" t="str">
            <v>Comfort Inn &amp; Suites, Durham NC</v>
          </cell>
          <cell r="B882">
            <v>3115</v>
          </cell>
        </row>
        <row r="883">
          <cell r="A883" t="str">
            <v>Pearl and Posh L.L.C (BODENVY)</v>
          </cell>
          <cell r="B883">
            <v>3112</v>
          </cell>
        </row>
        <row r="884">
          <cell r="A884" t="str">
            <v>Graniti Vicentia _Rent</v>
          </cell>
          <cell r="B884">
            <v>3109</v>
          </cell>
        </row>
        <row r="885">
          <cell r="A885" t="str">
            <v>Comfort Inn &amp; Suites - SC 768</v>
          </cell>
          <cell r="B885">
            <v>3105</v>
          </cell>
        </row>
        <row r="886">
          <cell r="A886" t="str">
            <v>Elite Contracting LLC</v>
          </cell>
          <cell r="B886">
            <v>3099</v>
          </cell>
        </row>
        <row r="887">
          <cell r="A887" t="str">
            <v>Garrett Christopher</v>
          </cell>
          <cell r="B887">
            <v>3097</v>
          </cell>
        </row>
        <row r="888">
          <cell r="A888" t="str">
            <v>Wingate Hotel</v>
          </cell>
          <cell r="B888">
            <v>3095</v>
          </cell>
        </row>
        <row r="889">
          <cell r="A889" t="str">
            <v>Impressions Tile and Marble LLC</v>
          </cell>
          <cell r="B889">
            <v>3092</v>
          </cell>
        </row>
        <row r="890">
          <cell r="A890" t="str">
            <v>Anne Hart</v>
          </cell>
          <cell r="B890">
            <v>3091</v>
          </cell>
        </row>
        <row r="891">
          <cell r="A891" t="str">
            <v>Barry Design Studio</v>
          </cell>
          <cell r="B891">
            <v>3090</v>
          </cell>
        </row>
        <row r="892">
          <cell r="A892" t="str">
            <v>Kaveh Karimzad</v>
          </cell>
          <cell r="B892">
            <v>3089</v>
          </cell>
        </row>
        <row r="893">
          <cell r="A893" t="str">
            <v>Dennis Conway</v>
          </cell>
          <cell r="B893">
            <v>3085</v>
          </cell>
        </row>
        <row r="894">
          <cell r="A894" t="str">
            <v>L &amp; H Construction &amp; Renovation, Inc.</v>
          </cell>
          <cell r="B894">
            <v>3077</v>
          </cell>
        </row>
        <row r="895">
          <cell r="A895" t="str">
            <v>Wingate Macon West</v>
          </cell>
          <cell r="B895">
            <v>3075</v>
          </cell>
        </row>
        <row r="896">
          <cell r="A896" t="str">
            <v>Comfort Inn &amp; Suites - PA680</v>
          </cell>
          <cell r="B896">
            <v>3072</v>
          </cell>
        </row>
        <row r="897">
          <cell r="A897" t="str">
            <v>SKIMS Retail - Bulk-3</v>
          </cell>
          <cell r="B897">
            <v>3069</v>
          </cell>
        </row>
        <row r="898">
          <cell r="A898" t="str">
            <v>Trinity Tile Group LLC</v>
          </cell>
          <cell r="B898">
            <v>3068</v>
          </cell>
        </row>
        <row r="899">
          <cell r="A899" t="str">
            <v>Drake Restuarant</v>
          </cell>
          <cell r="B899">
            <v>3066</v>
          </cell>
        </row>
        <row r="900">
          <cell r="A900" t="str">
            <v>Pinnacle Carothers McEwen LLC</v>
          </cell>
          <cell r="B900">
            <v>3064</v>
          </cell>
        </row>
        <row r="901">
          <cell r="A901" t="str">
            <v>Palace Inn Franchising, LLC</v>
          </cell>
          <cell r="B901">
            <v>3053</v>
          </cell>
        </row>
        <row r="902">
          <cell r="A902" t="str">
            <v>Houston Warehouse</v>
          </cell>
          <cell r="B902">
            <v>3050</v>
          </cell>
        </row>
        <row r="903">
          <cell r="A903" t="str">
            <v>Rahi Hospitality LLC</v>
          </cell>
          <cell r="B903">
            <v>3048</v>
          </cell>
        </row>
        <row r="904">
          <cell r="A904" t="str">
            <v>Sunil Tolani</v>
          </cell>
          <cell r="B904">
            <v>3036</v>
          </cell>
        </row>
        <row r="905">
          <cell r="A905" t="str">
            <v>JSR Hotels- Home 2 Suites</v>
          </cell>
          <cell r="B905">
            <v>3035</v>
          </cell>
        </row>
        <row r="906">
          <cell r="A906" t="str">
            <v>Ellis Island Hotel</v>
          </cell>
          <cell r="B906">
            <v>3034</v>
          </cell>
        </row>
        <row r="907">
          <cell r="A907" t="str">
            <v>M CREATIVE CONSTRUCTION LLC</v>
          </cell>
          <cell r="B907">
            <v>3032</v>
          </cell>
        </row>
        <row r="908">
          <cell r="A908" t="str">
            <v>Fernando   Ovalle</v>
          </cell>
          <cell r="B908">
            <v>3031</v>
          </cell>
        </row>
        <row r="909">
          <cell r="A909" t="str">
            <v>Sarina Hospitality &amp; Management, Inc.</v>
          </cell>
          <cell r="B909">
            <v>3025</v>
          </cell>
        </row>
        <row r="910">
          <cell r="A910" t="str">
            <v>NHU  NGUYEN</v>
          </cell>
          <cell r="B910">
            <v>3022</v>
          </cell>
        </row>
        <row r="911">
          <cell r="A911" t="str">
            <v>ISBS LLC</v>
          </cell>
          <cell r="B911">
            <v>3020</v>
          </cell>
        </row>
        <row r="912">
          <cell r="A912" t="str">
            <v>Graniti Vicentia LLC</v>
          </cell>
          <cell r="B912">
            <v>3018</v>
          </cell>
        </row>
        <row r="913">
          <cell r="A913" t="str">
            <v>Dowling Architects, P.C.</v>
          </cell>
          <cell r="B913">
            <v>3017</v>
          </cell>
        </row>
        <row r="914">
          <cell r="A914" t="str">
            <v>Periyar Dharma LLC</v>
          </cell>
          <cell r="B914">
            <v>3010</v>
          </cell>
        </row>
        <row r="915">
          <cell r="A915" t="str">
            <v>281 LODGING GROUP</v>
          </cell>
          <cell r="B915">
            <v>3009</v>
          </cell>
        </row>
        <row r="916">
          <cell r="A916" t="str">
            <v>Comfort Inn and Suites - WI410</v>
          </cell>
          <cell r="B916">
            <v>3006</v>
          </cell>
        </row>
        <row r="917">
          <cell r="A917" t="str">
            <v>Laquinta Memphis</v>
          </cell>
          <cell r="B917">
            <v>3002</v>
          </cell>
        </row>
        <row r="918">
          <cell r="A918" t="str">
            <v>CWB Management</v>
          </cell>
          <cell r="B918">
            <v>3000</v>
          </cell>
        </row>
        <row r="919">
          <cell r="A919" t="str">
            <v>Hyatt</v>
          </cell>
          <cell r="B919">
            <v>2994</v>
          </cell>
        </row>
        <row r="920">
          <cell r="A920" t="str">
            <v>Comfort Inn and Suites - ND133</v>
          </cell>
          <cell r="B920">
            <v>2993</v>
          </cell>
        </row>
        <row r="921">
          <cell r="A921" t="str">
            <v>Veena Investments, Inc.</v>
          </cell>
          <cell r="B921">
            <v>2987</v>
          </cell>
        </row>
        <row r="922">
          <cell r="A922" t="str">
            <v>Kayla Investments</v>
          </cell>
          <cell r="B922">
            <v>2983</v>
          </cell>
        </row>
        <row r="923">
          <cell r="A923" t="str">
            <v>Alare Hotels Inc.</v>
          </cell>
          <cell r="B923">
            <v>2982</v>
          </cell>
        </row>
        <row r="924">
          <cell r="A924" t="str">
            <v>Wingate &amp; Hawthorn Austin</v>
          </cell>
          <cell r="B924">
            <v>2977</v>
          </cell>
        </row>
        <row r="925">
          <cell r="A925" t="str">
            <v>Diboll Inn &amp; Suites</v>
          </cell>
          <cell r="B925">
            <v>2973</v>
          </cell>
        </row>
        <row r="926">
          <cell r="A926" t="str">
            <v>Chirag Patel</v>
          </cell>
          <cell r="B926">
            <v>2968</v>
          </cell>
        </row>
        <row r="927">
          <cell r="A927" t="str">
            <v>Adam  Rowland</v>
          </cell>
          <cell r="B927">
            <v>2967</v>
          </cell>
        </row>
        <row r="928">
          <cell r="A928" t="str">
            <v>Mesken, LLC</v>
          </cell>
          <cell r="B928">
            <v>2966</v>
          </cell>
        </row>
        <row r="929">
          <cell r="A929" t="str">
            <v>Stone Store</v>
          </cell>
          <cell r="B929">
            <v>2965</v>
          </cell>
        </row>
        <row r="930">
          <cell r="A930" t="str">
            <v>Jaimin Patel_ELEMENT FORTSMITH, ARKANSAS</v>
          </cell>
          <cell r="B930">
            <v>2959</v>
          </cell>
        </row>
        <row r="931">
          <cell r="A931" t="str">
            <v>A.L. Post, Inc.</v>
          </cell>
          <cell r="B931">
            <v>2958</v>
          </cell>
        </row>
        <row r="932">
          <cell r="A932" t="str">
            <v>La Quinta INN-Springdale OH</v>
          </cell>
          <cell r="B932">
            <v>2956</v>
          </cell>
        </row>
        <row r="933">
          <cell r="A933" t="str">
            <v>Kokomo Conference Center</v>
          </cell>
          <cell r="B933">
            <v>2955</v>
          </cell>
        </row>
        <row r="934">
          <cell r="A934" t="str">
            <v>Comfort Inn &amp; Suites - CO283</v>
          </cell>
          <cell r="B934">
            <v>2952</v>
          </cell>
        </row>
        <row r="935">
          <cell r="A935" t="str">
            <v>Odom Services LLC</v>
          </cell>
          <cell r="B935">
            <v>2951</v>
          </cell>
        </row>
        <row r="936">
          <cell r="A936" t="str">
            <v>InteriorZ By Zee</v>
          </cell>
          <cell r="B936">
            <v>2945</v>
          </cell>
        </row>
        <row r="937">
          <cell r="A937" t="str">
            <v>HD Century LLC</v>
          </cell>
          <cell r="B937">
            <v>2944</v>
          </cell>
        </row>
        <row r="938">
          <cell r="A938" t="str">
            <v>Lakshmi Maddi</v>
          </cell>
          <cell r="B938">
            <v>2937</v>
          </cell>
        </row>
        <row r="939">
          <cell r="A939" t="str">
            <v>Vic and Nilam Patel</v>
          </cell>
          <cell r="B939">
            <v>2932</v>
          </cell>
        </row>
        <row r="940">
          <cell r="A940" t="str">
            <v>Mosaic Hospitality LLC.</v>
          </cell>
          <cell r="B940">
            <v>2923</v>
          </cell>
        </row>
        <row r="941">
          <cell r="A941" t="str">
            <v>WYNDHAM GARDEN EDMONTON AIRPORT HOTEL</v>
          </cell>
          <cell r="B941">
            <v>2916</v>
          </cell>
        </row>
        <row r="942">
          <cell r="A942" t="str">
            <v>FRANKLIN DEVCO LLC.</v>
          </cell>
          <cell r="B942">
            <v>2911</v>
          </cell>
        </row>
        <row r="943">
          <cell r="A943" t="str">
            <v>New holland 626 Inn LLC</v>
          </cell>
          <cell r="B943">
            <v>2910</v>
          </cell>
        </row>
        <row r="944">
          <cell r="A944" t="str">
            <v>Builders Carpet &amp; Design Center, Inc. dba Goodwyn Flooring Companies</v>
          </cell>
          <cell r="B944">
            <v>2908</v>
          </cell>
        </row>
        <row r="945">
          <cell r="A945" t="str">
            <v>Motel6</v>
          </cell>
          <cell r="B945">
            <v>2906</v>
          </cell>
        </row>
        <row r="946">
          <cell r="A946" t="str">
            <v>Icon Vacaville LLC</v>
          </cell>
          <cell r="B946">
            <v>2900</v>
          </cell>
        </row>
        <row r="947">
          <cell r="A947" t="str">
            <v>7 HILLS FREDERICKSBURG, LLC</v>
          </cell>
          <cell r="B947">
            <v>2895</v>
          </cell>
        </row>
        <row r="948">
          <cell r="A948" t="str">
            <v>Namou Hotels</v>
          </cell>
          <cell r="B948">
            <v>2894</v>
          </cell>
        </row>
        <row r="949">
          <cell r="A949" t="str">
            <v>GOKUL HOSPITALITY INC.</v>
          </cell>
          <cell r="B949">
            <v>2893</v>
          </cell>
        </row>
        <row r="950">
          <cell r="A950" t="str">
            <v>Jamp Hotels</v>
          </cell>
          <cell r="B950">
            <v>2892</v>
          </cell>
        </row>
        <row r="951">
          <cell r="A951" t="str">
            <v>Spring Hill Hotel Partners LLC</v>
          </cell>
          <cell r="B951">
            <v>2889</v>
          </cell>
        </row>
        <row r="952">
          <cell r="A952" t="str">
            <v>Hilton Garden Inn Nashville</v>
          </cell>
          <cell r="B952">
            <v>2884</v>
          </cell>
        </row>
        <row r="953">
          <cell r="A953" t="str">
            <v>GURU BUILDERS LLC</v>
          </cell>
          <cell r="B953">
            <v>2883</v>
          </cell>
        </row>
        <row r="954">
          <cell r="A954" t="str">
            <v>Wurzer Construction</v>
          </cell>
          <cell r="B954">
            <v>2882</v>
          </cell>
        </row>
        <row r="955">
          <cell r="A955" t="str">
            <v>V&amp;V Ceramic Floors LLC</v>
          </cell>
          <cell r="B955">
            <v>2878</v>
          </cell>
        </row>
        <row r="956">
          <cell r="A956" t="str">
            <v>COURTYARD STAMFORD, CT</v>
          </cell>
          <cell r="B956">
            <v>2869</v>
          </cell>
        </row>
        <row r="957">
          <cell r="A957" t="str">
            <v>Keystone Developers &amp; Property Management</v>
          </cell>
          <cell r="B957">
            <v>2867</v>
          </cell>
        </row>
        <row r="958">
          <cell r="A958" t="str">
            <v>NORTHSOUTH CONSTRUCTION, INC.</v>
          </cell>
          <cell r="B958">
            <v>2866</v>
          </cell>
        </row>
        <row r="959">
          <cell r="A959" t="str">
            <v>Hotel One Partners Miramar Beach, LLC</v>
          </cell>
          <cell r="B959">
            <v>2864</v>
          </cell>
        </row>
        <row r="960">
          <cell r="A960" t="str">
            <v>Wingate by Wyndham Jacksonville</v>
          </cell>
          <cell r="B960">
            <v>2861</v>
          </cell>
        </row>
        <row r="961">
          <cell r="A961" t="str">
            <v>Denali Y Construction</v>
          </cell>
          <cell r="B961">
            <v>2855</v>
          </cell>
        </row>
        <row r="962">
          <cell r="A962" t="str">
            <v>LHG Columbus LLC</v>
          </cell>
          <cell r="B962">
            <v>2854</v>
          </cell>
        </row>
        <row r="963">
          <cell r="A963" t="str">
            <v>Comfort Inn and Suites -TX917</v>
          </cell>
          <cell r="B963">
            <v>2851</v>
          </cell>
        </row>
        <row r="964">
          <cell r="A964" t="str">
            <v>Perkins Eastman</v>
          </cell>
          <cell r="B964">
            <v>2850</v>
          </cell>
        </row>
        <row r="965">
          <cell r="A965" t="str">
            <v>EVCO Development</v>
          </cell>
          <cell r="B965">
            <v>2849</v>
          </cell>
        </row>
        <row r="966">
          <cell r="A966" t="str">
            <v>Design Construction</v>
          </cell>
          <cell r="B966">
            <v>2848</v>
          </cell>
        </row>
        <row r="967">
          <cell r="A967" t="str">
            <v>Spartan Surfaces</v>
          </cell>
          <cell r="B967">
            <v>2847</v>
          </cell>
        </row>
        <row r="968">
          <cell r="A968" t="str">
            <v>Home2 Marble Falls</v>
          </cell>
          <cell r="B968">
            <v>2844</v>
          </cell>
        </row>
        <row r="969">
          <cell r="A969" t="str">
            <v>Summit Construction Co., Inc.</v>
          </cell>
          <cell r="B969">
            <v>2841</v>
          </cell>
        </row>
        <row r="970">
          <cell r="A970" t="str">
            <v>Aman Dhillon_Stay Bridge - Manteca - CA</v>
          </cell>
          <cell r="B970">
            <v>2838</v>
          </cell>
        </row>
        <row r="971">
          <cell r="A971" t="str">
            <v>Cadence MC Shane Construction CO. LLC</v>
          </cell>
          <cell r="B971">
            <v>2837</v>
          </cell>
        </row>
        <row r="972">
          <cell r="A972" t="str">
            <v>The Mehling Group</v>
          </cell>
          <cell r="B972">
            <v>2836</v>
          </cell>
        </row>
        <row r="973">
          <cell r="A973" t="str">
            <v>Jay and Reena Patel</v>
          </cell>
          <cell r="B973">
            <v>2834</v>
          </cell>
        </row>
        <row r="974">
          <cell r="A974" t="str">
            <v>Malwa Colton LLC</v>
          </cell>
          <cell r="B974">
            <v>2832</v>
          </cell>
        </row>
        <row r="975">
          <cell r="A975" t="str">
            <v>Steve Hari - Facades</v>
          </cell>
          <cell r="B975">
            <v>2831</v>
          </cell>
        </row>
        <row r="976">
          <cell r="A976" t="str">
            <v>Home2 Suites Pittsburg CA</v>
          </cell>
          <cell r="B976">
            <v>2822</v>
          </cell>
        </row>
        <row r="977">
          <cell r="A977" t="str">
            <v>Umang patel</v>
          </cell>
          <cell r="B977">
            <v>2821</v>
          </cell>
        </row>
        <row r="978">
          <cell r="A978" t="str">
            <v>McRav Lodging</v>
          </cell>
          <cell r="B978">
            <v>2814</v>
          </cell>
        </row>
        <row r="979">
          <cell r="A979" t="str">
            <v>Martin Santillan</v>
          </cell>
          <cell r="B979">
            <v>2813</v>
          </cell>
        </row>
        <row r="980">
          <cell r="A980" t="str">
            <v>Construction Project Pros</v>
          </cell>
          <cell r="B980">
            <v>2812</v>
          </cell>
        </row>
        <row r="981">
          <cell r="A981" t="str">
            <v>Madhvika Singla</v>
          </cell>
          <cell r="B981">
            <v>2811</v>
          </cell>
        </row>
        <row r="982">
          <cell r="A982" t="str">
            <v>Walker Hospitality Group</v>
          </cell>
          <cell r="B982">
            <v>2807</v>
          </cell>
        </row>
        <row r="983">
          <cell r="A983" t="str">
            <v>Hampton inn &amp; Suites Enterprise, Al (5335)</v>
          </cell>
          <cell r="B983">
            <v>2804</v>
          </cell>
        </row>
        <row r="984">
          <cell r="A984" t="str">
            <v>Krushiker Hospitality GRP</v>
          </cell>
          <cell r="B984">
            <v>2803</v>
          </cell>
        </row>
        <row r="985">
          <cell r="A985" t="str">
            <v>Prevail Waxahachie LLC</v>
          </cell>
          <cell r="B985">
            <v>2800</v>
          </cell>
        </row>
        <row r="986">
          <cell r="A986" t="str">
            <v>Satesh Limited</v>
          </cell>
          <cell r="B986">
            <v>2799</v>
          </cell>
        </row>
        <row r="987">
          <cell r="A987" t="str">
            <v>NYLO Dallas Plano Hotel Tapestry</v>
          </cell>
          <cell r="B987">
            <v>2797</v>
          </cell>
        </row>
        <row r="988">
          <cell r="A988" t="str">
            <v>Elegant lotus LLC</v>
          </cell>
          <cell r="B988">
            <v>2796</v>
          </cell>
        </row>
        <row r="989">
          <cell r="A989" t="str">
            <v>STAYBRIDGE - HOUSTON</v>
          </cell>
          <cell r="B989">
            <v>2795</v>
          </cell>
        </row>
        <row r="990">
          <cell r="A990" t="str">
            <v>Spectra Contract flooring</v>
          </cell>
          <cell r="B990">
            <v>2793</v>
          </cell>
        </row>
        <row r="991">
          <cell r="A991" t="str">
            <v>Patel Residence</v>
          </cell>
          <cell r="B991">
            <v>2791</v>
          </cell>
        </row>
        <row r="992">
          <cell r="A992" t="str">
            <v>Comfort Inn &amp; Suites Kingsport - TN246</v>
          </cell>
          <cell r="B992">
            <v>2790</v>
          </cell>
        </row>
        <row r="993">
          <cell r="A993" t="str">
            <v>La Quinta - Revere, MA</v>
          </cell>
          <cell r="B993">
            <v>2783</v>
          </cell>
        </row>
        <row r="994">
          <cell r="A994" t="str">
            <v>Soma Construction- Facades</v>
          </cell>
          <cell r="B994">
            <v>2780</v>
          </cell>
        </row>
        <row r="995">
          <cell r="A995" t="str">
            <v>BLUE STAR INN - CHANNELVIEW TX</v>
          </cell>
          <cell r="B995">
            <v>2778</v>
          </cell>
        </row>
        <row r="996">
          <cell r="A996" t="str">
            <v>Comfort Suites Gastonia - Charlotte</v>
          </cell>
          <cell r="B996">
            <v>2777</v>
          </cell>
        </row>
        <row r="997">
          <cell r="A997" t="str">
            <v>Avid Hotel</v>
          </cell>
          <cell r="B997">
            <v>2774</v>
          </cell>
        </row>
        <row r="998">
          <cell r="A998" t="str">
            <v>Saikrupa Iah Inc</v>
          </cell>
          <cell r="B998">
            <v>2769</v>
          </cell>
        </row>
        <row r="999">
          <cell r="A999" t="str">
            <v>Lindsey Lane Hospitality LLC.</v>
          </cell>
          <cell r="B999">
            <v>2765</v>
          </cell>
        </row>
        <row r="1000">
          <cell r="A1000" t="str">
            <v>Penberthy Custom Builders</v>
          </cell>
          <cell r="B1000">
            <v>2764</v>
          </cell>
        </row>
        <row r="1001">
          <cell r="A1001" t="str">
            <v>Hampton Downtown Montgomery</v>
          </cell>
          <cell r="B1001">
            <v>2761</v>
          </cell>
        </row>
        <row r="1002">
          <cell r="A1002" t="str">
            <v>Residence Inn Montgomery</v>
          </cell>
          <cell r="B1002">
            <v>2760</v>
          </cell>
        </row>
        <row r="1003">
          <cell r="A1003" t="str">
            <v>LaQuinta/Hawthorne - Knoxville TN</v>
          </cell>
          <cell r="B1003">
            <v>2756</v>
          </cell>
        </row>
        <row r="1004">
          <cell r="A1004" t="str">
            <v>CHAMPION SUPPLY LLC</v>
          </cell>
          <cell r="B1004">
            <v>2754</v>
          </cell>
        </row>
        <row r="1005">
          <cell r="A1005" t="str">
            <v>Sinclair Construction Management</v>
          </cell>
          <cell r="B1005">
            <v>2753</v>
          </cell>
        </row>
        <row r="1006">
          <cell r="A1006" t="str">
            <v>LaQuinta Inn &amp; Suites Oxford AL</v>
          </cell>
          <cell r="B1006">
            <v>2752</v>
          </cell>
        </row>
        <row r="1007">
          <cell r="A1007" t="str">
            <v>Ghanshyam Patel</v>
          </cell>
          <cell r="B1007">
            <v>2749</v>
          </cell>
        </row>
        <row r="1008">
          <cell r="A1008" t="str">
            <v>Hampton Inn – Midland South</v>
          </cell>
          <cell r="B1008">
            <v>2746</v>
          </cell>
        </row>
        <row r="1009">
          <cell r="A1009" t="str">
            <v>OM Hospitality Inc</v>
          </cell>
          <cell r="B1009">
            <v>2744</v>
          </cell>
        </row>
        <row r="1010">
          <cell r="A1010" t="str">
            <v>Kian Hotels LLC / Facades</v>
          </cell>
          <cell r="B1010">
            <v>2740</v>
          </cell>
        </row>
        <row r="1011">
          <cell r="A1011" t="str">
            <v>Oshkosh Lodging LLC</v>
          </cell>
          <cell r="B1011">
            <v>2739</v>
          </cell>
        </row>
        <row r="1012">
          <cell r="A1012" t="str">
            <v>Omkar Group LLC</v>
          </cell>
          <cell r="B1012">
            <v>2738</v>
          </cell>
        </row>
        <row r="1013">
          <cell r="A1013" t="str">
            <v>Platinum Pittsburg, LLC</v>
          </cell>
          <cell r="B1013">
            <v>2736</v>
          </cell>
        </row>
        <row r="1014">
          <cell r="A1014" t="str">
            <v>Malibu Floors</v>
          </cell>
          <cell r="B1014">
            <v>2735</v>
          </cell>
        </row>
        <row r="1015">
          <cell r="A1015" t="str">
            <v>M G CONSTRUCTION CO , LLC</v>
          </cell>
          <cell r="B1015">
            <v>2733</v>
          </cell>
        </row>
        <row r="1016">
          <cell r="A1016" t="str">
            <v>Mahesh Patel - Facades</v>
          </cell>
          <cell r="B1016">
            <v>2732</v>
          </cell>
        </row>
        <row r="1017">
          <cell r="A1017" t="str">
            <v>Smart Stop</v>
          </cell>
          <cell r="B1017">
            <v>2728</v>
          </cell>
        </row>
        <row r="1018">
          <cell r="A1018" t="str">
            <v>Hawthorn Fayetteville</v>
          </cell>
          <cell r="B1018">
            <v>2727</v>
          </cell>
        </row>
        <row r="1019">
          <cell r="A1019" t="str">
            <v>Premium Hospitality Solutions dba Hospitality Plus</v>
          </cell>
          <cell r="B1019">
            <v>2725</v>
          </cell>
        </row>
        <row r="1020">
          <cell r="A1020" t="str">
            <v>Sleep Inn and Suites</v>
          </cell>
          <cell r="B1020">
            <v>2719</v>
          </cell>
        </row>
        <row r="1021">
          <cell r="A1021" t="str">
            <v>A+ Floors 4U</v>
          </cell>
          <cell r="B1021">
            <v>2715</v>
          </cell>
        </row>
        <row r="1022">
          <cell r="A1022" t="str">
            <v>Ascent hospitality Townplace Suites Fairburn IN</v>
          </cell>
          <cell r="B1022">
            <v>2713</v>
          </cell>
        </row>
        <row r="1023">
          <cell r="A1023" t="str">
            <v>Wingate - Erlanger, KY</v>
          </cell>
          <cell r="B1023">
            <v>2712</v>
          </cell>
        </row>
        <row r="1024">
          <cell r="A1024" t="str">
            <v>Hampton Inn (conversion to Holiday Inn Express)</v>
          </cell>
          <cell r="B1024">
            <v>2711</v>
          </cell>
        </row>
        <row r="1025">
          <cell r="A1025" t="str">
            <v>Hawthorne Suites- Alpine WY</v>
          </cell>
          <cell r="B1025">
            <v>2710</v>
          </cell>
        </row>
        <row r="1026">
          <cell r="A1026" t="str">
            <v>Pono Stone LLC</v>
          </cell>
          <cell r="B1026">
            <v>2709</v>
          </cell>
        </row>
        <row r="1027">
          <cell r="A1027" t="str">
            <v>Classic American Homes &amp; Renovations</v>
          </cell>
          <cell r="B1027">
            <v>2708</v>
          </cell>
        </row>
        <row r="1028">
          <cell r="A1028" t="str">
            <v>LAQUINTA TRINIDAD CO</v>
          </cell>
          <cell r="B1028">
            <v>2707</v>
          </cell>
        </row>
        <row r="1029">
          <cell r="A1029" t="str">
            <v>RELATED Companies</v>
          </cell>
          <cell r="B1029">
            <v>2706</v>
          </cell>
        </row>
        <row r="1030">
          <cell r="A1030" t="str">
            <v>Ascent hospitality Towneplace West Lafayette IN</v>
          </cell>
          <cell r="B1030">
            <v>2705</v>
          </cell>
        </row>
        <row r="1031">
          <cell r="A1031" t="str">
            <v>Ascent Hospitality Element</v>
          </cell>
          <cell r="B1031">
            <v>2703</v>
          </cell>
        </row>
        <row r="1032">
          <cell r="A1032" t="str">
            <v>Nancy Paolino</v>
          </cell>
          <cell r="B1032">
            <v>2702</v>
          </cell>
        </row>
        <row r="1033">
          <cell r="A1033" t="str">
            <v>Jauregui Inc.</v>
          </cell>
          <cell r="B1033">
            <v>2698</v>
          </cell>
        </row>
        <row r="1034">
          <cell r="A1034" t="str">
            <v>Dobbins Floor Coverings Inc</v>
          </cell>
          <cell r="B1034">
            <v>2697</v>
          </cell>
        </row>
        <row r="1035">
          <cell r="A1035" t="str">
            <v>A-1 Hospitality Group</v>
          </cell>
          <cell r="B1035">
            <v>2696</v>
          </cell>
        </row>
        <row r="1036">
          <cell r="A1036" t="str">
            <v>PGI Wells, LLC</v>
          </cell>
          <cell r="B1036">
            <v>2695</v>
          </cell>
        </row>
        <row r="1037">
          <cell r="A1037" t="str">
            <v>Dick Anderson Construction</v>
          </cell>
          <cell r="B1037">
            <v>2694</v>
          </cell>
        </row>
        <row r="1038">
          <cell r="A1038" t="str">
            <v>AMANDA WHATLEY DESIGNS</v>
          </cell>
          <cell r="B1038">
            <v>2692</v>
          </cell>
        </row>
        <row r="1039">
          <cell r="A1039" t="str">
            <v>Shreya Construction LLC</v>
          </cell>
          <cell r="B1039">
            <v>2691</v>
          </cell>
        </row>
        <row r="1040">
          <cell r="A1040" t="str">
            <v>Sleep Inn &amp; Suites</v>
          </cell>
          <cell r="B1040">
            <v>2690</v>
          </cell>
        </row>
        <row r="1041">
          <cell r="A1041" t="str">
            <v>Apolonio (POLO) Montoya Maldonado(5311)</v>
          </cell>
          <cell r="B1041">
            <v>2688</v>
          </cell>
        </row>
        <row r="1042">
          <cell r="A1042" t="str">
            <v>Yogi Management INC</v>
          </cell>
          <cell r="B1042">
            <v>2686</v>
          </cell>
        </row>
        <row r="1043">
          <cell r="A1043" t="str">
            <v>Sweet Six Properties,LLC</v>
          </cell>
          <cell r="B1043">
            <v>2681</v>
          </cell>
        </row>
        <row r="1044">
          <cell r="A1044" t="str">
            <v>Contour Bar LLC</v>
          </cell>
          <cell r="B1044">
            <v>2680</v>
          </cell>
        </row>
        <row r="1045">
          <cell r="A1045" t="str">
            <v>Jonesboro Hodge Hotels LLC</v>
          </cell>
          <cell r="B1045">
            <v>2679</v>
          </cell>
        </row>
        <row r="1046">
          <cell r="A1046" t="str">
            <v>La Quinta Orlando</v>
          </cell>
          <cell r="B1046">
            <v>2678</v>
          </cell>
        </row>
        <row r="1047">
          <cell r="A1047" t="str">
            <v>HOME 2 SUITES - Lake Jackson, TX</v>
          </cell>
          <cell r="B1047">
            <v>2677</v>
          </cell>
        </row>
        <row r="1048">
          <cell r="A1048" t="str">
            <v>Ascent Hospitality- Autograph Montogmery</v>
          </cell>
          <cell r="B1048">
            <v>2676</v>
          </cell>
        </row>
        <row r="1049">
          <cell r="A1049" t="str">
            <v>LA QUINTA ORLANDO</v>
          </cell>
          <cell r="B1049">
            <v>2675</v>
          </cell>
        </row>
        <row r="1050">
          <cell r="A1050" t="str">
            <v>Remodeler's Dream</v>
          </cell>
          <cell r="B1050">
            <v>2674</v>
          </cell>
        </row>
        <row r="1051">
          <cell r="A1051" t="str">
            <v>Faulkner Design Group</v>
          </cell>
          <cell r="B1051">
            <v>2673</v>
          </cell>
        </row>
        <row r="1052">
          <cell r="A1052" t="str">
            <v>LQ Columbia Fort Jackson SC</v>
          </cell>
          <cell r="B1052">
            <v>2672</v>
          </cell>
        </row>
        <row r="1053">
          <cell r="A1053" t="str">
            <v>Aimbridge Hospitality</v>
          </cell>
          <cell r="B1053">
            <v>2671</v>
          </cell>
        </row>
        <row r="1054">
          <cell r="A1054" t="str">
            <v>Ascent Hospitality Courtyard - Meridian, MS</v>
          </cell>
          <cell r="B1054">
            <v>2670</v>
          </cell>
        </row>
        <row r="1055">
          <cell r="A1055" t="str">
            <v>Ascent hospitality AC Element Birmingham AL</v>
          </cell>
          <cell r="B1055">
            <v>2666</v>
          </cell>
        </row>
        <row r="1056">
          <cell r="A1056" t="str">
            <v>Supreme Bright LAX, LLC</v>
          </cell>
          <cell r="B1056">
            <v>2665</v>
          </cell>
        </row>
        <row r="1057">
          <cell r="A1057" t="str">
            <v>Nature of Marble</v>
          </cell>
          <cell r="B1057">
            <v>2664</v>
          </cell>
        </row>
        <row r="1058">
          <cell r="A1058" t="str">
            <v>West Katy Builders, LLC</v>
          </cell>
          <cell r="B1058">
            <v>2663</v>
          </cell>
        </row>
        <row r="1059">
          <cell r="A1059" t="str">
            <v>Comfort Inn Suites</v>
          </cell>
          <cell r="B1059">
            <v>2655</v>
          </cell>
        </row>
        <row r="1060">
          <cell r="A1060" t="str">
            <v>Highland Stores LLC-CIC</v>
          </cell>
          <cell r="B1060">
            <v>2654</v>
          </cell>
        </row>
        <row r="1061">
          <cell r="A1061" t="str">
            <v>Tayler Insignia LLC</v>
          </cell>
          <cell r="B1061">
            <v>2653</v>
          </cell>
        </row>
        <row r="1062">
          <cell r="A1062" t="str">
            <v>Coury Hospitality (Tribute Sehaus)</v>
          </cell>
          <cell r="B1062">
            <v>2651</v>
          </cell>
        </row>
        <row r="1063">
          <cell r="A1063" t="str">
            <v>Ganesha Northlake Enterprises LLC</v>
          </cell>
          <cell r="B1063">
            <v>2647</v>
          </cell>
        </row>
        <row r="1064">
          <cell r="A1064" t="str">
            <v>La Quinta- Santa Rosa, CA</v>
          </cell>
          <cell r="B1064">
            <v>2645</v>
          </cell>
        </row>
        <row r="1065">
          <cell r="A1065" t="str">
            <v>Comfort Suites NC330</v>
          </cell>
          <cell r="B1065">
            <v>2640</v>
          </cell>
        </row>
        <row r="1066">
          <cell r="A1066" t="str">
            <v>Quality Service Floor Covering</v>
          </cell>
          <cell r="B1066">
            <v>2639</v>
          </cell>
        </row>
        <row r="1067">
          <cell r="A1067" t="str">
            <v>La Quinta Inn Pharr TX</v>
          </cell>
          <cell r="B1067">
            <v>2638</v>
          </cell>
        </row>
        <row r="1068">
          <cell r="A1068" t="str">
            <v>Holiday Inn Las Cruces</v>
          </cell>
          <cell r="B1068">
            <v>2637</v>
          </cell>
        </row>
        <row r="1069">
          <cell r="A1069" t="str">
            <v>Hampton Inn &amp; Suites Kodak</v>
          </cell>
          <cell r="B1069">
            <v>2636</v>
          </cell>
        </row>
        <row r="1070">
          <cell r="A1070" t="str">
            <v>Hampton Inn Sevierville</v>
          </cell>
          <cell r="B1070">
            <v>2635</v>
          </cell>
        </row>
        <row r="1071">
          <cell r="A1071" t="str">
            <v>Baymont Inn &amp; suites by Wyndham</v>
          </cell>
          <cell r="B1071">
            <v>2634</v>
          </cell>
        </row>
        <row r="1072">
          <cell r="A1072" t="str">
            <v>Alvarado Hotels LLC/Cambria Albuquerque</v>
          </cell>
          <cell r="B1072">
            <v>2633</v>
          </cell>
        </row>
        <row r="1073">
          <cell r="A1073" t="str">
            <v>Wyndham Garden Ann Arbor</v>
          </cell>
          <cell r="B1073">
            <v>2632</v>
          </cell>
        </row>
        <row r="1074">
          <cell r="A1074" t="str">
            <v>Super 8 motel - TN</v>
          </cell>
          <cell r="B1074">
            <v>2631</v>
          </cell>
        </row>
        <row r="1075">
          <cell r="A1075" t="str">
            <v>Ascent Hospitality Home 2 Suites Fairburn GA</v>
          </cell>
          <cell r="B1075">
            <v>2630</v>
          </cell>
        </row>
        <row r="1076">
          <cell r="A1076" t="str">
            <v>Sea Glass Beach Place LLC</v>
          </cell>
          <cell r="B1076">
            <v>2629</v>
          </cell>
        </row>
        <row r="1077">
          <cell r="A1077" t="str">
            <v>Ascent Hospitality Tribute Carmel Indiana</v>
          </cell>
          <cell r="B1077">
            <v>2628</v>
          </cell>
        </row>
        <row r="1078">
          <cell r="A1078" t="str">
            <v>Spectra Contract Flooring - Houston</v>
          </cell>
          <cell r="B1078">
            <v>2627</v>
          </cell>
        </row>
        <row r="1079">
          <cell r="A1079" t="str">
            <v>Quality Inn Del Valle</v>
          </cell>
          <cell r="B1079">
            <v>2626</v>
          </cell>
        </row>
        <row r="1080">
          <cell r="A1080" t="str">
            <v>Chillis</v>
          </cell>
          <cell r="B1080">
            <v>2625</v>
          </cell>
        </row>
        <row r="1081">
          <cell r="A1081" t="str">
            <v>Crestview Homes LLC</v>
          </cell>
          <cell r="B1081">
            <v>2624</v>
          </cell>
        </row>
        <row r="1082">
          <cell r="A1082" t="str">
            <v>HFD Hawthorn/LA Quinta, Mebane, NC</v>
          </cell>
          <cell r="B1082">
            <v>2623</v>
          </cell>
        </row>
        <row r="1083">
          <cell r="A1083" t="str">
            <v>Ascent Hospitality - Autograph Huntsville</v>
          </cell>
          <cell r="B1083">
            <v>2622</v>
          </cell>
        </row>
        <row r="1084">
          <cell r="A1084" t="str">
            <v>Ascent Hospitality/ Marriott Mobile AL</v>
          </cell>
          <cell r="B1084">
            <v>2621</v>
          </cell>
        </row>
        <row r="1085">
          <cell r="A1085" t="str">
            <v>La Quinta Rockwall, TX</v>
          </cell>
          <cell r="B1085">
            <v>2620</v>
          </cell>
        </row>
        <row r="1086">
          <cell r="A1086" t="str">
            <v>LaQuinta Yakima WA</v>
          </cell>
          <cell r="B1086">
            <v>2619</v>
          </cell>
        </row>
        <row r="1087">
          <cell r="A1087" t="str">
            <v>La Quinta San Antonio 1</v>
          </cell>
          <cell r="B1087">
            <v>2618</v>
          </cell>
        </row>
        <row r="1088">
          <cell r="A1088" t="str">
            <v>RJ Capital Holdings</v>
          </cell>
          <cell r="B1088">
            <v>2617</v>
          </cell>
        </row>
        <row r="1089">
          <cell r="A1089" t="str">
            <v>JDL Flooring Solutions Inc</v>
          </cell>
          <cell r="B1089">
            <v>2616</v>
          </cell>
        </row>
        <row r="1090">
          <cell r="A1090" t="str">
            <v>Wyndham Garden Romulus Detroit Metro Airport</v>
          </cell>
          <cell r="B1090">
            <v>2615</v>
          </cell>
        </row>
        <row r="1091">
          <cell r="A1091" t="str">
            <v>LA Quinta Trinidad Co</v>
          </cell>
          <cell r="B1091">
            <v>2614</v>
          </cell>
        </row>
        <row r="1092">
          <cell r="A1092" t="str">
            <v>SHELCO LLC</v>
          </cell>
          <cell r="B1092">
            <v>2613</v>
          </cell>
        </row>
        <row r="1093">
          <cell r="A1093" t="str">
            <v>Home 2 Shenandoah, TX</v>
          </cell>
          <cell r="B1093">
            <v>2612</v>
          </cell>
        </row>
        <row r="1094">
          <cell r="A1094" t="str">
            <v>Icon Design LLC</v>
          </cell>
          <cell r="B1094">
            <v>2611</v>
          </cell>
        </row>
        <row r="1095">
          <cell r="A1095" t="str">
            <v>Residence Inn Indianapolis, IN</v>
          </cell>
          <cell r="B1095">
            <v>2609</v>
          </cell>
        </row>
        <row r="1096">
          <cell r="A1096" t="str">
            <v>Folkinn Ontario Airport</v>
          </cell>
          <cell r="B1096">
            <v>2608</v>
          </cell>
        </row>
        <row r="1097">
          <cell r="A1097" t="str">
            <v>La Quinta Inn - Sarasota FL - Raj Mukkirla</v>
          </cell>
          <cell r="B1097">
            <v>2607</v>
          </cell>
        </row>
        <row r="1098">
          <cell r="A1098" t="str">
            <v>Staybridge Suites c/o Ravi Designs</v>
          </cell>
          <cell r="B1098">
            <v>2606</v>
          </cell>
        </row>
        <row r="1099">
          <cell r="A1099" t="str">
            <v>Summit Construction Company</v>
          </cell>
          <cell r="B1099">
            <v>2604</v>
          </cell>
        </row>
        <row r="1100">
          <cell r="A1100" t="str">
            <v>Moody Gardens Galveston Island</v>
          </cell>
          <cell r="B1100">
            <v>2603</v>
          </cell>
        </row>
        <row r="1101">
          <cell r="A1101" t="str">
            <v>Floorco</v>
          </cell>
          <cell r="B1101">
            <v>2602</v>
          </cell>
        </row>
        <row r="1102">
          <cell r="A1102" t="str">
            <v>AFP 108 Corp.</v>
          </cell>
          <cell r="B1102">
            <v>2601</v>
          </cell>
        </row>
        <row r="1103">
          <cell r="A1103" t="str">
            <v>Jerome Cordova</v>
          </cell>
          <cell r="B1103">
            <v>2600</v>
          </cell>
        </row>
        <row r="1104">
          <cell r="A1104" t="str">
            <v>Schoenfelder Renovations</v>
          </cell>
          <cell r="B1104">
            <v>2599</v>
          </cell>
        </row>
        <row r="1105">
          <cell r="A1105" t="str">
            <v>Andrea Wexler</v>
          </cell>
          <cell r="B1105">
            <v>2598</v>
          </cell>
        </row>
        <row r="1106">
          <cell r="A1106" t="str">
            <v>SKIMS Retail</v>
          </cell>
          <cell r="B1106">
            <v>2597</v>
          </cell>
        </row>
        <row r="1107">
          <cell r="A1107" t="str">
            <v>GFCS COMMERCIAL FLOORS</v>
          </cell>
          <cell r="B1107">
            <v>2595</v>
          </cell>
        </row>
        <row r="1108">
          <cell r="A1108" t="str">
            <v>Stone Solutions, Inc / Austin</v>
          </cell>
          <cell r="B1108">
            <v>2594</v>
          </cell>
        </row>
        <row r="1109">
          <cell r="A1109" t="str">
            <v>HB Ca</v>
          </cell>
          <cell r="B1109">
            <v>2593</v>
          </cell>
        </row>
        <row r="1110">
          <cell r="A1110" t="str">
            <v>The Habitus Collection</v>
          </cell>
          <cell r="B1110">
            <v>2592</v>
          </cell>
        </row>
        <row r="1111">
          <cell r="A1111" t="str">
            <v>David and Lindsey Drost</v>
          </cell>
          <cell r="B1111">
            <v>2591</v>
          </cell>
        </row>
        <row r="1112">
          <cell r="A1112" t="str">
            <v>Marvin Guevara</v>
          </cell>
          <cell r="B1112">
            <v>2590</v>
          </cell>
        </row>
        <row r="1113">
          <cell r="A1113" t="str">
            <v>Megha Raja</v>
          </cell>
          <cell r="B1113">
            <v>2589</v>
          </cell>
        </row>
        <row r="1114">
          <cell r="A1114" t="str">
            <v>Hidden Cove Outdoors</v>
          </cell>
          <cell r="B1114">
            <v>2588</v>
          </cell>
        </row>
        <row r="1115">
          <cell r="A1115" t="str">
            <v>Innovation Hospitality Purveyors</v>
          </cell>
          <cell r="B1115">
            <v>2587</v>
          </cell>
        </row>
        <row r="1116">
          <cell r="A1116" t="str">
            <v>Saudi Marketing Company</v>
          </cell>
          <cell r="B1116">
            <v>2585</v>
          </cell>
        </row>
        <row r="1117">
          <cell r="A1117" t="str">
            <v>Anish Hotels</v>
          </cell>
          <cell r="B1117">
            <v>2583</v>
          </cell>
        </row>
        <row r="1118">
          <cell r="A1118" t="str">
            <v>Super 8</v>
          </cell>
          <cell r="B1118">
            <v>2578</v>
          </cell>
        </row>
        <row r="1119">
          <cell r="A1119" t="str">
            <v>Auburn Lodging LLC</v>
          </cell>
          <cell r="B1119">
            <v>2577</v>
          </cell>
        </row>
        <row r="1120">
          <cell r="A1120" t="str">
            <v>Bridgerland Group</v>
          </cell>
          <cell r="B1120">
            <v>2574</v>
          </cell>
        </row>
        <row r="1121">
          <cell r="A1121" t="str">
            <v>Ascent Home2 Montgomery</v>
          </cell>
          <cell r="B1121">
            <v>2571</v>
          </cell>
        </row>
        <row r="1122">
          <cell r="A1122" t="str">
            <v>Windson Property Holdings LLC</v>
          </cell>
          <cell r="B1122">
            <v>2567</v>
          </cell>
        </row>
        <row r="1123">
          <cell r="A1123" t="str">
            <v>Airsan Investments, LLC</v>
          </cell>
          <cell r="B1123">
            <v>2566</v>
          </cell>
        </row>
        <row r="1124">
          <cell r="A1124" t="str">
            <v>Turkey Creek Hospitality</v>
          </cell>
          <cell r="B1124">
            <v>2565</v>
          </cell>
        </row>
        <row r="1125">
          <cell r="A1125" t="str">
            <v>LMG Construction Services</v>
          </cell>
          <cell r="B1125">
            <v>2564</v>
          </cell>
        </row>
        <row r="1126">
          <cell r="A1126" t="str">
            <v>Nathan  Kanengiser</v>
          </cell>
          <cell r="B1126">
            <v>2559</v>
          </cell>
        </row>
        <row r="1127">
          <cell r="A1127" t="str">
            <v>Almanzar Marte Ingenieros &amp; Arquitectos SRL</v>
          </cell>
          <cell r="B1127">
            <v>2555</v>
          </cell>
        </row>
        <row r="1128">
          <cell r="A1128" t="str">
            <v>Shri Omkara LLC</v>
          </cell>
          <cell r="B1128">
            <v>2554</v>
          </cell>
        </row>
        <row r="1129">
          <cell r="A1129" t="str">
            <v>White River Flooring, Inc.</v>
          </cell>
          <cell r="B1129">
            <v>2553</v>
          </cell>
        </row>
        <row r="1130">
          <cell r="A1130" t="str">
            <v>AB hotels</v>
          </cell>
          <cell r="B1130">
            <v>2549</v>
          </cell>
        </row>
        <row r="1131">
          <cell r="A1131" t="str">
            <v>Hampton Inn - Nashville</v>
          </cell>
          <cell r="B1131">
            <v>2548</v>
          </cell>
        </row>
        <row r="1132">
          <cell r="A1132" t="str">
            <v>Hampton Inn - Rosenberg TX</v>
          </cell>
          <cell r="B1132">
            <v>2547</v>
          </cell>
        </row>
        <row r="1133">
          <cell r="A1133" t="str">
            <v>La Quinta Hawthorn - Miamisburg OH</v>
          </cell>
          <cell r="B1133">
            <v>2546</v>
          </cell>
        </row>
        <row r="1134">
          <cell r="A1134" t="str">
            <v>Kroozin Lawndale LLC</v>
          </cell>
          <cell r="B1134">
            <v>2545</v>
          </cell>
        </row>
        <row r="1135">
          <cell r="A1135" t="str">
            <v>Wingate by Wyndham - Farmington NM</v>
          </cell>
          <cell r="B1135">
            <v>2544</v>
          </cell>
        </row>
        <row r="1136">
          <cell r="A1136" t="str">
            <v>Texas Floor Covering INC.</v>
          </cell>
          <cell r="B1136">
            <v>2541</v>
          </cell>
        </row>
        <row r="1137">
          <cell r="A1137" t="str">
            <v>MBJM CORPORATION</v>
          </cell>
          <cell r="B1137">
            <v>2539</v>
          </cell>
        </row>
        <row r="1138">
          <cell r="A1138" t="str">
            <v>Supreme Bright Albuquerque I, LLC</v>
          </cell>
          <cell r="B1138">
            <v>2537</v>
          </cell>
        </row>
        <row r="1139">
          <cell r="A1139" t="str">
            <v>Five Star Imperial Group Hospitality LLC</v>
          </cell>
          <cell r="B1139">
            <v>2534</v>
          </cell>
        </row>
        <row r="1140">
          <cell r="A1140" t="str">
            <v>John Lee</v>
          </cell>
          <cell r="B1140">
            <v>2533</v>
          </cell>
        </row>
        <row r="1141">
          <cell r="A1141" t="str">
            <v>Steve Hari Residence</v>
          </cell>
          <cell r="B1141">
            <v>2532</v>
          </cell>
        </row>
        <row r="1142">
          <cell r="A1142" t="str">
            <v>Om Sairam Hospitality Inc.</v>
          </cell>
          <cell r="B1142">
            <v>2529</v>
          </cell>
        </row>
        <row r="1143">
          <cell r="A1143" t="str">
            <v>Om Sairam Hospitality Inc.</v>
          </cell>
          <cell r="B1143">
            <v>2528</v>
          </cell>
        </row>
        <row r="1144">
          <cell r="A1144" t="str">
            <v>L Peters Construction, Inc.</v>
          </cell>
          <cell r="B1144">
            <v>2524</v>
          </cell>
        </row>
        <row r="1145">
          <cell r="A1145" t="str">
            <v>Specialty Tile Products</v>
          </cell>
          <cell r="B1145">
            <v>2523</v>
          </cell>
        </row>
        <row r="1146">
          <cell r="A1146" t="str">
            <v>MS  MARLA</v>
          </cell>
          <cell r="B1146">
            <v>2522</v>
          </cell>
        </row>
        <row r="1147">
          <cell r="A1147" t="str">
            <v>Hampton Inn Rosenberg</v>
          </cell>
          <cell r="B1147">
            <v>2520</v>
          </cell>
        </row>
        <row r="1148">
          <cell r="A1148" t="str">
            <v>Hestan Winery</v>
          </cell>
          <cell r="B1148">
            <v>2519</v>
          </cell>
        </row>
        <row r="1149">
          <cell r="A1149" t="str">
            <v>Comfort Inn &amp; Suites - Claremore</v>
          </cell>
          <cell r="B1149">
            <v>2518</v>
          </cell>
        </row>
        <row r="1150">
          <cell r="A1150" t="str">
            <v>Supreme Bright LAX I, LLC</v>
          </cell>
          <cell r="B1150">
            <v>2516</v>
          </cell>
        </row>
        <row r="1151">
          <cell r="A1151" t="str">
            <v>TCC Multi-Family Interiors</v>
          </cell>
          <cell r="B1151">
            <v>2510</v>
          </cell>
        </row>
        <row r="1152">
          <cell r="A1152" t="str">
            <v>LIVING STONE SUFRACE &amp; CABNIETS</v>
          </cell>
          <cell r="B1152">
            <v>2507</v>
          </cell>
        </row>
        <row r="1153">
          <cell r="A1153" t="str">
            <v>Platinum Hospitality</v>
          </cell>
          <cell r="B1153">
            <v>2504</v>
          </cell>
        </row>
        <row r="1154">
          <cell r="A1154" t="str">
            <v>Sahara Las Vegas</v>
          </cell>
          <cell r="B1154">
            <v>2501</v>
          </cell>
        </row>
        <row r="1155">
          <cell r="A1155" t="str">
            <v>Landrys</v>
          </cell>
          <cell r="B1155">
            <v>2499</v>
          </cell>
        </row>
        <row r="1156">
          <cell r="A1156" t="str">
            <v>Towneplace Suites Temple, TX</v>
          </cell>
          <cell r="B1156">
            <v>2498</v>
          </cell>
        </row>
        <row r="1157">
          <cell r="A1157" t="str">
            <v>Wingate by Wyndham Pueblo CO</v>
          </cell>
          <cell r="B1157">
            <v>2491</v>
          </cell>
        </row>
        <row r="1158">
          <cell r="A1158" t="str">
            <v>Monarch HGI Conversion / Hilton Garden Inn</v>
          </cell>
          <cell r="B1158">
            <v>2486</v>
          </cell>
        </row>
        <row r="1159">
          <cell r="A1159" t="str">
            <v>First Capital Advisors</v>
          </cell>
          <cell r="B1159">
            <v>2485</v>
          </cell>
        </row>
        <row r="1160">
          <cell r="A1160" t="str">
            <v>Element Opelika</v>
          </cell>
          <cell r="B1160">
            <v>2484</v>
          </cell>
        </row>
        <row r="1161">
          <cell r="A1161" t="str">
            <v>North Texas HOCO, LLC</v>
          </cell>
          <cell r="B1161">
            <v>2481</v>
          </cell>
        </row>
        <row r="1162">
          <cell r="A1162" t="str">
            <v>Comfort inn Princeton</v>
          </cell>
          <cell r="B1162">
            <v>2480</v>
          </cell>
        </row>
        <row r="1163">
          <cell r="A1163" t="str">
            <v>Jose Santos</v>
          </cell>
          <cell r="B1163">
            <v>2476</v>
          </cell>
        </row>
        <row r="1164">
          <cell r="A1164" t="str">
            <v>Kenner Hospitality LLC</v>
          </cell>
          <cell r="B1164">
            <v>2473</v>
          </cell>
        </row>
        <row r="1165">
          <cell r="A1165" t="str">
            <v>KSS Corporation</v>
          </cell>
          <cell r="B1165">
            <v>2472</v>
          </cell>
        </row>
        <row r="1166">
          <cell r="A1166" t="str">
            <v>Holiday Inn Express</v>
          </cell>
          <cell r="B1166">
            <v>2471</v>
          </cell>
        </row>
        <row r="1167">
          <cell r="A1167" t="str">
            <v>Residence Inn Pearland, TX</v>
          </cell>
          <cell r="B1167">
            <v>2466</v>
          </cell>
        </row>
        <row r="1168">
          <cell r="A1168" t="str">
            <v>Ann Arbor Inn &amp; Suites</v>
          </cell>
          <cell r="B1168">
            <v>2463</v>
          </cell>
        </row>
        <row r="1169">
          <cell r="A1169" t="str">
            <v>Thomas Builders Inc.</v>
          </cell>
          <cell r="B1169">
            <v>2459</v>
          </cell>
        </row>
        <row r="1170">
          <cell r="A1170" t="str">
            <v>Floor Inspirations</v>
          </cell>
          <cell r="B1170">
            <v>2458</v>
          </cell>
        </row>
        <row r="1171">
          <cell r="A1171" t="str">
            <v>Nick Platt Construction</v>
          </cell>
          <cell r="B1171">
            <v>2457</v>
          </cell>
        </row>
        <row r="1172">
          <cell r="A1172" t="str">
            <v>CONTEMPO builders</v>
          </cell>
          <cell r="B1172">
            <v>2456</v>
          </cell>
        </row>
        <row r="1173">
          <cell r="A1173" t="str">
            <v>PRIME SAY LLC</v>
          </cell>
          <cell r="B1173">
            <v>2455</v>
          </cell>
        </row>
        <row r="1174">
          <cell r="A1174" t="str">
            <v>KOBY Singletary</v>
          </cell>
          <cell r="B1174">
            <v>2454</v>
          </cell>
        </row>
        <row r="1175">
          <cell r="A1175" t="str">
            <v>Trilogy Autograph Huntsville</v>
          </cell>
          <cell r="B1175">
            <v>2453</v>
          </cell>
        </row>
        <row r="1176">
          <cell r="A1176" t="str">
            <v>LQ Huntsville</v>
          </cell>
          <cell r="B1176">
            <v>2451</v>
          </cell>
        </row>
        <row r="1177">
          <cell r="A1177" t="str">
            <v>Springhill Greensboro NC</v>
          </cell>
          <cell r="B1177">
            <v>2450</v>
          </cell>
        </row>
        <row r="1178">
          <cell r="A1178" t="str">
            <v>Bayou City Renovations</v>
          </cell>
          <cell r="B1178">
            <v>2449</v>
          </cell>
        </row>
        <row r="1179">
          <cell r="A1179" t="str">
            <v>Medallion Hospitality</v>
          </cell>
          <cell r="B1179">
            <v>2445</v>
          </cell>
        </row>
        <row r="1180">
          <cell r="A1180" t="str">
            <v>Townplace Suites Fairburn IN</v>
          </cell>
          <cell r="B1180">
            <v>2444</v>
          </cell>
        </row>
        <row r="1181">
          <cell r="A1181" t="str">
            <v>Mukesh ‘Mike’ Patel</v>
          </cell>
          <cell r="B1181">
            <v>2443</v>
          </cell>
        </row>
        <row r="1182">
          <cell r="A1182" t="str">
            <v>La Quinta Athens Alabama</v>
          </cell>
          <cell r="B1182">
            <v>2442</v>
          </cell>
        </row>
        <row r="1183">
          <cell r="A1183" t="str">
            <v>ASHWIN PATEL</v>
          </cell>
          <cell r="B1183">
            <v>2440</v>
          </cell>
        </row>
        <row r="1184">
          <cell r="A1184" t="str">
            <v>Triton Stone</v>
          </cell>
          <cell r="B1184">
            <v>2437</v>
          </cell>
        </row>
        <row r="1185">
          <cell r="A1185" t="str">
            <v>Townplace San Antonio</v>
          </cell>
          <cell r="B1185">
            <v>2426</v>
          </cell>
        </row>
        <row r="1186">
          <cell r="A1186" t="str">
            <v>Jay Patel</v>
          </cell>
          <cell r="B1186">
            <v>2422</v>
          </cell>
        </row>
        <row r="1187">
          <cell r="A1187" t="str">
            <v>Casablanca Suites</v>
          </cell>
          <cell r="B1187">
            <v>2421</v>
          </cell>
        </row>
        <row r="1188">
          <cell r="A1188" t="str">
            <v>GV Facades</v>
          </cell>
          <cell r="B1188">
            <v>2419</v>
          </cell>
        </row>
        <row r="1189">
          <cell r="A1189" t="str">
            <v>H-M Tile, Marble and Hardwood Floor</v>
          </cell>
          <cell r="B1189">
            <v>2417</v>
          </cell>
        </row>
        <row r="1190">
          <cell r="A1190" t="str">
            <v>SSC Construction</v>
          </cell>
          <cell r="B1190">
            <v>2415</v>
          </cell>
        </row>
        <row r="1191">
          <cell r="A1191" t="str">
            <v>Vedi Hospitality Plano LLC</v>
          </cell>
          <cell r="B1191">
            <v>2414</v>
          </cell>
        </row>
        <row r="1192">
          <cell r="A1192" t="str">
            <v>Anish Patel</v>
          </cell>
          <cell r="B1192">
            <v>2413</v>
          </cell>
        </row>
        <row r="1193">
          <cell r="A1193" t="str">
            <v>Tom Alaimo</v>
          </cell>
          <cell r="B1193">
            <v>2410</v>
          </cell>
        </row>
        <row r="1194">
          <cell r="A1194" t="str">
            <v>GV Facades LLC</v>
          </cell>
          <cell r="B1194">
            <v>2408</v>
          </cell>
        </row>
        <row r="1195">
          <cell r="A1195" t="str">
            <v>Five Rivers Hospitality</v>
          </cell>
          <cell r="B1195">
            <v>2405</v>
          </cell>
        </row>
        <row r="1196">
          <cell r="A1196" t="str">
            <v>AC Denver</v>
          </cell>
          <cell r="B1196">
            <v>2403</v>
          </cell>
        </row>
        <row r="1197">
          <cell r="A1197" t="str">
            <v>Pillar Construction</v>
          </cell>
          <cell r="B1197">
            <v>2401</v>
          </cell>
        </row>
        <row r="1198">
          <cell r="A1198" t="str">
            <v>American Stone Co of Texas LP</v>
          </cell>
          <cell r="B1198">
            <v>2387</v>
          </cell>
        </row>
        <row r="1199">
          <cell r="A1199" t="str">
            <v>Alpha Remodeling</v>
          </cell>
          <cell r="B1199">
            <v>2386</v>
          </cell>
        </row>
        <row r="1200">
          <cell r="A1200" t="str">
            <v>AAA Hotel Management, LLC</v>
          </cell>
          <cell r="B1200">
            <v>2380</v>
          </cell>
        </row>
        <row r="1201">
          <cell r="A1201" t="str">
            <v>Trinity Contract Flooring</v>
          </cell>
          <cell r="B1201">
            <v>2379</v>
          </cell>
        </row>
        <row r="1202">
          <cell r="A1202" t="str">
            <v>My Grout Guyz Inc</v>
          </cell>
          <cell r="B1202">
            <v>2377</v>
          </cell>
        </row>
        <row r="1203">
          <cell r="A1203" t="str">
            <v>Wingate - Owensboro KY</v>
          </cell>
          <cell r="B1203">
            <v>2374</v>
          </cell>
        </row>
        <row r="1204">
          <cell r="A1204" t="str">
            <v>Bauart Construction</v>
          </cell>
          <cell r="B1204">
            <v>2371</v>
          </cell>
        </row>
        <row r="1205">
          <cell r="A1205" t="str">
            <v>Comfort Inn - Lafayette LA</v>
          </cell>
          <cell r="B1205">
            <v>2366</v>
          </cell>
        </row>
        <row r="1206">
          <cell r="A1206" t="str">
            <v>Comfort Inn - Martinsburg WV</v>
          </cell>
          <cell r="B1206">
            <v>2365</v>
          </cell>
        </row>
        <row r="1207">
          <cell r="A1207" t="str">
            <v>Fairfield Inn - Gadsden AL</v>
          </cell>
          <cell r="B1207">
            <v>2364</v>
          </cell>
        </row>
        <row r="1208">
          <cell r="A1208" t="str">
            <v>Fairfield - Denver</v>
          </cell>
          <cell r="B1208">
            <v>2363</v>
          </cell>
        </row>
        <row r="1209">
          <cell r="A1209" t="str">
            <v>LQ Kingston</v>
          </cell>
          <cell r="B1209">
            <v>2358</v>
          </cell>
        </row>
        <row r="1210">
          <cell r="A1210" t="str">
            <v>MTZ Tile Stone LLC</v>
          </cell>
          <cell r="B1210">
            <v>2357</v>
          </cell>
        </row>
        <row r="1211">
          <cell r="A1211" t="str">
            <v>Mital  Patel</v>
          </cell>
          <cell r="B1211">
            <v>2355</v>
          </cell>
        </row>
        <row r="1212">
          <cell r="A1212" t="str">
            <v>Motiv Construction LLC</v>
          </cell>
          <cell r="B1212">
            <v>2353</v>
          </cell>
        </row>
        <row r="1213">
          <cell r="A1213" t="str">
            <v>La Quinta Inn &amp; Suites-Mansfield, OH</v>
          </cell>
          <cell r="B1213">
            <v>2349</v>
          </cell>
        </row>
        <row r="1214">
          <cell r="A1214" t="str">
            <v>Homewood Suites Beaumont</v>
          </cell>
          <cell r="B1214">
            <v>2348</v>
          </cell>
        </row>
        <row r="1215">
          <cell r="A1215" t="str">
            <v>Iannacone Residence</v>
          </cell>
          <cell r="B1215">
            <v>2347</v>
          </cell>
        </row>
        <row r="1216">
          <cell r="A1216" t="str">
            <v>The DOI Residence/ DEAZLY INC.</v>
          </cell>
          <cell r="B1216">
            <v>2346</v>
          </cell>
        </row>
        <row r="1217">
          <cell r="A1217" t="str">
            <v>Residence Inn - San Marcos TX</v>
          </cell>
          <cell r="B1217">
            <v>2338</v>
          </cell>
        </row>
        <row r="1218">
          <cell r="A1218" t="str">
            <v>LQ Laredo</v>
          </cell>
          <cell r="B1218">
            <v>2337</v>
          </cell>
        </row>
        <row r="1219">
          <cell r="A1219" t="str">
            <v>Queen City Winnelson</v>
          </cell>
          <cell r="B1219">
            <v>2336</v>
          </cell>
        </row>
        <row r="1220">
          <cell r="A1220" t="str">
            <v>Marino Construction</v>
          </cell>
          <cell r="B1220">
            <v>2335</v>
          </cell>
        </row>
        <row r="1221">
          <cell r="A1221" t="str">
            <v>Southwest Contracting LP</v>
          </cell>
          <cell r="B1221">
            <v>2334</v>
          </cell>
        </row>
        <row r="1222">
          <cell r="A1222" t="str">
            <v>Sam  Shah</v>
          </cell>
          <cell r="B1222">
            <v>2332</v>
          </cell>
        </row>
        <row r="1223">
          <cell r="A1223" t="str">
            <v>Homewood Suites Fayetteville</v>
          </cell>
          <cell r="B1223">
            <v>2330</v>
          </cell>
        </row>
        <row r="1224">
          <cell r="A1224" t="str">
            <v>Double tree</v>
          </cell>
          <cell r="B1224">
            <v>2329</v>
          </cell>
        </row>
        <row r="1225">
          <cell r="A1225" t="str">
            <v>La Quinta Inn &amp; Suites - Seatac Airport - Seattle WA</v>
          </cell>
          <cell r="B1225">
            <v>2328</v>
          </cell>
        </row>
        <row r="1226">
          <cell r="A1226" t="str">
            <v>Internal GV</v>
          </cell>
          <cell r="B1226">
            <v>2322</v>
          </cell>
        </row>
        <row r="1227">
          <cell r="A1227" t="str">
            <v>Destiny Porter</v>
          </cell>
          <cell r="B1227">
            <v>2318</v>
          </cell>
        </row>
        <row r="1228">
          <cell r="A1228" t="str">
            <v>Vedi Hospitality LLC</v>
          </cell>
          <cell r="B1228">
            <v>2316</v>
          </cell>
        </row>
        <row r="1229">
          <cell r="A1229" t="str">
            <v>SUPREME BRIGHT ATLANTIC CITY LLC</v>
          </cell>
          <cell r="B1229">
            <v>2314</v>
          </cell>
        </row>
        <row r="1230">
          <cell r="A1230" t="str">
            <v>Cantilever INC</v>
          </cell>
          <cell r="B1230">
            <v>2309</v>
          </cell>
        </row>
        <row r="1231">
          <cell r="A1231" t="str">
            <v>Floor Source</v>
          </cell>
          <cell r="B1231">
            <v>2307</v>
          </cell>
        </row>
        <row r="1232">
          <cell r="A1232" t="str">
            <v>Soma construction</v>
          </cell>
          <cell r="B1232">
            <v>2306</v>
          </cell>
        </row>
        <row r="1233">
          <cell r="A1233" t="str">
            <v>Homewood Suites Corpus Christi</v>
          </cell>
          <cell r="B1233">
            <v>2302</v>
          </cell>
        </row>
        <row r="1234">
          <cell r="A1234" t="str">
            <v>Jenkins Contract Flooring, LLC</v>
          </cell>
          <cell r="B1234">
            <v>2300</v>
          </cell>
        </row>
        <row r="1235">
          <cell r="A1235" t="str">
            <v>Pentex Builders</v>
          </cell>
          <cell r="B1235">
            <v>2299</v>
          </cell>
        </row>
        <row r="1236">
          <cell r="A1236" t="str">
            <v>BW Plus</v>
          </cell>
          <cell r="B1236">
            <v>2298</v>
          </cell>
        </row>
        <row r="1237">
          <cell r="A1237" t="str">
            <v>SSG Hotels LLC</v>
          </cell>
          <cell r="B1237">
            <v>2297</v>
          </cell>
        </row>
        <row r="1238">
          <cell r="A1238" t="str">
            <v>Hampton Inn - Katy, TX</v>
          </cell>
          <cell r="B1238">
            <v>2292</v>
          </cell>
        </row>
        <row r="1239">
          <cell r="A1239" t="str">
            <v>Landry's</v>
          </cell>
          <cell r="B1239">
            <v>2290</v>
          </cell>
        </row>
        <row r="1240">
          <cell r="A1240" t="str">
            <v>Rock River Valley Flooring Inc</v>
          </cell>
          <cell r="B1240">
            <v>2288</v>
          </cell>
        </row>
        <row r="1241">
          <cell r="A1241" t="str">
            <v>Veranda Homes</v>
          </cell>
          <cell r="B1241">
            <v>2275</v>
          </cell>
        </row>
        <row r="1242">
          <cell r="A1242" t="str">
            <v>Pinnacle Marble &amp; Granite, Inc.</v>
          </cell>
          <cell r="B1242">
            <v>2273</v>
          </cell>
        </row>
        <row r="1243">
          <cell r="A1243" t="str">
            <v>TGC Group LLC</v>
          </cell>
          <cell r="B1243">
            <v>2271</v>
          </cell>
        </row>
        <row r="1244">
          <cell r="A1244" t="str">
            <v>LQ Nashville TN</v>
          </cell>
          <cell r="B1244">
            <v>2216</v>
          </cell>
        </row>
        <row r="1245">
          <cell r="A1245" t="str">
            <v>Total Floors</v>
          </cell>
          <cell r="B1245">
            <v>2212</v>
          </cell>
        </row>
        <row r="1246">
          <cell r="A1246" t="str">
            <v>Total Floors</v>
          </cell>
          <cell r="B1246">
            <v>2210</v>
          </cell>
        </row>
        <row r="1247">
          <cell r="A1247" t="str">
            <v>Lucky Construction, Inc.</v>
          </cell>
          <cell r="B1247">
            <v>2207</v>
          </cell>
        </row>
        <row r="1248">
          <cell r="A1248" t="str">
            <v>Keystone Developers and Property Management</v>
          </cell>
          <cell r="B1248">
            <v>2201</v>
          </cell>
        </row>
        <row r="1249">
          <cell r="A1249" t="str">
            <v>Apex Imaging Services</v>
          </cell>
          <cell r="B1249">
            <v>2194</v>
          </cell>
        </row>
        <row r="1250">
          <cell r="A1250" t="str">
            <v>Gulf Coast Hotel Group,LLC DBA Doubletree by Hilton</v>
          </cell>
          <cell r="B1250">
            <v>2193</v>
          </cell>
        </row>
        <row r="1251">
          <cell r="A1251" t="str">
            <v>INTERTECH FLOORING</v>
          </cell>
          <cell r="B1251">
            <v>2191</v>
          </cell>
        </row>
        <row r="1252">
          <cell r="A1252" t="str">
            <v>La Quinta Albq West</v>
          </cell>
          <cell r="B1252">
            <v>2188</v>
          </cell>
        </row>
        <row r="1253">
          <cell r="A1253" t="str">
            <v>Preeminent Construction</v>
          </cell>
          <cell r="B1253">
            <v>2187</v>
          </cell>
        </row>
        <row r="1254">
          <cell r="A1254" t="str">
            <v>Home 2 Suite by Hilton</v>
          </cell>
          <cell r="B1254">
            <v>2186</v>
          </cell>
        </row>
        <row r="1255">
          <cell r="A1255" t="str">
            <v>Treco Enterprises Inc.</v>
          </cell>
          <cell r="B1255">
            <v>2185</v>
          </cell>
        </row>
        <row r="1256">
          <cell r="A1256" t="str">
            <v>LQ Brownsville</v>
          </cell>
          <cell r="B1256">
            <v>2178</v>
          </cell>
        </row>
        <row r="1257">
          <cell r="A1257" t="str">
            <v>FLOORSCAPES</v>
          </cell>
          <cell r="B1257">
            <v>2172</v>
          </cell>
        </row>
        <row r="1258">
          <cell r="A1258" t="str">
            <v>La Quinta Auburn AL</v>
          </cell>
          <cell r="B1258">
            <v>2171</v>
          </cell>
        </row>
        <row r="1259">
          <cell r="A1259" t="str">
            <v>Shiva Hotels Inc.</v>
          </cell>
          <cell r="B1259">
            <v>2169</v>
          </cell>
        </row>
        <row r="1260">
          <cell r="A1260" t="str">
            <v>Wheel Fish Group</v>
          </cell>
          <cell r="B1260">
            <v>2166</v>
          </cell>
        </row>
        <row r="1261">
          <cell r="A1261" t="str">
            <v>LQ Indianapolis</v>
          </cell>
          <cell r="B1261">
            <v>2165</v>
          </cell>
        </row>
        <row r="1262">
          <cell r="A1262" t="str">
            <v>AAA Hotel Company/ Home2Suties Springdale OH</v>
          </cell>
          <cell r="B1262">
            <v>2164</v>
          </cell>
        </row>
        <row r="1263">
          <cell r="A1263" t="str">
            <v>PREDOCK</v>
          </cell>
          <cell r="B1263">
            <v>2162</v>
          </cell>
        </row>
        <row r="1264">
          <cell r="A1264" t="str">
            <v>Architectural Surfaces Inc.</v>
          </cell>
          <cell r="B1264">
            <v>2161</v>
          </cell>
        </row>
        <row r="1265">
          <cell r="A1265" t="str">
            <v>Holiday Inn Express and Suites</v>
          </cell>
          <cell r="B1265">
            <v>2159</v>
          </cell>
        </row>
        <row r="1266">
          <cell r="A1266" t="str">
            <v>IC-GV Arabia LTD</v>
          </cell>
          <cell r="B1266">
            <v>2057</v>
          </cell>
        </row>
        <row r="1267">
          <cell r="A1267" t="str">
            <v>Hampton Inn &amp; Suite - NM</v>
          </cell>
          <cell r="B1267">
            <v>2048</v>
          </cell>
        </row>
        <row r="1268">
          <cell r="A1268" t="str">
            <v>Davaco - Chili's</v>
          </cell>
          <cell r="B1268">
            <v>2047</v>
          </cell>
        </row>
        <row r="1269">
          <cell r="A1269" t="str">
            <v>La Quinta - Galt CA</v>
          </cell>
          <cell r="B1269">
            <v>2046</v>
          </cell>
        </row>
        <row r="1270">
          <cell r="A1270" t="str">
            <v>La Quinta - Terrell TX</v>
          </cell>
          <cell r="B1270">
            <v>2045</v>
          </cell>
        </row>
        <row r="1271">
          <cell r="A1271" t="str">
            <v>Graniti Vicentia</v>
          </cell>
          <cell r="B1271">
            <v>1938</v>
          </cell>
        </row>
        <row r="1272">
          <cell r="A1272" t="str">
            <v>Courtyard Denver Stadium</v>
          </cell>
          <cell r="B1272">
            <v>1937</v>
          </cell>
        </row>
        <row r="1273">
          <cell r="A1273" t="str">
            <v>INNOVAT</v>
          </cell>
          <cell r="B1273">
            <v>1936</v>
          </cell>
        </row>
        <row r="1274">
          <cell r="A1274" t="str">
            <v>Mehr Consultancy</v>
          </cell>
          <cell r="B1274">
            <v>1934</v>
          </cell>
        </row>
        <row r="1275">
          <cell r="A1275" t="str">
            <v>Hampton Inn Corpus Christi</v>
          </cell>
          <cell r="B1275">
            <v>1933</v>
          </cell>
        </row>
        <row r="1276">
          <cell r="A1276" t="str">
            <v>A-1 Clackamas LLC</v>
          </cell>
          <cell r="B1276">
            <v>1721</v>
          </cell>
        </row>
        <row r="1277">
          <cell r="A1277" t="str">
            <v>Monsoon Flower LLC</v>
          </cell>
          <cell r="B1277">
            <v>1720</v>
          </cell>
        </row>
        <row r="1278">
          <cell r="A1278" t="str">
            <v>Hotel Beacon</v>
          </cell>
          <cell r="B1278">
            <v>1719</v>
          </cell>
        </row>
        <row r="1279">
          <cell r="A1279" t="str">
            <v>Shree Om 3530 LLC</v>
          </cell>
          <cell r="B1279">
            <v>1718</v>
          </cell>
        </row>
        <row r="1280">
          <cell r="A1280" t="str">
            <v>Kautilya Group</v>
          </cell>
          <cell r="B1280">
            <v>1717</v>
          </cell>
        </row>
        <row r="1281">
          <cell r="A1281" t="str">
            <v>Shular Hospitality</v>
          </cell>
          <cell r="B1281">
            <v>1715</v>
          </cell>
        </row>
        <row r="1282">
          <cell r="A1282" t="str">
            <v>Bristlecone Construction</v>
          </cell>
          <cell r="B1282">
            <v>1714</v>
          </cell>
        </row>
        <row r="1283">
          <cell r="A1283" t="str">
            <v>Granitech US</v>
          </cell>
          <cell r="B1283">
            <v>1713</v>
          </cell>
        </row>
        <row r="1284">
          <cell r="A1284" t="str">
            <v>Raju Sheth</v>
          </cell>
          <cell r="B1284">
            <v>1712</v>
          </cell>
        </row>
        <row r="1285">
          <cell r="A1285" t="str">
            <v>FineCraft Contractors, Inc.</v>
          </cell>
          <cell r="B1285">
            <v>1711</v>
          </cell>
        </row>
        <row r="1286">
          <cell r="A1286" t="str">
            <v>Pragyan Mainali</v>
          </cell>
          <cell r="B1286">
            <v>1710</v>
          </cell>
        </row>
        <row r="1287">
          <cell r="A1287" t="str">
            <v>Executive Hospitality</v>
          </cell>
          <cell r="B1287">
            <v>1709</v>
          </cell>
        </row>
        <row r="1288">
          <cell r="A1288" t="str">
            <v>DFW Joseph Investments LLC</v>
          </cell>
          <cell r="B1288">
            <v>1708</v>
          </cell>
        </row>
        <row r="1289">
          <cell r="A1289" t="str">
            <v>JJI Hospitality Inc.</v>
          </cell>
          <cell r="B1289">
            <v>1706</v>
          </cell>
        </row>
        <row r="1290">
          <cell r="A1290" t="str">
            <v>Innovative Air Inc.</v>
          </cell>
          <cell r="B1290">
            <v>1705</v>
          </cell>
        </row>
        <row r="1291">
          <cell r="A1291" t="str">
            <v>Sunny Patel</v>
          </cell>
          <cell r="B1291">
            <v>1704</v>
          </cell>
        </row>
        <row r="1292">
          <cell r="A1292" t="str">
            <v>Shera LLC</v>
          </cell>
          <cell r="B1292">
            <v>1703</v>
          </cell>
        </row>
        <row r="1293">
          <cell r="A1293" t="str">
            <v>Reena Patel</v>
          </cell>
          <cell r="B1293">
            <v>1701</v>
          </cell>
        </row>
        <row r="1294">
          <cell r="A1294" t="str">
            <v>Melanie  Manuel</v>
          </cell>
          <cell r="B1294">
            <v>1700</v>
          </cell>
        </row>
        <row r="1295">
          <cell r="A1295" t="str">
            <v>Colorado Hospitality Services, Inc.</v>
          </cell>
          <cell r="B1295">
            <v>1699</v>
          </cell>
        </row>
        <row r="1296">
          <cell r="A1296" t="str">
            <v>Someshwar Motel LLC</v>
          </cell>
          <cell r="B1296">
            <v>1698</v>
          </cell>
        </row>
        <row r="1297">
          <cell r="A1297" t="str">
            <v>MIC Hotel Corp.</v>
          </cell>
          <cell r="B1297">
            <v>1696</v>
          </cell>
        </row>
        <row r="1298">
          <cell r="A1298" t="str">
            <v>Al Ross Custom Homes</v>
          </cell>
          <cell r="B1298">
            <v>1695</v>
          </cell>
        </row>
        <row r="1299">
          <cell r="A1299" t="str">
            <v>Supreme Bright Westlake LLC</v>
          </cell>
          <cell r="B1299">
            <v>1694</v>
          </cell>
        </row>
        <row r="1300">
          <cell r="A1300" t="str">
            <v>Tishman Speyer</v>
          </cell>
          <cell r="B1300">
            <v>1691</v>
          </cell>
        </row>
        <row r="1301">
          <cell r="A1301" t="str">
            <v>Trylon LLC/ RJ Construction LTD</v>
          </cell>
          <cell r="B1301">
            <v>1688</v>
          </cell>
        </row>
        <row r="1302">
          <cell r="A1302" t="str">
            <v>Kian Hotels LLC</v>
          </cell>
          <cell r="B1302">
            <v>1585</v>
          </cell>
        </row>
        <row r="1303">
          <cell r="A1303" t="str">
            <v>Holiday Inn Express-Oxford</v>
          </cell>
          <cell r="B1303">
            <v>1581</v>
          </cell>
        </row>
        <row r="1304">
          <cell r="A1304" t="str">
            <v>Sosa Construction</v>
          </cell>
          <cell r="B1304">
            <v>1578</v>
          </cell>
        </row>
        <row r="1305">
          <cell r="A1305" t="str">
            <v>Smart Remodeling LLC</v>
          </cell>
          <cell r="B1305">
            <v>1577</v>
          </cell>
        </row>
        <row r="1306">
          <cell r="A1306" t="str">
            <v>Atmosphere Commercial Interiors</v>
          </cell>
          <cell r="B1306">
            <v>1576</v>
          </cell>
        </row>
        <row r="1307">
          <cell r="A1307" t="str">
            <v>Monica Wilcox Interiors</v>
          </cell>
          <cell r="B1307">
            <v>1564</v>
          </cell>
        </row>
        <row r="1308">
          <cell r="A1308" t="str">
            <v>High Point University</v>
          </cell>
          <cell r="B1308">
            <v>1563</v>
          </cell>
        </row>
        <row r="1309">
          <cell r="A1309" t="str">
            <v>Milender White Construction Company</v>
          </cell>
          <cell r="B1309">
            <v>1559</v>
          </cell>
        </row>
        <row r="1310">
          <cell r="A1310" t="str">
            <v>Chesterfield Hospitality, Inc.</v>
          </cell>
          <cell r="B1310">
            <v>1558</v>
          </cell>
        </row>
        <row r="1311">
          <cell r="A1311" t="str">
            <v>APD Construction</v>
          </cell>
          <cell r="B1311">
            <v>1557</v>
          </cell>
        </row>
        <row r="1312">
          <cell r="A1312" t="str">
            <v>Galaxy Hotels Group</v>
          </cell>
          <cell r="B1312">
            <v>1556</v>
          </cell>
        </row>
        <row r="1313">
          <cell r="A1313" t="str">
            <v>Installations Plus, Inc.</v>
          </cell>
          <cell r="B1313">
            <v>1555</v>
          </cell>
        </row>
        <row r="1314">
          <cell r="A1314" t="str">
            <v>Mesquite Gaming</v>
          </cell>
          <cell r="B1314">
            <v>1554</v>
          </cell>
        </row>
        <row r="1315">
          <cell r="A1315" t="str">
            <v>Grose &amp; Manz Builders LLC</v>
          </cell>
          <cell r="B1315">
            <v>1553</v>
          </cell>
        </row>
        <row r="1316">
          <cell r="A1316" t="str">
            <v>Capital Commercial Flooring, Inc.</v>
          </cell>
          <cell r="B1316">
            <v>1552</v>
          </cell>
        </row>
        <row r="1317">
          <cell r="A1317" t="str">
            <v>Scout Design Studio</v>
          </cell>
          <cell r="B1317">
            <v>1551</v>
          </cell>
        </row>
        <row r="1318">
          <cell r="A1318" t="str">
            <v>Vector Construction Management LLC</v>
          </cell>
          <cell r="B1318">
            <v>1550</v>
          </cell>
        </row>
        <row r="1319">
          <cell r="A1319" t="str">
            <v>Innovative Hospitality Purveyors</v>
          </cell>
          <cell r="B1319">
            <v>1549</v>
          </cell>
        </row>
        <row r="1320">
          <cell r="A1320" t="str">
            <v>Auburn Hospitality Group</v>
          </cell>
          <cell r="B1320">
            <v>1548</v>
          </cell>
        </row>
        <row r="1321">
          <cell r="A1321" t="str">
            <v>IC-GV Canada</v>
          </cell>
          <cell r="B1321">
            <v>1439</v>
          </cell>
        </row>
        <row r="1322">
          <cell r="A1322" t="str">
            <v>IC-GV India</v>
          </cell>
          <cell r="B1322">
            <v>1438</v>
          </cell>
        </row>
        <row r="1323">
          <cell r="A1323" t="str">
            <v>IC-GV Realty 2</v>
          </cell>
          <cell r="B1323">
            <v>1437</v>
          </cell>
        </row>
        <row r="1324">
          <cell r="A1324" t="str">
            <v>IC-GV Realty</v>
          </cell>
          <cell r="B1324">
            <v>1436</v>
          </cell>
        </row>
        <row r="1325">
          <cell r="A1325" t="str">
            <v>IC-GV Facades</v>
          </cell>
          <cell r="B1325">
            <v>1435</v>
          </cell>
        </row>
        <row r="1326">
          <cell r="A1326" t="str">
            <v>IC-Graniti Vicentia LLC</v>
          </cell>
          <cell r="B1326">
            <v>1434</v>
          </cell>
        </row>
        <row r="1327">
          <cell r="A1327" t="str">
            <v>IC-Parent Company</v>
          </cell>
          <cell r="B1327">
            <v>1433</v>
          </cell>
        </row>
        <row r="1328">
          <cell r="A1328" t="str">
            <v>SET Floors</v>
          </cell>
          <cell r="B1328">
            <v>933</v>
          </cell>
        </row>
        <row r="1329">
          <cell r="A1329" t="str">
            <v>Moderno Porcelain Works</v>
          </cell>
          <cell r="B1329">
            <v>932</v>
          </cell>
        </row>
        <row r="1330">
          <cell r="A1330" t="str">
            <v>Hoover Ferguson (Tank Holdings)</v>
          </cell>
          <cell r="B1330">
            <v>756</v>
          </cell>
        </row>
        <row r="1331">
          <cell r="A1331" t="str">
            <v>Texas Health and Human Services Commission</v>
          </cell>
          <cell r="B1331">
            <v>757</v>
          </cell>
        </row>
        <row r="1332">
          <cell r="A1332" t="str">
            <v>Tampa Enterprises, Inc.</v>
          </cell>
          <cell r="B1332">
            <v>753</v>
          </cell>
        </row>
        <row r="1333">
          <cell r="A1333" t="str">
            <v>TerraCORE Panels</v>
          </cell>
          <cell r="B1333">
            <v>754</v>
          </cell>
        </row>
        <row r="1334">
          <cell r="A1334" t="str">
            <v>Yuma Construction, LLC</v>
          </cell>
          <cell r="B1334">
            <v>755</v>
          </cell>
        </row>
        <row r="1335">
          <cell r="A1335" t="str">
            <v>Said Develpers LLC</v>
          </cell>
          <cell r="B1335">
            <v>750</v>
          </cell>
        </row>
        <row r="1336">
          <cell r="A1336" t="str">
            <v>Sletten Construction Company</v>
          </cell>
          <cell r="B1336">
            <v>751</v>
          </cell>
        </row>
        <row r="1337">
          <cell r="A1337" t="str">
            <v>Sundaram Builders, Inc.</v>
          </cell>
          <cell r="B1337">
            <v>752</v>
          </cell>
        </row>
        <row r="1338">
          <cell r="A1338" t="str">
            <v>Nirmal Patel</v>
          </cell>
          <cell r="B1338">
            <v>748</v>
          </cell>
        </row>
        <row r="1339">
          <cell r="A1339" t="str">
            <v>Persona Triangle</v>
          </cell>
          <cell r="B1339">
            <v>749</v>
          </cell>
        </row>
        <row r="1340">
          <cell r="A1340" t="str">
            <v>K&amp;A Development</v>
          </cell>
          <cell r="B1340">
            <v>745</v>
          </cell>
        </row>
        <row r="1341">
          <cell r="A1341" t="str">
            <v>Level Construction, Inc.</v>
          </cell>
          <cell r="B1341">
            <v>746</v>
          </cell>
        </row>
        <row r="1342">
          <cell r="A1342" t="str">
            <v>Life Time Property Development</v>
          </cell>
          <cell r="B1342">
            <v>747</v>
          </cell>
        </row>
        <row r="1343">
          <cell r="A1343" t="str">
            <v>Hamat Patel</v>
          </cell>
          <cell r="B1343">
            <v>742</v>
          </cell>
        </row>
        <row r="1344">
          <cell r="A1344" t="str">
            <v>Hann Builders</v>
          </cell>
          <cell r="B1344">
            <v>743</v>
          </cell>
        </row>
        <row r="1345">
          <cell r="A1345" t="str">
            <v>Jim Patel</v>
          </cell>
          <cell r="B1345">
            <v>744</v>
          </cell>
        </row>
        <row r="1346">
          <cell r="A1346" t="str">
            <v>BDNT Concord Development LLC</v>
          </cell>
          <cell r="B1346">
            <v>739</v>
          </cell>
        </row>
        <row r="1347">
          <cell r="A1347" t="str">
            <v>CIVE</v>
          </cell>
          <cell r="B1347">
            <v>740</v>
          </cell>
        </row>
        <row r="1348">
          <cell r="A1348" t="str">
            <v>Altaf Maknojia</v>
          </cell>
          <cell r="B1348">
            <v>737</v>
          </cell>
        </row>
        <row r="1349">
          <cell r="A1349" t="str">
            <v>Anil Patidar</v>
          </cell>
          <cell r="B1349">
            <v>738</v>
          </cell>
        </row>
        <row r="1350">
          <cell r="A1350" t="str">
            <v>Sunbridge Venetian LP Inc.</v>
          </cell>
          <cell r="B1350">
            <v>736</v>
          </cell>
        </row>
        <row r="1351">
          <cell r="A1351" t="str">
            <v>Zertuche Construction, LLC</v>
          </cell>
          <cell r="B1351">
            <v>734</v>
          </cell>
        </row>
        <row r="1352">
          <cell r="A1352" t="str">
            <v>ZJZ Hospitality Inc.</v>
          </cell>
          <cell r="B1352">
            <v>735</v>
          </cell>
        </row>
        <row r="1353">
          <cell r="A1353" t="str">
            <v>Zenith Roofing Services</v>
          </cell>
          <cell r="B1353">
            <v>733</v>
          </cell>
        </row>
        <row r="1354">
          <cell r="A1354" t="str">
            <v>You Choi</v>
          </cell>
          <cell r="B1354">
            <v>730</v>
          </cell>
        </row>
        <row r="1355">
          <cell r="A1355" t="str">
            <v>Yuendi Design LLC</v>
          </cell>
          <cell r="B1355">
            <v>731</v>
          </cell>
        </row>
        <row r="1356">
          <cell r="A1356" t="str">
            <v>Z construction Services</v>
          </cell>
          <cell r="B1356">
            <v>732</v>
          </cell>
        </row>
        <row r="1357">
          <cell r="A1357" t="str">
            <v>YLH Construction Company</v>
          </cell>
          <cell r="B1357">
            <v>728</v>
          </cell>
        </row>
        <row r="1358">
          <cell r="A1358" t="str">
            <v>Yogi Divine Society of Texas</v>
          </cell>
          <cell r="B1358">
            <v>729</v>
          </cell>
        </row>
        <row r="1359">
          <cell r="A1359" t="str">
            <v>Padua Realty</v>
          </cell>
          <cell r="B1359">
            <v>725</v>
          </cell>
        </row>
        <row r="1360">
          <cell r="A1360" t="str">
            <v>Wyndham Garden Inn</v>
          </cell>
          <cell r="B1360">
            <v>726</v>
          </cell>
        </row>
        <row r="1361">
          <cell r="A1361" t="str">
            <v>Yale Tile &amp; Stone, LLC</v>
          </cell>
          <cell r="B1361">
            <v>727</v>
          </cell>
        </row>
        <row r="1362">
          <cell r="A1362" t="str">
            <v>Westport KC</v>
          </cell>
          <cell r="B1362">
            <v>723</v>
          </cell>
        </row>
        <row r="1363">
          <cell r="A1363" t="str">
            <v>Wingate</v>
          </cell>
          <cell r="B1363">
            <v>724</v>
          </cell>
        </row>
        <row r="1364">
          <cell r="A1364" t="str">
            <v>Watermark Commericial Contractors LLC</v>
          </cell>
          <cell r="B1364">
            <v>720</v>
          </cell>
        </row>
        <row r="1365">
          <cell r="A1365" t="str">
            <v>Weavercooke Construction, LLC</v>
          </cell>
          <cell r="B1365">
            <v>721</v>
          </cell>
        </row>
        <row r="1366">
          <cell r="A1366" t="str">
            <v>West Georgia Granite</v>
          </cell>
          <cell r="B1366">
            <v>722</v>
          </cell>
        </row>
        <row r="1367">
          <cell r="A1367" t="str">
            <v>Vimal Bhakta</v>
          </cell>
          <cell r="B1367">
            <v>717</v>
          </cell>
        </row>
        <row r="1368">
          <cell r="A1368" t="str">
            <v>Vivek Tomer</v>
          </cell>
          <cell r="B1368">
            <v>718</v>
          </cell>
        </row>
        <row r="1369">
          <cell r="A1369" t="str">
            <v>Vivid Surfaces</v>
          </cell>
          <cell r="B1369">
            <v>719</v>
          </cell>
        </row>
        <row r="1370">
          <cell r="A1370" t="str">
            <v>Urban Construction Inc.</v>
          </cell>
          <cell r="B1370">
            <v>715</v>
          </cell>
        </row>
        <row r="1371">
          <cell r="A1371" t="str">
            <v>Vijay Patel</v>
          </cell>
          <cell r="B1371">
            <v>716</v>
          </cell>
        </row>
        <row r="1372">
          <cell r="A1372" t="str">
            <v>ULH Community Center</v>
          </cell>
          <cell r="B1372">
            <v>712</v>
          </cell>
        </row>
        <row r="1373">
          <cell r="A1373" t="str">
            <v>United Lynn-Con Corporation</v>
          </cell>
          <cell r="B1373">
            <v>713</v>
          </cell>
        </row>
        <row r="1374">
          <cell r="A1374" t="str">
            <v>Urban Atelier Group LLC</v>
          </cell>
          <cell r="B1374">
            <v>714</v>
          </cell>
        </row>
        <row r="1375">
          <cell r="A1375" t="str">
            <v>Trinity Drywall &amp; Plastering Systems, LP</v>
          </cell>
          <cell r="B1375">
            <v>709</v>
          </cell>
        </row>
        <row r="1376">
          <cell r="A1376" t="str">
            <v>TRU</v>
          </cell>
          <cell r="B1376">
            <v>710</v>
          </cell>
        </row>
        <row r="1377">
          <cell r="A1377" t="str">
            <v>Two One Two Design</v>
          </cell>
          <cell r="B1377">
            <v>711</v>
          </cell>
        </row>
        <row r="1378">
          <cell r="A1378" t="str">
            <v>Tilestone Distributors Inc.</v>
          </cell>
          <cell r="B1378">
            <v>706</v>
          </cell>
        </row>
        <row r="1379">
          <cell r="A1379" t="str">
            <v>Toweplace Suites</v>
          </cell>
          <cell r="B1379">
            <v>707</v>
          </cell>
        </row>
        <row r="1380">
          <cell r="A1380" t="str">
            <v>Trilogy Hotel Montgomery</v>
          </cell>
          <cell r="B1380">
            <v>708</v>
          </cell>
        </row>
        <row r="1381">
          <cell r="A1381" t="str">
            <v>The Place Port A, LLC</v>
          </cell>
          <cell r="B1381">
            <v>703</v>
          </cell>
        </row>
        <row r="1382">
          <cell r="A1382" t="str">
            <v>The Stroud Group</v>
          </cell>
          <cell r="B1382">
            <v>704</v>
          </cell>
        </row>
        <row r="1383">
          <cell r="A1383" t="str">
            <v>Thoroughbred Hospitality Group</v>
          </cell>
          <cell r="B1383">
            <v>705</v>
          </cell>
        </row>
        <row r="1384">
          <cell r="A1384" t="str">
            <v>The C.A. Harrison Companies, LLC</v>
          </cell>
          <cell r="B1384">
            <v>700</v>
          </cell>
        </row>
        <row r="1385">
          <cell r="A1385" t="str">
            <v>The Capitol Hotel</v>
          </cell>
          <cell r="B1385">
            <v>701</v>
          </cell>
        </row>
        <row r="1386">
          <cell r="A1386" t="str">
            <v>The Ness Group</v>
          </cell>
          <cell r="B1386">
            <v>702</v>
          </cell>
        </row>
        <row r="1387">
          <cell r="A1387" t="str">
            <v>T. Nickolas Co. Tile &amp; Marble</v>
          </cell>
          <cell r="B1387">
            <v>697</v>
          </cell>
        </row>
        <row r="1388">
          <cell r="A1388" t="str">
            <v>Tech Design LLC</v>
          </cell>
          <cell r="B1388">
            <v>698</v>
          </cell>
        </row>
        <row r="1389">
          <cell r="A1389" t="str">
            <v>Terena Molo</v>
          </cell>
          <cell r="B1389">
            <v>699</v>
          </cell>
        </row>
        <row r="1390">
          <cell r="A1390" t="str">
            <v>Swift DBM LLC</v>
          </cell>
          <cell r="B1390">
            <v>695</v>
          </cell>
        </row>
        <row r="1391">
          <cell r="A1391" t="str">
            <v>Swinerton</v>
          </cell>
          <cell r="B1391">
            <v>696</v>
          </cell>
        </row>
        <row r="1392">
          <cell r="A1392" t="str">
            <v>Stone Peak Ceramics, Inc.</v>
          </cell>
          <cell r="B1392">
            <v>692</v>
          </cell>
        </row>
        <row r="1393">
          <cell r="A1393" t="str">
            <v>StoneRidge Hospitality Group</v>
          </cell>
          <cell r="B1393">
            <v>693</v>
          </cell>
        </row>
        <row r="1394">
          <cell r="A1394" t="str">
            <v>Sunray Group of Hotels</v>
          </cell>
          <cell r="B1394">
            <v>694</v>
          </cell>
        </row>
        <row r="1395">
          <cell r="A1395" t="str">
            <v>Sonder</v>
          </cell>
          <cell r="B1395">
            <v>690</v>
          </cell>
        </row>
        <row r="1396">
          <cell r="A1396" t="str">
            <v>Stone Edge Countertops</v>
          </cell>
          <cell r="B1396">
            <v>691</v>
          </cell>
        </row>
        <row r="1397">
          <cell r="A1397" t="str">
            <v>Sheetal Patel</v>
          </cell>
          <cell r="B1397">
            <v>688</v>
          </cell>
        </row>
        <row r="1398">
          <cell r="A1398" t="str">
            <v>SMD Contracting, Inc.</v>
          </cell>
          <cell r="B1398">
            <v>689</v>
          </cell>
        </row>
        <row r="1399">
          <cell r="A1399" t="str">
            <v>Rubina Byramji</v>
          </cell>
          <cell r="B1399">
            <v>684</v>
          </cell>
        </row>
        <row r="1400">
          <cell r="A1400" t="str">
            <v>Ryan Company</v>
          </cell>
          <cell r="B1400">
            <v>685</v>
          </cell>
        </row>
        <row r="1401">
          <cell r="A1401" t="str">
            <v>Samshah Patel</v>
          </cell>
          <cell r="B1401">
            <v>686</v>
          </cell>
        </row>
        <row r="1402">
          <cell r="A1402" t="str">
            <v>RMZ Construction</v>
          </cell>
          <cell r="B1402">
            <v>681</v>
          </cell>
        </row>
        <row r="1403">
          <cell r="A1403" t="str">
            <v>Roadrunner Furnishings</v>
          </cell>
          <cell r="B1403">
            <v>682</v>
          </cell>
        </row>
        <row r="1404">
          <cell r="A1404" t="str">
            <v>Roundrock Gold Hospitality LLC</v>
          </cell>
          <cell r="B1404">
            <v>683</v>
          </cell>
        </row>
        <row r="1405">
          <cell r="A1405" t="str">
            <v>Rio Vista Holdings LLC</v>
          </cell>
          <cell r="B1405">
            <v>678</v>
          </cell>
        </row>
        <row r="1406">
          <cell r="A1406" t="str">
            <v>Ritz-Carlton Hotel Company</v>
          </cell>
          <cell r="B1406">
            <v>679</v>
          </cell>
        </row>
        <row r="1407">
          <cell r="A1407" t="str">
            <v>Ritzway Group, LLC</v>
          </cell>
          <cell r="B1407">
            <v>680</v>
          </cell>
        </row>
        <row r="1408">
          <cell r="A1408" t="str">
            <v>Residence Inn</v>
          </cell>
          <cell r="B1408">
            <v>676</v>
          </cell>
        </row>
        <row r="1409">
          <cell r="A1409" t="str">
            <v>Rexel</v>
          </cell>
          <cell r="B1409">
            <v>677</v>
          </cell>
        </row>
        <row r="1410">
          <cell r="A1410" t="str">
            <v>Reliant Hardwood Flooring Inc</v>
          </cell>
          <cell r="B1410">
            <v>673</v>
          </cell>
        </row>
        <row r="1411">
          <cell r="A1411" t="str">
            <v>Renfrow Decorative Center</v>
          </cell>
          <cell r="B1411">
            <v>674</v>
          </cell>
        </row>
        <row r="1412">
          <cell r="A1412" t="str">
            <v>Renu</v>
          </cell>
          <cell r="B1412">
            <v>675</v>
          </cell>
        </row>
        <row r="1413">
          <cell r="A1413" t="str">
            <v>Redco Distribution</v>
          </cell>
          <cell r="B1413">
            <v>670</v>
          </cell>
        </row>
        <row r="1414">
          <cell r="A1414" t="str">
            <v>Reeva Inc.</v>
          </cell>
          <cell r="B1414">
            <v>671</v>
          </cell>
        </row>
        <row r="1415">
          <cell r="A1415" t="str">
            <v>Regency Inn and Suites</v>
          </cell>
          <cell r="B1415">
            <v>672</v>
          </cell>
        </row>
        <row r="1416">
          <cell r="A1416" t="str">
            <v>Reagan Gabriels Real Estate LLC</v>
          </cell>
          <cell r="B1416">
            <v>667</v>
          </cell>
        </row>
        <row r="1417">
          <cell r="A1417" t="str">
            <v>Real Floors Commercial, Inc.</v>
          </cell>
          <cell r="B1417">
            <v>668</v>
          </cell>
        </row>
        <row r="1418">
          <cell r="A1418" t="str">
            <v>Red Roof Inn</v>
          </cell>
          <cell r="B1418">
            <v>669</v>
          </cell>
        </row>
        <row r="1419">
          <cell r="A1419" t="str">
            <v>Ramsey Lawless</v>
          </cell>
          <cell r="B1419">
            <v>664</v>
          </cell>
        </row>
        <row r="1420">
          <cell r="A1420" t="str">
            <v>Ray Dayal</v>
          </cell>
          <cell r="B1420">
            <v>665</v>
          </cell>
        </row>
        <row r="1421">
          <cell r="A1421" t="str">
            <v>RCH Design Build</v>
          </cell>
          <cell r="B1421">
            <v>666</v>
          </cell>
        </row>
        <row r="1422">
          <cell r="A1422" t="str">
            <v>Ramada Plaza Resorts &amp; Suites</v>
          </cell>
          <cell r="B1422">
            <v>662</v>
          </cell>
        </row>
        <row r="1423">
          <cell r="A1423" t="str">
            <v>RAMS Hotel Management</v>
          </cell>
          <cell r="B1423">
            <v>663</v>
          </cell>
        </row>
        <row r="1424">
          <cell r="A1424" t="str">
            <v>Rafael Figueroa</v>
          </cell>
          <cell r="B1424">
            <v>659</v>
          </cell>
        </row>
        <row r="1425">
          <cell r="A1425" t="str">
            <v>Raj Patel</v>
          </cell>
          <cell r="B1425">
            <v>660</v>
          </cell>
        </row>
        <row r="1426">
          <cell r="A1426" t="str">
            <v>Raja Foods</v>
          </cell>
          <cell r="B1426">
            <v>661</v>
          </cell>
        </row>
        <row r="1427">
          <cell r="A1427" t="str">
            <v>Quality Tile, Marble, Slate &amp; Granite</v>
          </cell>
          <cell r="B1427">
            <v>656</v>
          </cell>
        </row>
        <row r="1428">
          <cell r="A1428" t="str">
            <v>Quanism</v>
          </cell>
          <cell r="B1428">
            <v>657</v>
          </cell>
        </row>
        <row r="1429">
          <cell r="A1429" t="str">
            <v>R Builders</v>
          </cell>
          <cell r="B1429">
            <v>658</v>
          </cell>
        </row>
        <row r="1430">
          <cell r="A1430" t="str">
            <v>Q Hotels</v>
          </cell>
          <cell r="B1430">
            <v>653</v>
          </cell>
        </row>
        <row r="1431">
          <cell r="A1431" t="str">
            <v>Qualified Interiors Inc</v>
          </cell>
          <cell r="B1431">
            <v>654</v>
          </cell>
        </row>
        <row r="1432">
          <cell r="A1432" t="str">
            <v>Quality Floors Contract, Inc.</v>
          </cell>
          <cell r="B1432">
            <v>655</v>
          </cell>
        </row>
        <row r="1433">
          <cell r="A1433" t="str">
            <v>PRM Contracting</v>
          </cell>
          <cell r="B1433">
            <v>650</v>
          </cell>
        </row>
        <row r="1434">
          <cell r="A1434" t="str">
            <v>PVA Construction</v>
          </cell>
          <cell r="B1434">
            <v>651</v>
          </cell>
        </row>
        <row r="1435">
          <cell r="A1435" t="str">
            <v>Pyarali Charania</v>
          </cell>
          <cell r="B1435">
            <v>652</v>
          </cell>
        </row>
        <row r="1436">
          <cell r="A1436" t="str">
            <v>Premier Project Management</v>
          </cell>
          <cell r="B1436">
            <v>647</v>
          </cell>
        </row>
        <row r="1437">
          <cell r="A1437" t="str">
            <v>Prime Group</v>
          </cell>
          <cell r="B1437">
            <v>648</v>
          </cell>
        </row>
        <row r="1438">
          <cell r="A1438" t="str">
            <v>Prince Preferred Hotels</v>
          </cell>
          <cell r="B1438">
            <v>649</v>
          </cell>
        </row>
        <row r="1439">
          <cell r="A1439" t="str">
            <v>Premier Patios &amp; Outdoors</v>
          </cell>
          <cell r="B1439">
            <v>646</v>
          </cell>
        </row>
        <row r="1440">
          <cell r="A1440" t="str">
            <v>Postcard Inn</v>
          </cell>
          <cell r="B1440">
            <v>643</v>
          </cell>
        </row>
        <row r="1441">
          <cell r="A1441" t="str">
            <v>Precision Specialty Floors</v>
          </cell>
          <cell r="B1441">
            <v>644</v>
          </cell>
        </row>
        <row r="1442">
          <cell r="A1442" t="str">
            <v>Premier Commercial Floors LLC</v>
          </cell>
          <cell r="B1442">
            <v>645</v>
          </cell>
        </row>
        <row r="1443">
          <cell r="A1443" t="str">
            <v>Porcelain of Texas</v>
          </cell>
          <cell r="B1443">
            <v>641</v>
          </cell>
        </row>
        <row r="1444">
          <cell r="A1444" t="str">
            <v>Port Arthur Hospitality LLC</v>
          </cell>
          <cell r="B1444">
            <v>642</v>
          </cell>
        </row>
        <row r="1445">
          <cell r="A1445" t="str">
            <v>Platow Tile</v>
          </cell>
          <cell r="B1445">
            <v>638</v>
          </cell>
        </row>
        <row r="1446">
          <cell r="A1446" t="str">
            <v>Plumbers Supply Company</v>
          </cell>
          <cell r="B1446">
            <v>639</v>
          </cell>
        </row>
        <row r="1447">
          <cell r="A1447" t="str">
            <v>Polish Highlander LLC</v>
          </cell>
          <cell r="B1447">
            <v>640</v>
          </cell>
        </row>
        <row r="1448">
          <cell r="A1448" t="str">
            <v>Pitt-Cran Hospitality, LLC</v>
          </cell>
          <cell r="B1448">
            <v>635</v>
          </cell>
        </row>
        <row r="1449">
          <cell r="A1449" t="str">
            <v>Platinum Hospitality Management</v>
          </cell>
          <cell r="B1449">
            <v>636</v>
          </cell>
        </row>
        <row r="1450">
          <cell r="A1450" t="str">
            <v>Platinum Pools</v>
          </cell>
          <cell r="B1450">
            <v>637</v>
          </cell>
        </row>
        <row r="1451">
          <cell r="A1451" t="str">
            <v>Pinnacle Marble And Granite, Inc</v>
          </cell>
          <cell r="B1451">
            <v>632</v>
          </cell>
        </row>
        <row r="1452">
          <cell r="A1452" t="str">
            <v>Pinnacle Restaurant Solutions Inc.</v>
          </cell>
          <cell r="B1452">
            <v>633</v>
          </cell>
        </row>
        <row r="1453">
          <cell r="A1453" t="str">
            <v>Pinnacle Tile &amp; Flooring Inc</v>
          </cell>
          <cell r="B1453">
            <v>634</v>
          </cell>
        </row>
        <row r="1454">
          <cell r="A1454" t="str">
            <v>Pete Patel</v>
          </cell>
          <cell r="B1454">
            <v>629</v>
          </cell>
        </row>
        <row r="1455">
          <cell r="A1455" t="str">
            <v>Philip Uddin</v>
          </cell>
          <cell r="B1455">
            <v>630</v>
          </cell>
        </row>
        <row r="1456">
          <cell r="A1456" t="str">
            <v>Pinnacle Hospitality Partners</v>
          </cell>
          <cell r="B1456">
            <v>631</v>
          </cell>
        </row>
        <row r="1457">
          <cell r="A1457" t="str">
            <v>Peachtree Hotel Group, LLC</v>
          </cell>
          <cell r="B1457">
            <v>627</v>
          </cell>
        </row>
        <row r="1458">
          <cell r="A1458" t="str">
            <v>PerfClay (Performance Clay Products)</v>
          </cell>
          <cell r="B1458">
            <v>628</v>
          </cell>
        </row>
        <row r="1459">
          <cell r="A1459" t="str">
            <v>Paul Urick</v>
          </cell>
          <cell r="B1459">
            <v>624</v>
          </cell>
        </row>
        <row r="1460">
          <cell r="A1460" t="str">
            <v>Pawan Kumar Pool House</v>
          </cell>
          <cell r="B1460">
            <v>625</v>
          </cell>
        </row>
        <row r="1461">
          <cell r="A1461" t="str">
            <v>PDL Designs</v>
          </cell>
          <cell r="B1461">
            <v>626</v>
          </cell>
        </row>
        <row r="1462">
          <cell r="A1462" t="str">
            <v>Parvin Parmar</v>
          </cell>
          <cell r="B1462">
            <v>621</v>
          </cell>
        </row>
        <row r="1463">
          <cell r="A1463" t="str">
            <v>Paul Graham Company</v>
          </cell>
          <cell r="B1463">
            <v>622</v>
          </cell>
        </row>
        <row r="1464">
          <cell r="A1464" t="str">
            <v>Paul Kenderdine</v>
          </cell>
          <cell r="B1464">
            <v>623</v>
          </cell>
        </row>
        <row r="1465">
          <cell r="A1465" t="str">
            <v>Paresha Desai</v>
          </cell>
          <cell r="B1465">
            <v>618</v>
          </cell>
        </row>
        <row r="1466">
          <cell r="A1466" t="str">
            <v>Parkway Apartments</v>
          </cell>
          <cell r="B1466">
            <v>619</v>
          </cell>
        </row>
        <row r="1467">
          <cell r="A1467" t="str">
            <v>Parth Kikani</v>
          </cell>
          <cell r="B1467">
            <v>620</v>
          </cell>
        </row>
        <row r="1468">
          <cell r="A1468" t="str">
            <v>Palace Inn</v>
          </cell>
          <cell r="B1468">
            <v>616</v>
          </cell>
        </row>
        <row r="1469">
          <cell r="A1469" t="str">
            <v>Pandya Hospitality</v>
          </cell>
          <cell r="B1469">
            <v>617</v>
          </cell>
        </row>
        <row r="1470">
          <cell r="A1470" t="str">
            <v>Overland Park KS</v>
          </cell>
          <cell r="B1470">
            <v>612</v>
          </cell>
        </row>
        <row r="1471">
          <cell r="A1471" t="str">
            <v>P &amp; L Home and Business</v>
          </cell>
          <cell r="B1471">
            <v>613</v>
          </cell>
        </row>
        <row r="1472">
          <cell r="A1472" t="str">
            <v>P.A. Commercial Flooring Inc</v>
          </cell>
          <cell r="B1472">
            <v>614</v>
          </cell>
        </row>
        <row r="1473">
          <cell r="A1473" t="str">
            <v>One Source Commercial Flooring Inc</v>
          </cell>
          <cell r="B1473">
            <v>610</v>
          </cell>
        </row>
        <row r="1474">
          <cell r="A1474" t="str">
            <v>Opus Industries</v>
          </cell>
          <cell r="B1474">
            <v>611</v>
          </cell>
        </row>
        <row r="1475">
          <cell r="A1475" t="str">
            <v>Noordin Prasla</v>
          </cell>
          <cell r="B1475">
            <v>607</v>
          </cell>
        </row>
        <row r="1476">
          <cell r="A1476" t="str">
            <v>Northlake Innkeepers Ltd.</v>
          </cell>
          <cell r="B1476">
            <v>608</v>
          </cell>
        </row>
        <row r="1477">
          <cell r="A1477" t="str">
            <v>Omkar LLC</v>
          </cell>
          <cell r="B1477">
            <v>609</v>
          </cell>
        </row>
        <row r="1478">
          <cell r="A1478" t="str">
            <v>NewCrest Image</v>
          </cell>
          <cell r="B1478">
            <v>604</v>
          </cell>
        </row>
        <row r="1479">
          <cell r="A1479" t="str">
            <v>Nicole Bailey Interiors</v>
          </cell>
          <cell r="B1479">
            <v>605</v>
          </cell>
        </row>
        <row r="1480">
          <cell r="A1480" t="str">
            <v>Nispoint LLC Holdings</v>
          </cell>
          <cell r="B1480">
            <v>606</v>
          </cell>
        </row>
        <row r="1481">
          <cell r="A1481" t="str">
            <v>New Rock Tile</v>
          </cell>
          <cell r="B1481">
            <v>603</v>
          </cell>
        </row>
        <row r="1482">
          <cell r="A1482" t="str">
            <v>National Lodging Renovation Management</v>
          </cell>
          <cell r="B1482">
            <v>600</v>
          </cell>
        </row>
        <row r="1483">
          <cell r="A1483" t="str">
            <v>National Terrazzo</v>
          </cell>
          <cell r="B1483">
            <v>601</v>
          </cell>
        </row>
        <row r="1484">
          <cell r="A1484" t="str">
            <v>NCM, Inc.</v>
          </cell>
          <cell r="B1484">
            <v>602</v>
          </cell>
        </row>
        <row r="1485">
          <cell r="A1485" t="str">
            <v>Mike Patel</v>
          </cell>
          <cell r="B1485">
            <v>597</v>
          </cell>
        </row>
        <row r="1486">
          <cell r="A1486" t="str">
            <v>Napa Design</v>
          </cell>
          <cell r="B1486">
            <v>599</v>
          </cell>
        </row>
        <row r="1487">
          <cell r="A1487" t="str">
            <v>Marksman Indoor Gun Range</v>
          </cell>
          <cell r="B1487">
            <v>594</v>
          </cell>
        </row>
        <row r="1488">
          <cell r="A1488" t="str">
            <v>Marriott</v>
          </cell>
          <cell r="B1488">
            <v>595</v>
          </cell>
        </row>
        <row r="1489">
          <cell r="A1489" t="str">
            <v>MCP Group</v>
          </cell>
          <cell r="B1489">
            <v>596</v>
          </cell>
        </row>
        <row r="1490">
          <cell r="A1490" t="str">
            <v>Mahesh Patel</v>
          </cell>
          <cell r="B1490">
            <v>591</v>
          </cell>
        </row>
        <row r="1491">
          <cell r="A1491" t="str">
            <v>Mark Smith Custom Contracting</v>
          </cell>
          <cell r="B1491">
            <v>592</v>
          </cell>
        </row>
        <row r="1492">
          <cell r="A1492" t="str">
            <v>Mark Turner Construction, LLC</v>
          </cell>
          <cell r="B1492">
            <v>593</v>
          </cell>
        </row>
        <row r="1493">
          <cell r="A1493" t="str">
            <v>Laszlos Marble, Tile and Granite Inc.</v>
          </cell>
          <cell r="B1493">
            <v>588</v>
          </cell>
        </row>
        <row r="1494">
          <cell r="A1494" t="str">
            <v>Level 5 Carpentry Corp.</v>
          </cell>
          <cell r="B1494">
            <v>589</v>
          </cell>
        </row>
        <row r="1495">
          <cell r="A1495" t="str">
            <v>LM House Designs</v>
          </cell>
          <cell r="B1495">
            <v>590</v>
          </cell>
        </row>
        <row r="1496">
          <cell r="A1496" t="str">
            <v>Laframe Structures Inc.</v>
          </cell>
          <cell r="B1496">
            <v>585</v>
          </cell>
        </row>
        <row r="1497">
          <cell r="A1497" t="str">
            <v>Lansdowne Resort</v>
          </cell>
          <cell r="B1497">
            <v>586</v>
          </cell>
        </row>
        <row r="1498">
          <cell r="A1498" t="str">
            <v>Krushiker Hospitality Group, Inc</v>
          </cell>
          <cell r="B1498">
            <v>582</v>
          </cell>
        </row>
        <row r="1499">
          <cell r="A1499" t="str">
            <v>Kyle Hicks</v>
          </cell>
          <cell r="B1499">
            <v>583</v>
          </cell>
        </row>
        <row r="1500">
          <cell r="A1500" t="str">
            <v>La Quinta Inn &amp; Suites</v>
          </cell>
          <cell r="B1500">
            <v>584</v>
          </cell>
        </row>
        <row r="1501">
          <cell r="A1501" t="str">
            <v>Kings Bay Coastal Hotel Management, LLC</v>
          </cell>
          <cell r="B1501">
            <v>579</v>
          </cell>
        </row>
        <row r="1502">
          <cell r="A1502" t="str">
            <v>Kings Construction</v>
          </cell>
          <cell r="B1502">
            <v>580</v>
          </cell>
        </row>
        <row r="1503">
          <cell r="A1503" t="str">
            <v>Kishore - Bindu Kancherla</v>
          </cell>
          <cell r="B1503">
            <v>581</v>
          </cell>
        </row>
        <row r="1504">
          <cell r="A1504" t="str">
            <v>Kevin Sims</v>
          </cell>
          <cell r="B1504">
            <v>577</v>
          </cell>
        </row>
        <row r="1505">
          <cell r="A1505" t="str">
            <v>Kimpton Hotel Monaco</v>
          </cell>
          <cell r="B1505">
            <v>578</v>
          </cell>
        </row>
        <row r="1506">
          <cell r="A1506" t="str">
            <v>JDL Flooring Solutions Inc.Â </v>
          </cell>
          <cell r="B1506">
            <v>574</v>
          </cell>
        </row>
        <row r="1507">
          <cell r="A1507" t="str">
            <v>Jerry Osborne &amp; Associates, LLC</v>
          </cell>
          <cell r="B1507">
            <v>575</v>
          </cell>
        </row>
        <row r="1508">
          <cell r="A1508" t="str">
            <v>Kanti kusum Inc</v>
          </cell>
          <cell r="B1508">
            <v>576</v>
          </cell>
        </row>
        <row r="1509">
          <cell r="A1509" t="str">
            <v>Jaimin Patel</v>
          </cell>
          <cell r="B1509">
            <v>571</v>
          </cell>
        </row>
        <row r="1510">
          <cell r="A1510" t="str">
            <v>Jauregui Architects</v>
          </cell>
          <cell r="B1510">
            <v>572</v>
          </cell>
        </row>
        <row r="1511">
          <cell r="A1511" t="str">
            <v>Jay Sun Hospitality LLC</v>
          </cell>
          <cell r="B1511">
            <v>573</v>
          </cell>
        </row>
        <row r="1512">
          <cell r="A1512" t="str">
            <v>Innovation Design</v>
          </cell>
          <cell r="B1512">
            <v>568</v>
          </cell>
        </row>
        <row r="1513">
          <cell r="A1513" t="str">
            <v>Interstate Construction Corp.</v>
          </cell>
          <cell r="B1513">
            <v>569</v>
          </cell>
        </row>
        <row r="1514">
          <cell r="A1514" t="str">
            <v>J.L. Hall Tile Co.Â </v>
          </cell>
          <cell r="B1514">
            <v>570</v>
          </cell>
        </row>
        <row r="1515">
          <cell r="A1515" t="str">
            <v>Ignite Hotels</v>
          </cell>
          <cell r="B1515">
            <v>566</v>
          </cell>
        </row>
        <row r="1516">
          <cell r="A1516" t="str">
            <v>Imagine Porcelain Co. IPC.</v>
          </cell>
          <cell r="B1516">
            <v>567</v>
          </cell>
        </row>
        <row r="1517">
          <cell r="A1517" t="str">
            <v>Hotels Renovation SolutionÂ </v>
          </cell>
          <cell r="B1517">
            <v>564</v>
          </cell>
        </row>
        <row r="1518">
          <cell r="A1518" t="str">
            <v>Howard County Convention &amp; Visitors Commission Inc.</v>
          </cell>
          <cell r="B1518">
            <v>565</v>
          </cell>
        </row>
        <row r="1519">
          <cell r="A1519" t="str">
            <v>Hometown Inn &amp; Suites</v>
          </cell>
          <cell r="B1519">
            <v>561</v>
          </cell>
        </row>
        <row r="1520">
          <cell r="A1520" t="str">
            <v>Hotel Design Services</v>
          </cell>
          <cell r="B1520">
            <v>562</v>
          </cell>
        </row>
        <row r="1521">
          <cell r="A1521" t="str">
            <v>Hotel Tops USA</v>
          </cell>
          <cell r="B1521">
            <v>563</v>
          </cell>
        </row>
        <row r="1522">
          <cell r="A1522" t="str">
            <v>Home 2 Suites</v>
          </cell>
          <cell r="B1522">
            <v>560</v>
          </cell>
        </row>
        <row r="1523">
          <cell r="A1523" t="str">
            <v>Highland Stores LLC</v>
          </cell>
          <cell r="B1523">
            <v>557</v>
          </cell>
        </row>
        <row r="1524">
          <cell r="A1524" t="str">
            <v>Hilton Garden Inn</v>
          </cell>
          <cell r="B1524">
            <v>558</v>
          </cell>
        </row>
        <row r="1525">
          <cell r="A1525" t="str">
            <v>Hoilday Inn Express</v>
          </cell>
          <cell r="B1525">
            <v>559</v>
          </cell>
        </row>
        <row r="1526">
          <cell r="A1526" t="str">
            <v>Hawthorn Suites</v>
          </cell>
          <cell r="B1526">
            <v>554</v>
          </cell>
        </row>
        <row r="1527">
          <cell r="A1527" t="str">
            <v>Hector Chavez</v>
          </cell>
          <cell r="B1527">
            <v>555</v>
          </cell>
        </row>
        <row r="1528">
          <cell r="A1528" t="str">
            <v>Heritage Construction</v>
          </cell>
          <cell r="B1528">
            <v>556</v>
          </cell>
        </row>
        <row r="1529">
          <cell r="A1529" t="str">
            <v>Hamakua Hotel</v>
          </cell>
          <cell r="B1529">
            <v>552</v>
          </cell>
        </row>
        <row r="1530">
          <cell r="A1530" t="str">
            <v>Hampton Inn &amp; Suites</v>
          </cell>
          <cell r="B1530">
            <v>553</v>
          </cell>
        </row>
        <row r="1531">
          <cell r="A1531" t="str">
            <v>Guru Krishna Corporation</v>
          </cell>
          <cell r="B1531">
            <v>549</v>
          </cell>
        </row>
        <row r="1532">
          <cell r="A1532" t="str">
            <v>Habitus Finishes LLC</v>
          </cell>
          <cell r="B1532">
            <v>550</v>
          </cell>
        </row>
        <row r="1533">
          <cell r="A1533" t="str">
            <v>Hajoca Hospitality</v>
          </cell>
          <cell r="B1533">
            <v>551</v>
          </cell>
        </row>
        <row r="1534">
          <cell r="A1534" t="str">
            <v>Grand Sierra Resort &amp; Casino</v>
          </cell>
          <cell r="B1534">
            <v>546</v>
          </cell>
        </row>
        <row r="1535">
          <cell r="A1535" t="str">
            <v>Green Trail Builders</v>
          </cell>
          <cell r="B1535">
            <v>547</v>
          </cell>
        </row>
        <row r="1536">
          <cell r="A1536" t="str">
            <v>Guest World Wide</v>
          </cell>
          <cell r="B1536">
            <v>548</v>
          </cell>
        </row>
        <row r="1537">
          <cell r="A1537" t="str">
            <v>Goodall Distributors</v>
          </cell>
          <cell r="B1537">
            <v>544</v>
          </cell>
        </row>
        <row r="1538">
          <cell r="A1538" t="str">
            <v>GQ Tile Co.</v>
          </cell>
          <cell r="B1538">
            <v>545</v>
          </cell>
        </row>
        <row r="1539">
          <cell r="A1539" t="str">
            <v>GLR, Inc.</v>
          </cell>
          <cell r="B1539">
            <v>542</v>
          </cell>
        </row>
        <row r="1540">
          <cell r="A1540" t="str">
            <v>GLS Supply</v>
          </cell>
          <cell r="B1540">
            <v>543</v>
          </cell>
        </row>
        <row r="1541">
          <cell r="A1541" t="str">
            <v>Garrett Precision</v>
          </cell>
          <cell r="B1541">
            <v>539</v>
          </cell>
        </row>
        <row r="1542">
          <cell r="A1542" t="str">
            <v>Gaurang Gary Patel</v>
          </cell>
          <cell r="B1542">
            <v>540</v>
          </cell>
        </row>
        <row r="1543">
          <cell r="A1543" t="str">
            <v>Gene Cathey</v>
          </cell>
          <cell r="B1543">
            <v>541</v>
          </cell>
        </row>
        <row r="1544">
          <cell r="A1544" t="str">
            <v>Flooring Solutions</v>
          </cell>
          <cell r="B1544">
            <v>537</v>
          </cell>
        </row>
        <row r="1545">
          <cell r="A1545" t="str">
            <v>Fyffe Construction Co.</v>
          </cell>
          <cell r="B1545">
            <v>538</v>
          </cell>
        </row>
        <row r="1546">
          <cell r="A1546" t="str">
            <v>Fairfield Inn &amp; Suites</v>
          </cell>
          <cell r="B1546">
            <v>534</v>
          </cell>
        </row>
        <row r="1547">
          <cell r="A1547" t="str">
            <v>Fat Tuesday</v>
          </cell>
          <cell r="B1547">
            <v>535</v>
          </cell>
        </row>
        <row r="1548">
          <cell r="A1548" t="str">
            <v>FESS Holdings LLC</v>
          </cell>
          <cell r="B1548">
            <v>536</v>
          </cell>
        </row>
        <row r="1549">
          <cell r="A1549" t="str">
            <v>Ewan Dinsdale</v>
          </cell>
          <cell r="B1549">
            <v>531</v>
          </cell>
        </row>
        <row r="1550">
          <cell r="A1550" t="str">
            <v>Faber Trade LLC</v>
          </cell>
          <cell r="B1550">
            <v>532</v>
          </cell>
        </row>
        <row r="1551">
          <cell r="A1551" t="str">
            <v>Fabulous Floors</v>
          </cell>
          <cell r="B1551">
            <v>533</v>
          </cell>
        </row>
        <row r="1552">
          <cell r="A1552" t="str">
            <v>Element Forthsmith</v>
          </cell>
          <cell r="B1552">
            <v>528</v>
          </cell>
        </row>
        <row r="1553">
          <cell r="A1553" t="str">
            <v>Elevate QOF, LLC</v>
          </cell>
          <cell r="B1553">
            <v>529</v>
          </cell>
        </row>
        <row r="1554">
          <cell r="A1554" t="str">
            <v>Estrada Flooring Inc</v>
          </cell>
          <cell r="B1554">
            <v>530</v>
          </cell>
        </row>
        <row r="1555">
          <cell r="A1555" t="str">
            <v>E2I Solutions</v>
          </cell>
          <cell r="B1555">
            <v>525</v>
          </cell>
        </row>
        <row r="1556">
          <cell r="A1556" t="str">
            <v>Econo Lodge Augusta GA</v>
          </cell>
          <cell r="B1556">
            <v>526</v>
          </cell>
        </row>
        <row r="1557">
          <cell r="A1557" t="str">
            <v>Eklektik Interiors</v>
          </cell>
          <cell r="B1557">
            <v>527</v>
          </cell>
        </row>
        <row r="1558">
          <cell r="A1558" t="str">
            <v>Dragonfly Hospitality LLC</v>
          </cell>
          <cell r="B1558">
            <v>522</v>
          </cell>
        </row>
        <row r="1559">
          <cell r="A1559" t="str">
            <v>Dwayne Clark</v>
          </cell>
          <cell r="B1559">
            <v>523</v>
          </cell>
        </row>
        <row r="1560">
          <cell r="A1560" t="str">
            <v>E&amp;S Flooring LLC</v>
          </cell>
          <cell r="B1560">
            <v>524</v>
          </cell>
        </row>
        <row r="1561">
          <cell r="A1561" t="str">
            <v>Direct Natural Stones</v>
          </cell>
          <cell r="B1561">
            <v>519</v>
          </cell>
        </row>
        <row r="1562">
          <cell r="A1562" t="str">
            <v>Doors Development</v>
          </cell>
          <cell r="B1562">
            <v>520</v>
          </cell>
        </row>
        <row r="1563">
          <cell r="A1563" t="str">
            <v>Dowland Tile &amp; Stone</v>
          </cell>
          <cell r="B1563">
            <v>521</v>
          </cell>
        </row>
        <row r="1564">
          <cell r="A1564" t="str">
            <v>DHospitality</v>
          </cell>
          <cell r="B1564">
            <v>517</v>
          </cell>
        </row>
        <row r="1565">
          <cell r="A1565" t="str">
            <v>Dipak Patel</v>
          </cell>
          <cell r="B1565">
            <v>518</v>
          </cell>
        </row>
        <row r="1566">
          <cell r="A1566" t="str">
            <v>Designer Stone Center Inc</v>
          </cell>
          <cell r="B1566">
            <v>514</v>
          </cell>
        </row>
        <row r="1567">
          <cell r="A1567" t="str">
            <v>Deven Bhakta - Port Aransas Home</v>
          </cell>
          <cell r="B1567">
            <v>515</v>
          </cell>
        </row>
        <row r="1568">
          <cell r="A1568" t="str">
            <v>Devkrupa Hospitality Inc.</v>
          </cell>
          <cell r="B1568">
            <v>516</v>
          </cell>
        </row>
        <row r="1569">
          <cell r="A1569" t="str">
            <v>De Novo Hospitality LLC</v>
          </cell>
          <cell r="B1569">
            <v>511</v>
          </cell>
        </row>
        <row r="1570">
          <cell r="A1570" t="str">
            <v>Deazly Inc.</v>
          </cell>
          <cell r="B1570">
            <v>512</v>
          </cell>
        </row>
        <row r="1571">
          <cell r="A1571" t="str">
            <v>Del Rio Hotel Partners LLC</v>
          </cell>
          <cell r="B1571">
            <v>513</v>
          </cell>
        </row>
        <row r="1572">
          <cell r="A1572" t="str">
            <v>DBG Investments</v>
          </cell>
          <cell r="B1572">
            <v>508</v>
          </cell>
        </row>
        <row r="1573">
          <cell r="A1573" t="str">
            <v>DCO Commercial Floors</v>
          </cell>
          <cell r="B1573">
            <v>509</v>
          </cell>
        </row>
        <row r="1574">
          <cell r="A1574" t="str">
            <v>DD&amp;B Construction Inc.</v>
          </cell>
          <cell r="B1574">
            <v>510</v>
          </cell>
        </row>
        <row r="1575">
          <cell r="A1575" t="str">
            <v>Daren Snider Construction</v>
          </cell>
          <cell r="B1575">
            <v>505</v>
          </cell>
        </row>
        <row r="1576">
          <cell r="A1576" t="str">
            <v>Darien Heights Residences</v>
          </cell>
          <cell r="B1576">
            <v>506</v>
          </cell>
        </row>
        <row r="1577">
          <cell r="A1577" t="str">
            <v>Days Inn and Suites</v>
          </cell>
          <cell r="B1577">
            <v>507</v>
          </cell>
        </row>
        <row r="1578">
          <cell r="A1578" t="str">
            <v>Daniel Van Dyke Construction Inc.</v>
          </cell>
          <cell r="B1578">
            <v>503</v>
          </cell>
        </row>
        <row r="1579">
          <cell r="A1579" t="str">
            <v>Dannini Jewelry Store</v>
          </cell>
          <cell r="B1579">
            <v>504</v>
          </cell>
        </row>
        <row r="1580">
          <cell r="A1580" t="str">
            <v>Cox Fine Floors</v>
          </cell>
          <cell r="B1580">
            <v>500</v>
          </cell>
        </row>
        <row r="1581">
          <cell r="A1581" t="str">
            <v>Coyote Valley Casinos</v>
          </cell>
          <cell r="B1581">
            <v>501</v>
          </cell>
        </row>
        <row r="1582">
          <cell r="A1582" t="str">
            <v>CPNA Management &amp; Services Inc.</v>
          </cell>
          <cell r="B1582">
            <v>502</v>
          </cell>
        </row>
        <row r="1583">
          <cell r="A1583" t="str">
            <v>Continental Inns of America</v>
          </cell>
          <cell r="B1583">
            <v>497</v>
          </cell>
        </row>
        <row r="1584">
          <cell r="A1584" t="str">
            <v>Contractors Tiles Plus</v>
          </cell>
          <cell r="B1584">
            <v>498</v>
          </cell>
        </row>
        <row r="1585">
          <cell r="A1585" t="str">
            <v>Coury Hospitality</v>
          </cell>
          <cell r="B1585">
            <v>499</v>
          </cell>
        </row>
        <row r="1586">
          <cell r="A1586" t="str">
            <v>Clarion Point Marshall</v>
          </cell>
          <cell r="B1586">
            <v>494</v>
          </cell>
        </row>
        <row r="1587">
          <cell r="A1587" t="str">
            <v>Contempo Builder LLC</v>
          </cell>
          <cell r="B1587">
            <v>496</v>
          </cell>
        </row>
        <row r="1588">
          <cell r="A1588" t="str">
            <v>Carpet Service International, Inc</v>
          </cell>
          <cell r="B1588">
            <v>491</v>
          </cell>
        </row>
        <row r="1589">
          <cell r="A1589" t="str">
            <v>CBG Building Company</v>
          </cell>
          <cell r="B1589">
            <v>492</v>
          </cell>
        </row>
        <row r="1590">
          <cell r="A1590" t="str">
            <v>Chrisbro LLC</v>
          </cell>
          <cell r="B1590">
            <v>493</v>
          </cell>
        </row>
        <row r="1591">
          <cell r="A1591" t="str">
            <v>Cambria Hotel</v>
          </cell>
          <cell r="B1591">
            <v>488</v>
          </cell>
        </row>
        <row r="1592">
          <cell r="A1592" t="str">
            <v>Candlewood Suites</v>
          </cell>
          <cell r="B1592">
            <v>489</v>
          </cell>
        </row>
        <row r="1593">
          <cell r="A1593" t="str">
            <v>Carpet Planet LLC</v>
          </cell>
          <cell r="B1593">
            <v>490</v>
          </cell>
        </row>
        <row r="1594">
          <cell r="A1594" t="str">
            <v>C Side Decorating Inc</v>
          </cell>
          <cell r="B1594">
            <v>486</v>
          </cell>
        </row>
        <row r="1595">
          <cell r="A1595" t="str">
            <v>Camarata Masonry Systems</v>
          </cell>
          <cell r="B1595">
            <v>487</v>
          </cell>
        </row>
        <row r="1596">
          <cell r="A1596" t="str">
            <v>Budget Inn</v>
          </cell>
          <cell r="B1596">
            <v>483</v>
          </cell>
        </row>
        <row r="1597">
          <cell r="A1597" t="str">
            <v>Business Floor Solutions</v>
          </cell>
          <cell r="B1597">
            <v>484</v>
          </cell>
        </row>
        <row r="1598">
          <cell r="A1598" t="str">
            <v>Business Flooring Specialists</v>
          </cell>
          <cell r="B1598">
            <v>485</v>
          </cell>
        </row>
        <row r="1599">
          <cell r="A1599" t="str">
            <v>Brighter Vision Group, L.P.</v>
          </cell>
          <cell r="B1599">
            <v>481</v>
          </cell>
        </row>
        <row r="1600">
          <cell r="A1600" t="str">
            <v>Brito Properties</v>
          </cell>
          <cell r="B1600">
            <v>482</v>
          </cell>
        </row>
        <row r="1601">
          <cell r="A1601" t="str">
            <v>Bonick Landscaping</v>
          </cell>
          <cell r="B1601">
            <v>477</v>
          </cell>
        </row>
        <row r="1602">
          <cell r="A1602" t="str">
            <v>Bowman Flooring Contractor</v>
          </cell>
          <cell r="B1602">
            <v>478</v>
          </cell>
        </row>
        <row r="1603">
          <cell r="A1603" t="str">
            <v>Bradley Floor Covering</v>
          </cell>
          <cell r="B1603">
            <v>479</v>
          </cell>
        </row>
        <row r="1604">
          <cell r="A1604" t="str">
            <v>BodEnvy Orlando</v>
          </cell>
          <cell r="B1604">
            <v>475</v>
          </cell>
        </row>
        <row r="1605">
          <cell r="A1605" t="str">
            <v>Body Harmony</v>
          </cell>
          <cell r="B1605">
            <v>476</v>
          </cell>
        </row>
        <row r="1606">
          <cell r="A1606" t="str">
            <v>Best Western</v>
          </cell>
          <cell r="B1606">
            <v>472</v>
          </cell>
        </row>
        <row r="1607">
          <cell r="A1607" t="str">
            <v>Big Bear Flooring</v>
          </cell>
          <cell r="B1607">
            <v>473</v>
          </cell>
        </row>
        <row r="1608">
          <cell r="A1608" t="str">
            <v>BMK Construction LLC</v>
          </cell>
          <cell r="B1608">
            <v>474</v>
          </cell>
        </row>
        <row r="1609">
          <cell r="A1609" t="str">
            <v>BAPS Development, Inc.</v>
          </cell>
          <cell r="B1609">
            <v>469</v>
          </cell>
        </row>
        <row r="1610">
          <cell r="A1610" t="str">
            <v>Baymont Inn &amp; Suites</v>
          </cell>
          <cell r="B1610">
            <v>470</v>
          </cell>
        </row>
        <row r="1611">
          <cell r="A1611" t="str">
            <v>Berg Hospitality Group</v>
          </cell>
          <cell r="B1611">
            <v>471</v>
          </cell>
        </row>
        <row r="1612">
          <cell r="A1612" t="str">
            <v>Avena, Inc.</v>
          </cell>
          <cell r="B1612">
            <v>466</v>
          </cell>
        </row>
        <row r="1613">
          <cell r="A1613" t="str">
            <v>B.N.T. Tile, Inc.</v>
          </cell>
          <cell r="B1613">
            <v>467</v>
          </cell>
        </row>
        <row r="1614">
          <cell r="A1614" t="str">
            <v>Baker Mitchell Co</v>
          </cell>
          <cell r="B1614">
            <v>468</v>
          </cell>
        </row>
        <row r="1615">
          <cell r="A1615" t="str">
            <v>Atlantic Hotels Group</v>
          </cell>
          <cell r="B1615">
            <v>463</v>
          </cell>
        </row>
        <row r="1616">
          <cell r="A1616" t="str">
            <v>Autograph Maya-PS</v>
          </cell>
          <cell r="B1616">
            <v>464</v>
          </cell>
        </row>
        <row r="1617">
          <cell r="A1617" t="str">
            <v>Avedesh Residence</v>
          </cell>
          <cell r="B1617">
            <v>465</v>
          </cell>
        </row>
        <row r="1618">
          <cell r="A1618" t="str">
            <v>Ashok Patel</v>
          </cell>
          <cell r="B1618">
            <v>461</v>
          </cell>
        </row>
        <row r="1619">
          <cell r="A1619" t="str">
            <v>Athena Hospitality Group</v>
          </cell>
          <cell r="B1619">
            <v>462</v>
          </cell>
        </row>
        <row r="1620">
          <cell r="A1620" t="str">
            <v>Arjun Demla</v>
          </cell>
          <cell r="B1620">
            <v>458</v>
          </cell>
        </row>
        <row r="1621">
          <cell r="A1621" t="str">
            <v>Ascent Hospitality Management Co</v>
          </cell>
          <cell r="B1621">
            <v>459</v>
          </cell>
        </row>
        <row r="1622">
          <cell r="A1622" t="str">
            <v>Ashita Patel</v>
          </cell>
          <cell r="B1622">
            <v>460</v>
          </cell>
        </row>
        <row r="1623">
          <cell r="A1623" t="str">
            <v>Arbor Hotel and Conference Center</v>
          </cell>
          <cell r="B1623">
            <v>455</v>
          </cell>
        </row>
        <row r="1624">
          <cell r="A1624" t="str">
            <v>Architectural Floors</v>
          </cell>
          <cell r="B1624">
            <v>456</v>
          </cell>
        </row>
        <row r="1625">
          <cell r="A1625" t="str">
            <v>Arciero &amp; Sons</v>
          </cell>
          <cell r="B1625">
            <v>457</v>
          </cell>
        </row>
        <row r="1626">
          <cell r="A1626" t="str">
            <v>Apex Imaging Services</v>
          </cell>
          <cell r="B1626">
            <v>452</v>
          </cell>
        </row>
        <row r="1627">
          <cell r="A1627" t="str">
            <v>Apple Investments LLC</v>
          </cell>
          <cell r="B1627">
            <v>453</v>
          </cell>
        </row>
        <row r="1628">
          <cell r="A1628" t="str">
            <v>Aquaterra Outdoors</v>
          </cell>
          <cell r="B1628">
            <v>454</v>
          </cell>
        </row>
        <row r="1629">
          <cell r="A1629" t="str">
            <v>Anjali Construction</v>
          </cell>
          <cell r="B1629">
            <v>450</v>
          </cell>
        </row>
        <row r="1630">
          <cell r="A1630" t="str">
            <v>Anuj Chaudhry</v>
          </cell>
          <cell r="B1630">
            <v>451</v>
          </cell>
        </row>
        <row r="1631">
          <cell r="A1631" t="str">
            <v>Andrew Blatch</v>
          </cell>
          <cell r="B1631">
            <v>447</v>
          </cell>
        </row>
        <row r="1632">
          <cell r="A1632" t="str">
            <v>Andrzej Bryja</v>
          </cell>
          <cell r="B1632">
            <v>448</v>
          </cell>
        </row>
        <row r="1633">
          <cell r="A1633" t="str">
            <v>Angles Contractor, Inc.</v>
          </cell>
          <cell r="B1633">
            <v>449</v>
          </cell>
        </row>
        <row r="1634">
          <cell r="A1634" t="str">
            <v>Amir Zegar</v>
          </cell>
          <cell r="B1634">
            <v>445</v>
          </cell>
        </row>
        <row r="1635">
          <cell r="A1635" t="str">
            <v>Anar Construction Specialists LLC</v>
          </cell>
          <cell r="B1635">
            <v>446</v>
          </cell>
        </row>
        <row r="1636">
          <cell r="A1636" t="str">
            <v>All Clean Houston</v>
          </cell>
          <cell r="B1636">
            <v>442</v>
          </cell>
        </row>
        <row r="1637">
          <cell r="A1637" t="str">
            <v>Aman Dhilon</v>
          </cell>
          <cell r="B1637">
            <v>443</v>
          </cell>
        </row>
        <row r="1638">
          <cell r="A1638" t="str">
            <v>American Pride Hotel LLC</v>
          </cell>
          <cell r="B1638">
            <v>444</v>
          </cell>
        </row>
        <row r="1639">
          <cell r="A1639" t="str">
            <v>AFP 103 Corp</v>
          </cell>
          <cell r="B1639">
            <v>440</v>
          </cell>
        </row>
        <row r="1640">
          <cell r="A1640" t="str">
            <v>AJA Investments LLC</v>
          </cell>
          <cell r="B1640">
            <v>441</v>
          </cell>
        </row>
        <row r="1641">
          <cell r="A1641" t="str">
            <v>Adanac Builders</v>
          </cell>
          <cell r="B1641">
            <v>437</v>
          </cell>
        </row>
        <row r="1642">
          <cell r="A1642" t="str">
            <v>Aelius Management Group</v>
          </cell>
          <cell r="B1642">
            <v>438</v>
          </cell>
        </row>
        <row r="1643">
          <cell r="A1643" t="str">
            <v>Aesthetic Avenue Inc</v>
          </cell>
          <cell r="B1643">
            <v>439</v>
          </cell>
        </row>
        <row r="1644">
          <cell r="A1644" t="str">
            <v>ACK Enterprises Limited</v>
          </cell>
          <cell r="B1644">
            <v>435</v>
          </cell>
        </row>
        <row r="1645">
          <cell r="A1645" t="str">
            <v>ACS Flooring Group Inc.</v>
          </cell>
          <cell r="B1645">
            <v>436</v>
          </cell>
        </row>
        <row r="1646">
          <cell r="A1646" t="str">
            <v>AAA Hotel Company</v>
          </cell>
          <cell r="B1646">
            <v>433</v>
          </cell>
        </row>
        <row r="1647">
          <cell r="A1647" t="str">
            <v>Abercrombie Custom Homes, L.P.</v>
          </cell>
          <cell r="B1647">
            <v>434</v>
          </cell>
        </row>
        <row r="1648">
          <cell r="A1648" t="str">
            <v>A1 Hospitality</v>
          </cell>
          <cell r="B1648">
            <v>432</v>
          </cell>
        </row>
        <row r="1649">
          <cell r="A1649" t="str">
            <v>101 Glass, LLC.</v>
          </cell>
          <cell r="B1649">
            <v>431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3" Type="http://schemas.openxmlformats.org/officeDocument/2006/relationships/hyperlink" Target="https://9607261.app.netsuite.com/app/reporting/reportrunner.nl?fromreport=320&amp;regtx,tranline,kacct,x,alltranline5,IN,x,x=950&amp;cr=293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8" Type="http://schemas.openxmlformats.org/officeDocument/2006/relationships/hyperlink" Target="https://9607261.app.netsuite.com/app/reporting/reportrunner.nl?fromreport=320&amp;regtx,tranline,kacct,x,alltranline5,IN,x,x=950&amp;cr=293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8" Type="http://schemas.openxmlformats.org/officeDocument/2006/relationships/hyperlink" Target="https://9607261.app.netsuite.com/app/reporting/reportrunner.nl?fromreport=320&amp;regtx,tranline,kacct,x,alltranline5,IN,x,x=950&amp;cr=29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5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3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5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3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7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01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2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26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47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68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89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12" Type="http://schemas.openxmlformats.org/officeDocument/2006/relationships/hyperlink" Target="https://9607261.app.netsuite.com/app/reporting/reportrunner.nl?fromreport=320&amp;regtx,tranline,kacct,x,alltranline5,IN,x,x=950&amp;cr=293" TargetMode="External"/><Relationship Id="rId133" Type="http://schemas.openxmlformats.org/officeDocument/2006/relationships/hyperlink" Target="https://9607261.app.netsuite.com/app/reporting/reportrunner.nl?fromreport=320&amp;regtx,tranline,kacct,x,alltranline5,IN,x,x=950&amp;cr=2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F919-CDBA-4450-B703-D8094A584ED3}">
  <dimension ref="A1:P284"/>
  <sheetViews>
    <sheetView topLeftCell="A4" workbookViewId="0">
      <selection activeCell="A4" sqref="A1:XFD1048576"/>
    </sheetView>
  </sheetViews>
  <sheetFormatPr defaultColWidth="9.6328125" defaultRowHeight="14.5" x14ac:dyDescent="0.35"/>
  <cols>
    <col min="1" max="1" width="33.7265625" style="1" customWidth="1"/>
    <col min="2" max="2" width="30.7265625" style="1" customWidth="1"/>
    <col min="3" max="3" width="10.7265625" style="1" customWidth="1"/>
    <col min="4" max="4" width="9.6328125" style="1"/>
    <col min="5" max="5" width="39.26953125" style="1" customWidth="1"/>
    <col min="6" max="6" width="26.1796875" style="1" bestFit="1" customWidth="1"/>
    <col min="7" max="8" width="14.26953125" style="1" customWidth="1"/>
    <col min="9" max="9" width="12.453125" style="1" bestFit="1" customWidth="1"/>
    <col min="10" max="14" width="9.6328125" style="1"/>
    <col min="15" max="15" width="32" style="21" customWidth="1"/>
    <col min="16" max="16384" width="9.6328125" style="1"/>
  </cols>
  <sheetData>
    <row r="1" spans="1:16" x14ac:dyDescent="0.35">
      <c r="G1" s="2">
        <f>SUM(G5:G284)</f>
        <v>3650759.9699999993</v>
      </c>
      <c r="H1" s="2">
        <f>SUM(H5:H284)</f>
        <v>3650759.9699999993</v>
      </c>
      <c r="O1" s="3" t="s">
        <v>0</v>
      </c>
    </row>
    <row r="2" spans="1:16" ht="38.5" customHeight="1" x14ac:dyDescent="0.35">
      <c r="A2" s="4" t="s">
        <v>1</v>
      </c>
      <c r="B2" s="4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7" t="s">
        <v>7</v>
      </c>
      <c r="M2" s="1" t="s">
        <v>8</v>
      </c>
      <c r="O2" s="8" t="s">
        <v>9</v>
      </c>
      <c r="P2" s="1" t="s">
        <v>10</v>
      </c>
    </row>
    <row r="3" spans="1:16" ht="44" customHeight="1" x14ac:dyDescent="0.35">
      <c r="A3" s="4" t="s">
        <v>11</v>
      </c>
      <c r="B3" s="4" t="s">
        <v>12</v>
      </c>
      <c r="C3" s="5"/>
      <c r="D3" s="6"/>
      <c r="E3" s="5"/>
      <c r="F3" s="5"/>
      <c r="G3" s="7"/>
      <c r="O3" s="8" t="s">
        <v>13</v>
      </c>
      <c r="P3" s="1" t="s">
        <v>14</v>
      </c>
    </row>
    <row r="4" spans="1:16" ht="55.5" customHeight="1" x14ac:dyDescent="0.35">
      <c r="A4" s="4"/>
      <c r="B4" s="4"/>
      <c r="C4" s="5"/>
      <c r="D4" s="6"/>
      <c r="E4" s="5"/>
      <c r="F4" s="5"/>
      <c r="G4" s="7"/>
      <c r="O4" s="8" t="s">
        <v>15</v>
      </c>
      <c r="P4" s="1" t="s">
        <v>16</v>
      </c>
    </row>
    <row r="5" spans="1:16" ht="14.4" customHeight="1" x14ac:dyDescent="0.35">
      <c r="A5" s="9" t="s">
        <v>17</v>
      </c>
      <c r="B5" s="10"/>
      <c r="C5" s="10">
        <v>45839</v>
      </c>
      <c r="D5" s="11">
        <v>31647</v>
      </c>
      <c r="E5" s="11" t="s">
        <v>18</v>
      </c>
      <c r="F5" s="11" t="s">
        <v>19</v>
      </c>
      <c r="G5" s="12">
        <v>108.3</v>
      </c>
      <c r="H5" s="13"/>
      <c r="O5" s="8" t="s">
        <v>20</v>
      </c>
      <c r="P5" s="1" t="s">
        <v>21</v>
      </c>
    </row>
    <row r="6" spans="1:16" ht="14.4" customHeight="1" x14ac:dyDescent="0.35">
      <c r="A6" s="14"/>
      <c r="B6" s="15" t="s">
        <v>22</v>
      </c>
      <c r="C6" s="15">
        <v>45839</v>
      </c>
      <c r="D6" s="16">
        <v>31647</v>
      </c>
      <c r="E6" s="16" t="s">
        <v>18</v>
      </c>
      <c r="F6" s="16" t="s">
        <v>19</v>
      </c>
      <c r="G6" s="17"/>
      <c r="H6" s="18">
        <f>G5</f>
        <v>108.3</v>
      </c>
      <c r="O6" s="8" t="s">
        <v>23</v>
      </c>
      <c r="P6" s="1" t="s">
        <v>24</v>
      </c>
    </row>
    <row r="7" spans="1:16" x14ac:dyDescent="0.35">
      <c r="A7" s="19" t="s">
        <v>17</v>
      </c>
      <c r="B7" s="19"/>
      <c r="C7" s="19">
        <v>45839</v>
      </c>
      <c r="D7" s="1" t="s">
        <v>25</v>
      </c>
      <c r="E7" s="1" t="s">
        <v>26</v>
      </c>
      <c r="F7" s="1" t="s">
        <v>19</v>
      </c>
      <c r="G7" s="20">
        <v>1382.35</v>
      </c>
      <c r="K7" s="1" t="s">
        <v>27</v>
      </c>
      <c r="L7" s="1" t="s">
        <v>28</v>
      </c>
      <c r="M7" s="1" t="str">
        <f>_xlfn.CONCAT(K7:L7)</f>
        <v>Marriott - Hwy 6 ppty</v>
      </c>
    </row>
    <row r="8" spans="1:16" x14ac:dyDescent="0.35">
      <c r="A8" s="19" t="s">
        <v>17</v>
      </c>
      <c r="B8" s="19"/>
      <c r="C8" s="19">
        <v>45839</v>
      </c>
      <c r="D8" s="1">
        <v>33555</v>
      </c>
      <c r="E8" s="1" t="s">
        <v>29</v>
      </c>
      <c r="F8" s="1" t="s">
        <v>19</v>
      </c>
      <c r="G8" s="20">
        <v>15931.58</v>
      </c>
      <c r="K8" s="1" t="s">
        <v>30</v>
      </c>
      <c r="M8" s="1" t="s">
        <v>31</v>
      </c>
    </row>
    <row r="9" spans="1:16" x14ac:dyDescent="0.35">
      <c r="A9" s="19" t="s">
        <v>17</v>
      </c>
      <c r="B9" s="19"/>
      <c r="C9" s="19">
        <v>45839</v>
      </c>
      <c r="D9" s="1" t="s">
        <v>32</v>
      </c>
      <c r="E9" s="1" t="s">
        <v>33</v>
      </c>
      <c r="F9" s="1" t="s">
        <v>19</v>
      </c>
      <c r="G9" s="20">
        <v>1222</v>
      </c>
      <c r="O9" s="21" t="s">
        <v>34</v>
      </c>
    </row>
    <row r="10" spans="1:16" x14ac:dyDescent="0.35">
      <c r="A10" s="19" t="s">
        <v>17</v>
      </c>
      <c r="B10" s="19"/>
      <c r="C10" s="19">
        <v>45839</v>
      </c>
      <c r="D10" s="1" t="s">
        <v>35</v>
      </c>
      <c r="E10" s="1" t="s">
        <v>36</v>
      </c>
      <c r="F10" s="1" t="s">
        <v>19</v>
      </c>
      <c r="G10" s="20">
        <v>0</v>
      </c>
      <c r="O10" s="22">
        <f>SUM(G5:G115)</f>
        <v>3404845.1499999994</v>
      </c>
      <c r="P10" s="23" t="s">
        <v>37</v>
      </c>
    </row>
    <row r="11" spans="1:16" x14ac:dyDescent="0.35">
      <c r="A11" s="19" t="s">
        <v>17</v>
      </c>
      <c r="B11" s="19"/>
      <c r="C11" s="19">
        <v>45839</v>
      </c>
      <c r="D11" s="1">
        <v>33984</v>
      </c>
      <c r="E11" s="1" t="s">
        <v>18</v>
      </c>
      <c r="F11" s="1" t="s">
        <v>19</v>
      </c>
      <c r="G11" s="20">
        <v>0</v>
      </c>
      <c r="O11" s="24">
        <f>SUM(G116:G140)</f>
        <v>178331.90999999995</v>
      </c>
      <c r="P11" s="23" t="s">
        <v>38</v>
      </c>
    </row>
    <row r="12" spans="1:16" x14ac:dyDescent="0.35">
      <c r="A12" s="19" t="s">
        <v>17</v>
      </c>
      <c r="B12" s="19"/>
      <c r="C12" s="19">
        <v>45839</v>
      </c>
      <c r="D12" s="1">
        <v>34076</v>
      </c>
      <c r="E12" s="1" t="s">
        <v>39</v>
      </c>
      <c r="F12" s="1" t="s">
        <v>19</v>
      </c>
      <c r="G12" s="20">
        <v>0</v>
      </c>
      <c r="O12" s="24">
        <f>SUM(G141:G145)</f>
        <v>67582.91</v>
      </c>
      <c r="P12" s="23" t="s">
        <v>40</v>
      </c>
    </row>
    <row r="13" spans="1:16" x14ac:dyDescent="0.35">
      <c r="A13" s="19" t="s">
        <v>17</v>
      </c>
      <c r="B13" s="19"/>
      <c r="C13" s="19">
        <v>45839</v>
      </c>
      <c r="D13" s="1" t="s">
        <v>41</v>
      </c>
      <c r="E13" s="1" t="s">
        <v>26</v>
      </c>
      <c r="F13" s="1" t="s">
        <v>19</v>
      </c>
      <c r="G13" s="20">
        <v>0</v>
      </c>
      <c r="O13" s="22">
        <f>SUM(O10:O12)</f>
        <v>3650759.9699999997</v>
      </c>
      <c r="P13" s="23" t="s">
        <v>42</v>
      </c>
    </row>
    <row r="14" spans="1:16" x14ac:dyDescent="0.35">
      <c r="A14" s="19" t="s">
        <v>17</v>
      </c>
      <c r="B14" s="19"/>
      <c r="C14" s="19">
        <v>45839</v>
      </c>
      <c r="D14" s="1" t="s">
        <v>43</v>
      </c>
      <c r="E14" s="1" t="s">
        <v>44</v>
      </c>
      <c r="F14" s="1" t="s">
        <v>19</v>
      </c>
      <c r="G14" s="20">
        <v>545</v>
      </c>
      <c r="O14" s="25" t="s">
        <v>45</v>
      </c>
      <c r="P14" s="26"/>
    </row>
    <row r="15" spans="1:16" x14ac:dyDescent="0.35">
      <c r="A15" s="19" t="s">
        <v>17</v>
      </c>
      <c r="B15" s="19"/>
      <c r="C15" s="19">
        <v>45839</v>
      </c>
      <c r="D15" s="1" t="s">
        <v>46</v>
      </c>
      <c r="E15" s="1" t="s">
        <v>47</v>
      </c>
      <c r="F15" s="1" t="s">
        <v>19</v>
      </c>
      <c r="G15" s="20">
        <v>453.12</v>
      </c>
      <c r="O15" s="27"/>
    </row>
    <row r="16" spans="1:16" x14ac:dyDescent="0.35">
      <c r="A16" s="19" t="s">
        <v>17</v>
      </c>
      <c r="B16" s="19"/>
      <c r="C16" s="19">
        <v>45839</v>
      </c>
      <c r="D16" s="1">
        <v>34967</v>
      </c>
      <c r="E16" s="1" t="s">
        <v>48</v>
      </c>
      <c r="F16" s="1" t="s">
        <v>19</v>
      </c>
      <c r="G16" s="20">
        <v>3736.32</v>
      </c>
    </row>
    <row r="17" spans="1:7" x14ac:dyDescent="0.35">
      <c r="A17" s="19" t="s">
        <v>17</v>
      </c>
      <c r="B17" s="19"/>
      <c r="C17" s="19">
        <v>45839</v>
      </c>
      <c r="D17" s="1">
        <v>35518</v>
      </c>
      <c r="E17" s="1" t="s">
        <v>49</v>
      </c>
      <c r="F17" s="1" t="s">
        <v>19</v>
      </c>
      <c r="G17" s="20">
        <v>35954.480000000003</v>
      </c>
    </row>
    <row r="18" spans="1:7" x14ac:dyDescent="0.35">
      <c r="A18" s="19" t="s">
        <v>17</v>
      </c>
      <c r="B18" s="19"/>
      <c r="C18" s="19">
        <v>45839</v>
      </c>
      <c r="D18" s="1">
        <v>36158</v>
      </c>
      <c r="E18" s="1" t="s">
        <v>50</v>
      </c>
      <c r="F18" s="1" t="s">
        <v>19</v>
      </c>
      <c r="G18" s="20">
        <v>0</v>
      </c>
    </row>
    <row r="19" spans="1:7" x14ac:dyDescent="0.35">
      <c r="A19" s="19" t="s">
        <v>17</v>
      </c>
      <c r="B19" s="19"/>
      <c r="C19" s="19">
        <v>45839</v>
      </c>
      <c r="D19" s="1" t="s">
        <v>51</v>
      </c>
      <c r="E19" s="1" t="s">
        <v>50</v>
      </c>
      <c r="F19" s="1" t="s">
        <v>19</v>
      </c>
      <c r="G19" s="20">
        <v>0</v>
      </c>
    </row>
    <row r="20" spans="1:7" x14ac:dyDescent="0.35">
      <c r="A20" s="19" t="s">
        <v>17</v>
      </c>
      <c r="B20" s="19"/>
      <c r="C20" s="19">
        <v>45839</v>
      </c>
      <c r="D20" s="1">
        <v>36221</v>
      </c>
      <c r="E20" s="1" t="s">
        <v>52</v>
      </c>
      <c r="F20" s="1" t="s">
        <v>19</v>
      </c>
      <c r="G20" s="20">
        <v>0</v>
      </c>
    </row>
    <row r="21" spans="1:7" x14ac:dyDescent="0.35">
      <c r="A21" s="19" t="s">
        <v>17</v>
      </c>
      <c r="B21" s="19"/>
      <c r="C21" s="19">
        <v>45839</v>
      </c>
      <c r="D21" s="1">
        <v>37217</v>
      </c>
      <c r="E21" s="1" t="s">
        <v>53</v>
      </c>
      <c r="F21" s="1" t="s">
        <v>19</v>
      </c>
      <c r="G21" s="20">
        <v>100</v>
      </c>
    </row>
    <row r="22" spans="1:7" x14ac:dyDescent="0.35">
      <c r="A22" s="19" t="s">
        <v>17</v>
      </c>
      <c r="B22" s="19"/>
      <c r="C22" s="19">
        <v>45839</v>
      </c>
      <c r="D22" s="1" t="s">
        <v>54</v>
      </c>
      <c r="E22" s="1" t="s">
        <v>55</v>
      </c>
      <c r="F22" s="1" t="s">
        <v>19</v>
      </c>
      <c r="G22" s="20">
        <v>30424.629999999997</v>
      </c>
    </row>
    <row r="23" spans="1:7" x14ac:dyDescent="0.35">
      <c r="A23" s="19" t="s">
        <v>17</v>
      </c>
      <c r="B23" s="19"/>
      <c r="C23" s="19">
        <v>45839</v>
      </c>
      <c r="D23" s="1" t="s">
        <v>56</v>
      </c>
      <c r="E23" s="1" t="s">
        <v>57</v>
      </c>
      <c r="F23" s="1" t="s">
        <v>19</v>
      </c>
      <c r="G23" s="20">
        <v>2591.0499999999997</v>
      </c>
    </row>
    <row r="24" spans="1:7" x14ac:dyDescent="0.35">
      <c r="A24" s="19" t="s">
        <v>17</v>
      </c>
      <c r="B24" s="19"/>
      <c r="C24" s="19">
        <v>45839</v>
      </c>
      <c r="D24" s="1" t="s">
        <v>58</v>
      </c>
      <c r="E24" s="1" t="s">
        <v>59</v>
      </c>
      <c r="F24" s="1" t="s">
        <v>19</v>
      </c>
      <c r="G24" s="20">
        <v>7846.31</v>
      </c>
    </row>
    <row r="25" spans="1:7" x14ac:dyDescent="0.35">
      <c r="A25" s="19" t="s">
        <v>17</v>
      </c>
      <c r="B25" s="19"/>
      <c r="C25" s="19">
        <v>45839</v>
      </c>
      <c r="D25" s="1">
        <v>38130</v>
      </c>
      <c r="E25" s="1" t="s">
        <v>60</v>
      </c>
      <c r="F25" s="1" t="s">
        <v>19</v>
      </c>
      <c r="G25" s="20">
        <v>1166.8499999999999</v>
      </c>
    </row>
    <row r="26" spans="1:7" x14ac:dyDescent="0.35">
      <c r="A26" s="19" t="s">
        <v>17</v>
      </c>
      <c r="B26" s="19"/>
      <c r="C26" s="19">
        <v>45845</v>
      </c>
      <c r="D26" s="1" t="s">
        <v>61</v>
      </c>
      <c r="E26" s="1" t="s">
        <v>55</v>
      </c>
      <c r="F26" s="1" t="s">
        <v>19</v>
      </c>
      <c r="G26" s="20">
        <v>6661.5300000000007</v>
      </c>
    </row>
    <row r="27" spans="1:7" x14ac:dyDescent="0.35">
      <c r="A27" s="19" t="s">
        <v>17</v>
      </c>
      <c r="B27" s="19"/>
      <c r="C27" s="19">
        <v>45845</v>
      </c>
      <c r="D27" s="1">
        <v>35807</v>
      </c>
      <c r="E27" s="1" t="s">
        <v>55</v>
      </c>
      <c r="F27" s="1" t="s">
        <v>19</v>
      </c>
      <c r="G27" s="20">
        <v>3871.21</v>
      </c>
    </row>
    <row r="28" spans="1:7" x14ac:dyDescent="0.35">
      <c r="A28" s="19" t="s">
        <v>17</v>
      </c>
      <c r="B28" s="19"/>
      <c r="C28" s="19">
        <v>45845</v>
      </c>
      <c r="D28" s="1">
        <v>35808</v>
      </c>
      <c r="E28" s="1" t="s">
        <v>55</v>
      </c>
      <c r="F28" s="1" t="s">
        <v>19</v>
      </c>
      <c r="G28" s="20">
        <v>10157.980000000001</v>
      </c>
    </row>
    <row r="29" spans="1:7" x14ac:dyDescent="0.35">
      <c r="A29" s="19" t="s">
        <v>17</v>
      </c>
      <c r="B29" s="19"/>
      <c r="C29" s="19">
        <v>45845</v>
      </c>
      <c r="D29" s="1">
        <v>35812</v>
      </c>
      <c r="E29" s="1" t="s">
        <v>55</v>
      </c>
      <c r="F29" s="1" t="s">
        <v>19</v>
      </c>
      <c r="G29" s="20">
        <v>34749.29</v>
      </c>
    </row>
    <row r="30" spans="1:7" x14ac:dyDescent="0.35">
      <c r="A30" s="19" t="s">
        <v>17</v>
      </c>
      <c r="B30" s="19"/>
      <c r="C30" s="19">
        <v>45845</v>
      </c>
      <c r="D30" s="1" t="s">
        <v>62</v>
      </c>
      <c r="E30" s="1" t="s">
        <v>55</v>
      </c>
      <c r="F30" s="1" t="s">
        <v>19</v>
      </c>
      <c r="G30" s="20">
        <v>419.36</v>
      </c>
    </row>
    <row r="31" spans="1:7" x14ac:dyDescent="0.35">
      <c r="A31" s="19" t="s">
        <v>17</v>
      </c>
      <c r="B31" s="19"/>
      <c r="C31" s="19">
        <v>45845</v>
      </c>
      <c r="D31" s="1" t="s">
        <v>63</v>
      </c>
      <c r="E31" s="1" t="s">
        <v>64</v>
      </c>
      <c r="F31" s="1" t="s">
        <v>19</v>
      </c>
      <c r="G31" s="20">
        <v>4176.01</v>
      </c>
    </row>
    <row r="32" spans="1:7" x14ac:dyDescent="0.35">
      <c r="A32" s="19" t="s">
        <v>17</v>
      </c>
      <c r="B32" s="19"/>
      <c r="C32" s="19">
        <v>45845</v>
      </c>
      <c r="D32" s="1" t="s">
        <v>65</v>
      </c>
      <c r="E32" s="1" t="s">
        <v>66</v>
      </c>
      <c r="F32" s="1" t="s">
        <v>19</v>
      </c>
      <c r="G32" s="20">
        <v>194.28</v>
      </c>
    </row>
    <row r="33" spans="1:7" x14ac:dyDescent="0.35">
      <c r="A33" s="19" t="s">
        <v>17</v>
      </c>
      <c r="B33" s="19"/>
      <c r="C33" s="19">
        <v>45845</v>
      </c>
      <c r="D33" s="1" t="s">
        <v>67</v>
      </c>
      <c r="E33" s="1" t="s">
        <v>66</v>
      </c>
      <c r="F33" s="1" t="s">
        <v>19</v>
      </c>
      <c r="G33" s="20">
        <v>0</v>
      </c>
    </row>
    <row r="34" spans="1:7" x14ac:dyDescent="0.35">
      <c r="A34" s="19" t="s">
        <v>17</v>
      </c>
      <c r="B34" s="19"/>
      <c r="C34" s="19">
        <v>45845</v>
      </c>
      <c r="D34" s="1" t="s">
        <v>68</v>
      </c>
      <c r="E34" s="1" t="s">
        <v>66</v>
      </c>
      <c r="F34" s="1" t="s">
        <v>19</v>
      </c>
      <c r="G34" s="20">
        <v>0</v>
      </c>
    </row>
    <row r="35" spans="1:7" x14ac:dyDescent="0.35">
      <c r="A35" s="19" t="s">
        <v>17</v>
      </c>
      <c r="B35" s="19"/>
      <c r="C35" s="19">
        <v>45845</v>
      </c>
      <c r="D35" s="1" t="s">
        <v>69</v>
      </c>
      <c r="E35" s="1" t="s">
        <v>66</v>
      </c>
      <c r="F35" s="1" t="s">
        <v>19</v>
      </c>
      <c r="G35" s="20">
        <v>4894.38</v>
      </c>
    </row>
    <row r="36" spans="1:7" x14ac:dyDescent="0.35">
      <c r="A36" s="19" t="s">
        <v>17</v>
      </c>
      <c r="B36" s="19"/>
      <c r="C36" s="19">
        <v>45845</v>
      </c>
      <c r="D36" s="1">
        <v>38738</v>
      </c>
      <c r="E36" s="1" t="s">
        <v>66</v>
      </c>
      <c r="F36" s="1" t="s">
        <v>19</v>
      </c>
      <c r="G36" s="20">
        <v>0</v>
      </c>
    </row>
    <row r="37" spans="1:7" x14ac:dyDescent="0.35">
      <c r="A37" s="19" t="s">
        <v>17</v>
      </c>
      <c r="B37" s="19"/>
      <c r="C37" s="19">
        <v>45846</v>
      </c>
      <c r="D37" s="1">
        <v>38187</v>
      </c>
      <c r="E37" s="1" t="s">
        <v>70</v>
      </c>
      <c r="F37" s="1" t="s">
        <v>19</v>
      </c>
      <c r="G37" s="20">
        <v>10341.06</v>
      </c>
    </row>
    <row r="38" spans="1:7" x14ac:dyDescent="0.35">
      <c r="A38" s="19" t="s">
        <v>17</v>
      </c>
      <c r="B38" s="19"/>
      <c r="C38" s="19">
        <v>45846</v>
      </c>
      <c r="D38" s="1">
        <v>38196</v>
      </c>
      <c r="E38" s="1" t="s">
        <v>70</v>
      </c>
      <c r="F38" s="1" t="s">
        <v>19</v>
      </c>
      <c r="G38" s="20">
        <v>22465.59</v>
      </c>
    </row>
    <row r="39" spans="1:7" x14ac:dyDescent="0.35">
      <c r="A39" s="19" t="s">
        <v>17</v>
      </c>
      <c r="B39" s="19"/>
      <c r="C39" s="19">
        <v>45846</v>
      </c>
      <c r="D39" s="1" t="s">
        <v>71</v>
      </c>
      <c r="E39" s="1" t="s">
        <v>66</v>
      </c>
      <c r="F39" s="1" t="s">
        <v>19</v>
      </c>
      <c r="G39" s="20">
        <v>6359.54</v>
      </c>
    </row>
    <row r="40" spans="1:7" x14ac:dyDescent="0.35">
      <c r="A40" s="19" t="s">
        <v>17</v>
      </c>
      <c r="B40" s="19"/>
      <c r="C40" s="19">
        <v>45846</v>
      </c>
      <c r="D40" s="1">
        <v>38396</v>
      </c>
      <c r="E40" s="1" t="s">
        <v>66</v>
      </c>
      <c r="F40" s="1" t="s">
        <v>19</v>
      </c>
      <c r="G40" s="20">
        <v>851.45</v>
      </c>
    </row>
    <row r="41" spans="1:7" x14ac:dyDescent="0.35">
      <c r="A41" s="19" t="s">
        <v>17</v>
      </c>
      <c r="B41" s="19"/>
      <c r="C41" s="19">
        <v>45846</v>
      </c>
      <c r="D41" s="1">
        <v>38637</v>
      </c>
      <c r="E41" s="1" t="s">
        <v>64</v>
      </c>
      <c r="F41" s="1" t="s">
        <v>19</v>
      </c>
      <c r="G41" s="20">
        <v>24916.34</v>
      </c>
    </row>
    <row r="42" spans="1:7" x14ac:dyDescent="0.35">
      <c r="A42" s="19" t="s">
        <v>17</v>
      </c>
      <c r="B42" s="19"/>
      <c r="C42" s="19">
        <v>45847</v>
      </c>
      <c r="D42" s="1" t="s">
        <v>72</v>
      </c>
      <c r="E42" s="1" t="s">
        <v>55</v>
      </c>
      <c r="F42" s="1" t="s">
        <v>19</v>
      </c>
      <c r="G42" s="20">
        <v>60472.409999999996</v>
      </c>
    </row>
    <row r="43" spans="1:7" x14ac:dyDescent="0.35">
      <c r="A43" s="19" t="s">
        <v>17</v>
      </c>
      <c r="B43" s="19"/>
      <c r="C43" s="19">
        <v>45847</v>
      </c>
      <c r="D43" s="1" t="s">
        <v>73</v>
      </c>
      <c r="E43" s="1" t="s">
        <v>55</v>
      </c>
      <c r="F43" s="1" t="s">
        <v>19</v>
      </c>
      <c r="G43" s="20">
        <v>56713.200000000004</v>
      </c>
    </row>
    <row r="44" spans="1:7" x14ac:dyDescent="0.35">
      <c r="A44" s="19" t="s">
        <v>17</v>
      </c>
      <c r="B44" s="19"/>
      <c r="C44" s="19">
        <v>45847</v>
      </c>
      <c r="D44" s="1" t="s">
        <v>74</v>
      </c>
      <c r="E44" s="1" t="s">
        <v>75</v>
      </c>
      <c r="F44" s="1" t="s">
        <v>19</v>
      </c>
      <c r="G44" s="20">
        <v>210339.71</v>
      </c>
    </row>
    <row r="45" spans="1:7" x14ac:dyDescent="0.35">
      <c r="A45" s="19" t="s">
        <v>17</v>
      </c>
      <c r="B45" s="19"/>
      <c r="C45" s="19">
        <v>45847</v>
      </c>
      <c r="D45" s="1" t="s">
        <v>76</v>
      </c>
      <c r="E45" s="1" t="s">
        <v>75</v>
      </c>
      <c r="F45" s="1" t="s">
        <v>19</v>
      </c>
      <c r="G45" s="20">
        <v>0</v>
      </c>
    </row>
    <row r="46" spans="1:7" x14ac:dyDescent="0.35">
      <c r="A46" s="19" t="s">
        <v>17</v>
      </c>
      <c r="B46" s="19"/>
      <c r="C46" s="19">
        <v>45848</v>
      </c>
      <c r="D46" s="1" t="s">
        <v>77</v>
      </c>
      <c r="E46" s="1" t="s">
        <v>78</v>
      </c>
      <c r="F46" s="1" t="s">
        <v>19</v>
      </c>
      <c r="G46" s="20">
        <v>1407.79</v>
      </c>
    </row>
    <row r="47" spans="1:7" x14ac:dyDescent="0.35">
      <c r="A47" s="19" t="s">
        <v>17</v>
      </c>
      <c r="B47" s="19"/>
      <c r="C47" s="19">
        <v>45849</v>
      </c>
      <c r="D47" s="1" t="s">
        <v>79</v>
      </c>
      <c r="E47" s="1" t="s">
        <v>80</v>
      </c>
      <c r="F47" s="1" t="s">
        <v>19</v>
      </c>
      <c r="G47" s="20">
        <v>0</v>
      </c>
    </row>
    <row r="48" spans="1:7" x14ac:dyDescent="0.35">
      <c r="A48" s="19" t="s">
        <v>17</v>
      </c>
      <c r="B48" s="19"/>
      <c r="C48" s="19">
        <v>45849</v>
      </c>
      <c r="D48" s="1" t="s">
        <v>81</v>
      </c>
      <c r="E48" s="1" t="s">
        <v>82</v>
      </c>
      <c r="F48" s="1" t="s">
        <v>19</v>
      </c>
      <c r="G48" s="20">
        <v>8535.0400000000009</v>
      </c>
    </row>
    <row r="49" spans="1:7" x14ac:dyDescent="0.35">
      <c r="A49" s="19" t="s">
        <v>17</v>
      </c>
      <c r="B49" s="19"/>
      <c r="C49" s="19">
        <v>45849</v>
      </c>
      <c r="D49" s="1" t="s">
        <v>83</v>
      </c>
      <c r="E49" s="1" t="s">
        <v>84</v>
      </c>
      <c r="F49" s="1" t="s">
        <v>19</v>
      </c>
      <c r="G49" s="20">
        <v>66357.13</v>
      </c>
    </row>
    <row r="50" spans="1:7" x14ac:dyDescent="0.35">
      <c r="A50" s="19" t="s">
        <v>17</v>
      </c>
      <c r="B50" s="19"/>
      <c r="C50" s="19">
        <v>45849</v>
      </c>
      <c r="D50" s="1" t="s">
        <v>85</v>
      </c>
      <c r="E50" s="1" t="s">
        <v>86</v>
      </c>
      <c r="F50" s="1" t="s">
        <v>19</v>
      </c>
      <c r="G50" s="20">
        <v>2292.5100000000002</v>
      </c>
    </row>
    <row r="51" spans="1:7" x14ac:dyDescent="0.35">
      <c r="A51" s="19" t="s">
        <v>17</v>
      </c>
      <c r="B51" s="19"/>
      <c r="C51" s="19">
        <v>45849</v>
      </c>
      <c r="D51" s="1" t="s">
        <v>87</v>
      </c>
      <c r="E51" s="1" t="s">
        <v>86</v>
      </c>
      <c r="F51" s="1" t="s">
        <v>19</v>
      </c>
      <c r="G51" s="20">
        <v>2334.5100000000002</v>
      </c>
    </row>
    <row r="52" spans="1:7" x14ac:dyDescent="0.35">
      <c r="A52" s="19" t="s">
        <v>17</v>
      </c>
      <c r="B52" s="19"/>
      <c r="C52" s="19">
        <v>45849</v>
      </c>
      <c r="D52" s="1" t="s">
        <v>88</v>
      </c>
      <c r="E52" s="1" t="s">
        <v>86</v>
      </c>
      <c r="F52" s="1" t="s">
        <v>19</v>
      </c>
      <c r="G52" s="20">
        <v>1212</v>
      </c>
    </row>
    <row r="53" spans="1:7" x14ac:dyDescent="0.35">
      <c r="A53" s="19" t="s">
        <v>17</v>
      </c>
      <c r="B53" s="19"/>
      <c r="C53" s="19">
        <v>45849</v>
      </c>
      <c r="D53" s="1" t="s">
        <v>89</v>
      </c>
      <c r="E53" s="1" t="s">
        <v>84</v>
      </c>
      <c r="F53" s="1" t="s">
        <v>19</v>
      </c>
      <c r="G53" s="20">
        <v>0</v>
      </c>
    </row>
    <row r="54" spans="1:7" x14ac:dyDescent="0.35">
      <c r="A54" s="19" t="s">
        <v>17</v>
      </c>
      <c r="B54" s="19"/>
      <c r="C54" s="19">
        <v>45852</v>
      </c>
      <c r="D54" s="1" t="s">
        <v>90</v>
      </c>
      <c r="E54" s="1" t="s">
        <v>91</v>
      </c>
      <c r="F54" s="1" t="s">
        <v>19</v>
      </c>
      <c r="G54" s="20">
        <v>5237.2</v>
      </c>
    </row>
    <row r="55" spans="1:7" x14ac:dyDescent="0.35">
      <c r="A55" s="19" t="s">
        <v>17</v>
      </c>
      <c r="B55" s="19"/>
      <c r="C55" s="19">
        <v>45852</v>
      </c>
      <c r="D55" s="1" t="s">
        <v>92</v>
      </c>
      <c r="E55" s="1" t="s">
        <v>91</v>
      </c>
      <c r="F55" s="1" t="s">
        <v>19</v>
      </c>
      <c r="G55" s="20">
        <v>18562.18</v>
      </c>
    </row>
    <row r="56" spans="1:7" x14ac:dyDescent="0.35">
      <c r="A56" s="19" t="s">
        <v>17</v>
      </c>
      <c r="B56" s="19"/>
      <c r="C56" s="19">
        <v>45852</v>
      </c>
      <c r="D56" s="1" t="s">
        <v>93</v>
      </c>
      <c r="E56" s="1" t="s">
        <v>91</v>
      </c>
      <c r="F56" s="1" t="s">
        <v>19</v>
      </c>
      <c r="G56" s="20">
        <v>359.36</v>
      </c>
    </row>
    <row r="57" spans="1:7" x14ac:dyDescent="0.35">
      <c r="A57" s="19" t="s">
        <v>17</v>
      </c>
      <c r="B57" s="19"/>
      <c r="C57" s="19">
        <v>45852</v>
      </c>
      <c r="D57" s="1" t="s">
        <v>94</v>
      </c>
      <c r="E57" s="1" t="s">
        <v>91</v>
      </c>
      <c r="F57" s="1" t="s">
        <v>19</v>
      </c>
      <c r="G57" s="20">
        <v>15292.17</v>
      </c>
    </row>
    <row r="58" spans="1:7" x14ac:dyDescent="0.35">
      <c r="A58" s="19" t="s">
        <v>17</v>
      </c>
      <c r="B58" s="19"/>
      <c r="C58" s="19">
        <v>45852</v>
      </c>
      <c r="D58" s="1" t="s">
        <v>95</v>
      </c>
      <c r="E58" s="1" t="s">
        <v>91</v>
      </c>
      <c r="F58" s="1" t="s">
        <v>19</v>
      </c>
      <c r="G58" s="20">
        <v>2271.2399999999998</v>
      </c>
    </row>
    <row r="59" spans="1:7" x14ac:dyDescent="0.35">
      <c r="A59" s="19" t="s">
        <v>17</v>
      </c>
      <c r="B59" s="19"/>
      <c r="C59" s="19">
        <v>45852</v>
      </c>
      <c r="D59" s="1" t="s">
        <v>96</v>
      </c>
      <c r="E59" s="1" t="s">
        <v>66</v>
      </c>
      <c r="F59" s="1" t="s">
        <v>19</v>
      </c>
      <c r="G59" s="20">
        <v>132628.29</v>
      </c>
    </row>
    <row r="60" spans="1:7" x14ac:dyDescent="0.35">
      <c r="A60" s="19" t="s">
        <v>17</v>
      </c>
      <c r="B60" s="19"/>
      <c r="C60" s="19">
        <v>45854</v>
      </c>
      <c r="D60" s="1" t="s">
        <v>97</v>
      </c>
      <c r="E60" s="1" t="s">
        <v>66</v>
      </c>
      <c r="F60" s="1" t="s">
        <v>19</v>
      </c>
      <c r="G60" s="20">
        <v>39906.35</v>
      </c>
    </row>
    <row r="61" spans="1:7" x14ac:dyDescent="0.35">
      <c r="A61" s="19" t="s">
        <v>17</v>
      </c>
      <c r="B61" s="19"/>
      <c r="C61" s="19">
        <v>45854</v>
      </c>
      <c r="D61" s="1" t="s">
        <v>98</v>
      </c>
      <c r="E61" s="1" t="s">
        <v>66</v>
      </c>
      <c r="F61" s="1" t="s">
        <v>19</v>
      </c>
      <c r="G61" s="20">
        <v>7066.7800000000007</v>
      </c>
    </row>
    <row r="62" spans="1:7" x14ac:dyDescent="0.35">
      <c r="A62" s="19" t="s">
        <v>17</v>
      </c>
      <c r="B62" s="19"/>
      <c r="C62" s="19">
        <v>45856</v>
      </c>
      <c r="D62" s="1" t="s">
        <v>99</v>
      </c>
      <c r="E62" s="1" t="s">
        <v>64</v>
      </c>
      <c r="F62" s="1" t="s">
        <v>19</v>
      </c>
      <c r="G62" s="20">
        <v>49890.8</v>
      </c>
    </row>
    <row r="63" spans="1:7" x14ac:dyDescent="0.35">
      <c r="A63" s="19" t="s">
        <v>17</v>
      </c>
      <c r="B63" s="19"/>
      <c r="C63" s="19">
        <v>45859</v>
      </c>
      <c r="D63" s="1" t="s">
        <v>100</v>
      </c>
      <c r="E63" s="1" t="s">
        <v>101</v>
      </c>
      <c r="F63" s="1" t="s">
        <v>19</v>
      </c>
      <c r="G63" s="20">
        <v>1980</v>
      </c>
    </row>
    <row r="64" spans="1:7" x14ac:dyDescent="0.35">
      <c r="A64" s="19" t="s">
        <v>17</v>
      </c>
      <c r="B64" s="19"/>
      <c r="C64" s="19">
        <v>45861</v>
      </c>
      <c r="D64" s="1" t="s">
        <v>102</v>
      </c>
      <c r="E64" s="1" t="s">
        <v>82</v>
      </c>
      <c r="F64" s="1" t="s">
        <v>19</v>
      </c>
      <c r="G64" s="20">
        <v>0</v>
      </c>
    </row>
    <row r="65" spans="1:7" x14ac:dyDescent="0.35">
      <c r="A65" s="19" t="s">
        <v>17</v>
      </c>
      <c r="B65" s="19"/>
      <c r="C65" s="19">
        <v>45862</v>
      </c>
      <c r="D65" s="1" t="s">
        <v>103</v>
      </c>
      <c r="E65" s="1" t="s">
        <v>75</v>
      </c>
      <c r="F65" s="1" t="s">
        <v>19</v>
      </c>
      <c r="G65" s="20">
        <v>46400</v>
      </c>
    </row>
    <row r="66" spans="1:7" x14ac:dyDescent="0.35">
      <c r="A66" s="19" t="s">
        <v>17</v>
      </c>
      <c r="B66" s="19"/>
      <c r="C66" s="19">
        <v>45863</v>
      </c>
      <c r="D66" s="1" t="s">
        <v>104</v>
      </c>
      <c r="E66" s="1" t="s">
        <v>105</v>
      </c>
      <c r="F66" s="1" t="s">
        <v>19</v>
      </c>
      <c r="G66" s="20">
        <v>10327.25</v>
      </c>
    </row>
    <row r="67" spans="1:7" x14ac:dyDescent="0.35">
      <c r="A67" s="19" t="s">
        <v>17</v>
      </c>
      <c r="B67" s="19"/>
      <c r="C67" s="19">
        <v>45863</v>
      </c>
      <c r="D67" s="1" t="s">
        <v>106</v>
      </c>
      <c r="E67" s="1" t="s">
        <v>105</v>
      </c>
      <c r="F67" s="1" t="s">
        <v>19</v>
      </c>
      <c r="G67" s="20">
        <v>1994.6799999999998</v>
      </c>
    </row>
    <row r="68" spans="1:7" x14ac:dyDescent="0.35">
      <c r="A68" s="19" t="s">
        <v>17</v>
      </c>
      <c r="B68" s="19"/>
      <c r="C68" s="19">
        <v>45863</v>
      </c>
      <c r="D68" s="1">
        <v>38332</v>
      </c>
      <c r="E68" s="1" t="s">
        <v>107</v>
      </c>
      <c r="F68" s="1" t="s">
        <v>19</v>
      </c>
      <c r="G68" s="20">
        <v>14089.22</v>
      </c>
    </row>
    <row r="69" spans="1:7" x14ac:dyDescent="0.35">
      <c r="A69" s="19" t="s">
        <v>17</v>
      </c>
      <c r="B69" s="19"/>
      <c r="C69" s="19">
        <v>45864</v>
      </c>
      <c r="D69" s="1" t="s">
        <v>108</v>
      </c>
      <c r="E69" s="1" t="s">
        <v>105</v>
      </c>
      <c r="F69" s="1" t="s">
        <v>19</v>
      </c>
      <c r="G69" s="20">
        <v>3435.2799999999997</v>
      </c>
    </row>
    <row r="70" spans="1:7" x14ac:dyDescent="0.35">
      <c r="A70" s="19" t="s">
        <v>17</v>
      </c>
      <c r="B70" s="19"/>
      <c r="C70" s="19">
        <v>45864</v>
      </c>
      <c r="D70" s="1" t="s">
        <v>109</v>
      </c>
      <c r="E70" s="1" t="s">
        <v>105</v>
      </c>
      <c r="F70" s="1" t="s">
        <v>19</v>
      </c>
      <c r="G70" s="20">
        <v>15808.25</v>
      </c>
    </row>
    <row r="71" spans="1:7" x14ac:dyDescent="0.35">
      <c r="A71" s="19" t="s">
        <v>17</v>
      </c>
      <c r="B71" s="19"/>
      <c r="C71" s="19">
        <v>45864</v>
      </c>
      <c r="D71" s="1" t="s">
        <v>110</v>
      </c>
      <c r="E71" s="1" t="s">
        <v>105</v>
      </c>
      <c r="F71" s="1" t="s">
        <v>19</v>
      </c>
      <c r="G71" s="20">
        <v>210</v>
      </c>
    </row>
    <row r="72" spans="1:7" x14ac:dyDescent="0.35">
      <c r="A72" s="19" t="s">
        <v>17</v>
      </c>
      <c r="B72" s="19"/>
      <c r="C72" s="19">
        <v>45864</v>
      </c>
      <c r="D72" s="1" t="s">
        <v>111</v>
      </c>
      <c r="E72" s="1" t="s">
        <v>107</v>
      </c>
      <c r="F72" s="1" t="s">
        <v>19</v>
      </c>
      <c r="G72" s="20">
        <v>2402.16</v>
      </c>
    </row>
    <row r="73" spans="1:7" x14ac:dyDescent="0.35">
      <c r="A73" s="19" t="s">
        <v>17</v>
      </c>
      <c r="B73" s="19"/>
      <c r="C73" s="19">
        <v>45866</v>
      </c>
      <c r="D73" s="1" t="s">
        <v>112</v>
      </c>
      <c r="E73" s="1" t="s">
        <v>113</v>
      </c>
      <c r="F73" s="1" t="s">
        <v>19</v>
      </c>
      <c r="G73" s="20">
        <v>-1550</v>
      </c>
    </row>
    <row r="74" spans="1:7" x14ac:dyDescent="0.35">
      <c r="A74" s="19" t="s">
        <v>17</v>
      </c>
      <c r="B74" s="19"/>
      <c r="C74" s="19">
        <v>45868</v>
      </c>
      <c r="D74" s="1" t="s">
        <v>114</v>
      </c>
      <c r="E74" s="1" t="s">
        <v>115</v>
      </c>
      <c r="F74" s="1" t="s">
        <v>19</v>
      </c>
      <c r="G74" s="20">
        <v>1421.04</v>
      </c>
    </row>
    <row r="75" spans="1:7" x14ac:dyDescent="0.35">
      <c r="A75" s="19" t="s">
        <v>17</v>
      </c>
      <c r="B75" s="19"/>
      <c r="C75" s="19">
        <v>45868</v>
      </c>
      <c r="D75" s="1" t="s">
        <v>116</v>
      </c>
      <c r="E75" s="1" t="s">
        <v>91</v>
      </c>
      <c r="F75" s="1" t="s">
        <v>19</v>
      </c>
      <c r="G75" s="20">
        <v>1020</v>
      </c>
    </row>
    <row r="76" spans="1:7" x14ac:dyDescent="0.35">
      <c r="A76" s="19" t="s">
        <v>17</v>
      </c>
      <c r="B76" s="19"/>
      <c r="C76" s="19">
        <v>45868</v>
      </c>
      <c r="D76" s="1" t="s">
        <v>117</v>
      </c>
      <c r="E76" s="1" t="s">
        <v>91</v>
      </c>
      <c r="F76" s="1" t="s">
        <v>19</v>
      </c>
      <c r="G76" s="20">
        <v>142.97999999999999</v>
      </c>
    </row>
    <row r="77" spans="1:7" x14ac:dyDescent="0.35">
      <c r="A77" s="19" t="s">
        <v>17</v>
      </c>
      <c r="B77" s="19"/>
      <c r="C77" s="19">
        <v>45868</v>
      </c>
      <c r="D77" s="1" t="s">
        <v>118</v>
      </c>
      <c r="E77" s="1" t="s">
        <v>91</v>
      </c>
      <c r="F77" s="1" t="s">
        <v>19</v>
      </c>
      <c r="G77" s="20">
        <v>14690.13</v>
      </c>
    </row>
    <row r="78" spans="1:7" x14ac:dyDescent="0.35">
      <c r="A78" s="19" t="s">
        <v>17</v>
      </c>
      <c r="B78" s="19"/>
      <c r="C78" s="19">
        <v>45868</v>
      </c>
      <c r="D78" s="1">
        <v>36570</v>
      </c>
      <c r="E78" s="1" t="s">
        <v>91</v>
      </c>
      <c r="F78" s="1" t="s">
        <v>19</v>
      </c>
      <c r="G78" s="20">
        <v>32053.93</v>
      </c>
    </row>
    <row r="79" spans="1:7" x14ac:dyDescent="0.35">
      <c r="A79" s="19" t="s">
        <v>17</v>
      </c>
      <c r="B79" s="19"/>
      <c r="C79" s="19">
        <v>45868</v>
      </c>
      <c r="D79" s="1" t="s">
        <v>119</v>
      </c>
      <c r="E79" s="1" t="s">
        <v>91</v>
      </c>
      <c r="F79" s="1" t="s">
        <v>19</v>
      </c>
      <c r="G79" s="20">
        <v>4490.03</v>
      </c>
    </row>
    <row r="80" spans="1:7" x14ac:dyDescent="0.35">
      <c r="A80" s="19" t="s">
        <v>17</v>
      </c>
      <c r="B80" s="19"/>
      <c r="C80" s="19">
        <v>45868</v>
      </c>
      <c r="D80" s="1" t="s">
        <v>120</v>
      </c>
      <c r="E80" s="1" t="s">
        <v>91</v>
      </c>
      <c r="F80" s="1" t="s">
        <v>19</v>
      </c>
      <c r="G80" s="20">
        <v>1557.68</v>
      </c>
    </row>
    <row r="81" spans="1:7" x14ac:dyDescent="0.35">
      <c r="A81" s="19" t="s">
        <v>17</v>
      </c>
      <c r="B81" s="19"/>
      <c r="C81" s="19">
        <v>45868</v>
      </c>
      <c r="D81" s="1">
        <v>36581</v>
      </c>
      <c r="E81" s="1" t="s">
        <v>91</v>
      </c>
      <c r="F81" s="1" t="s">
        <v>19</v>
      </c>
      <c r="G81" s="20">
        <v>3054.2900000000004</v>
      </c>
    </row>
    <row r="82" spans="1:7" x14ac:dyDescent="0.35">
      <c r="A82" s="19" t="s">
        <v>17</v>
      </c>
      <c r="B82" s="19"/>
      <c r="C82" s="19">
        <v>45868</v>
      </c>
      <c r="D82" s="1" t="s">
        <v>121</v>
      </c>
      <c r="E82" s="1" t="s">
        <v>91</v>
      </c>
      <c r="F82" s="1" t="s">
        <v>19</v>
      </c>
      <c r="G82" s="20">
        <v>3844.7999999999997</v>
      </c>
    </row>
    <row r="83" spans="1:7" x14ac:dyDescent="0.35">
      <c r="A83" s="19" t="s">
        <v>17</v>
      </c>
      <c r="B83" s="19"/>
      <c r="C83" s="19">
        <v>45868</v>
      </c>
      <c r="D83" s="1" t="s">
        <v>122</v>
      </c>
      <c r="E83" s="1" t="s">
        <v>115</v>
      </c>
      <c r="F83" s="1" t="s">
        <v>19</v>
      </c>
      <c r="G83" s="20">
        <v>835.71</v>
      </c>
    </row>
    <row r="84" spans="1:7" x14ac:dyDescent="0.35">
      <c r="A84" s="19" t="s">
        <v>17</v>
      </c>
      <c r="B84" s="19"/>
      <c r="C84" s="19">
        <v>45868</v>
      </c>
      <c r="D84" s="1" t="s">
        <v>123</v>
      </c>
      <c r="E84" s="1" t="s">
        <v>64</v>
      </c>
      <c r="F84" s="1" t="s">
        <v>19</v>
      </c>
      <c r="G84" s="20">
        <v>30480.129999999997</v>
      </c>
    </row>
    <row r="85" spans="1:7" x14ac:dyDescent="0.35">
      <c r="A85" s="19" t="s">
        <v>17</v>
      </c>
      <c r="B85" s="19"/>
      <c r="C85" s="19">
        <v>45869</v>
      </c>
      <c r="D85" s="1" t="s">
        <v>124</v>
      </c>
      <c r="E85" s="1" t="s">
        <v>125</v>
      </c>
      <c r="F85" s="1" t="s">
        <v>19</v>
      </c>
      <c r="G85" s="20">
        <v>6224</v>
      </c>
    </row>
    <row r="86" spans="1:7" x14ac:dyDescent="0.35">
      <c r="A86" s="19" t="s">
        <v>17</v>
      </c>
      <c r="B86" s="19"/>
      <c r="C86" s="19">
        <v>45869</v>
      </c>
      <c r="D86" s="1">
        <v>35801</v>
      </c>
      <c r="E86" s="1" t="s">
        <v>55</v>
      </c>
      <c r="F86" s="1" t="s">
        <v>19</v>
      </c>
      <c r="G86" s="20">
        <v>54642.01</v>
      </c>
    </row>
    <row r="87" spans="1:7" x14ac:dyDescent="0.35">
      <c r="A87" s="19" t="s">
        <v>17</v>
      </c>
      <c r="B87" s="19"/>
      <c r="C87" s="19">
        <v>45869</v>
      </c>
      <c r="D87" s="1">
        <v>35805</v>
      </c>
      <c r="E87" s="1" t="s">
        <v>55</v>
      </c>
      <c r="F87" s="1" t="s">
        <v>19</v>
      </c>
      <c r="G87" s="20">
        <v>66666.91</v>
      </c>
    </row>
    <row r="88" spans="1:7" x14ac:dyDescent="0.35">
      <c r="A88" s="19" t="s">
        <v>17</v>
      </c>
      <c r="B88" s="19"/>
      <c r="C88" s="19">
        <v>45869</v>
      </c>
      <c r="D88" s="1" t="s">
        <v>126</v>
      </c>
      <c r="E88" s="1" t="s">
        <v>91</v>
      </c>
      <c r="F88" s="1" t="s">
        <v>19</v>
      </c>
      <c r="G88" s="20">
        <v>2467.5</v>
      </c>
    </row>
    <row r="89" spans="1:7" x14ac:dyDescent="0.35">
      <c r="A89" s="19" t="s">
        <v>17</v>
      </c>
      <c r="B89" s="19"/>
      <c r="C89" s="19">
        <v>45869</v>
      </c>
      <c r="D89" s="1">
        <v>36729</v>
      </c>
      <c r="E89" s="1" t="s">
        <v>57</v>
      </c>
      <c r="F89" s="1" t="s">
        <v>19</v>
      </c>
      <c r="G89" s="20">
        <v>2634.29</v>
      </c>
    </row>
    <row r="90" spans="1:7" x14ac:dyDescent="0.35">
      <c r="A90" s="19" t="s">
        <v>17</v>
      </c>
      <c r="B90" s="19"/>
      <c r="C90" s="19">
        <v>45869</v>
      </c>
      <c r="D90" s="1" t="s">
        <v>127</v>
      </c>
      <c r="E90" s="1" t="s">
        <v>128</v>
      </c>
      <c r="F90" s="1" t="s">
        <v>19</v>
      </c>
      <c r="G90" s="20">
        <v>661.82</v>
      </c>
    </row>
    <row r="91" spans="1:7" x14ac:dyDescent="0.35">
      <c r="A91" s="19" t="s">
        <v>17</v>
      </c>
      <c r="B91" s="19"/>
      <c r="C91" s="19">
        <v>45869</v>
      </c>
      <c r="D91" s="1" t="s">
        <v>129</v>
      </c>
      <c r="E91" s="1" t="s">
        <v>128</v>
      </c>
      <c r="F91" s="1" t="s">
        <v>19</v>
      </c>
      <c r="G91" s="20">
        <v>8545.64</v>
      </c>
    </row>
    <row r="92" spans="1:7" x14ac:dyDescent="0.35">
      <c r="A92" s="19" t="s">
        <v>17</v>
      </c>
      <c r="B92" s="19"/>
      <c r="C92" s="19">
        <v>45869</v>
      </c>
      <c r="D92" s="1" t="s">
        <v>130</v>
      </c>
      <c r="E92" s="1" t="s">
        <v>131</v>
      </c>
      <c r="F92" s="1" t="s">
        <v>19</v>
      </c>
      <c r="G92" s="20">
        <v>75546.240000000005</v>
      </c>
    </row>
    <row r="93" spans="1:7" x14ac:dyDescent="0.35">
      <c r="A93" s="19" t="s">
        <v>17</v>
      </c>
      <c r="B93" s="19"/>
      <c r="C93" s="19">
        <v>45869</v>
      </c>
      <c r="D93" s="1">
        <v>37239</v>
      </c>
      <c r="E93" s="1" t="s">
        <v>55</v>
      </c>
      <c r="F93" s="1" t="s">
        <v>19</v>
      </c>
      <c r="G93" s="20">
        <v>0</v>
      </c>
    </row>
    <row r="94" spans="1:7" x14ac:dyDescent="0.35">
      <c r="A94" s="19" t="s">
        <v>17</v>
      </c>
      <c r="B94" s="19"/>
      <c r="C94" s="19">
        <v>45869</v>
      </c>
      <c r="D94" s="1">
        <v>37283</v>
      </c>
      <c r="E94" s="1" t="s">
        <v>128</v>
      </c>
      <c r="F94" s="1" t="s">
        <v>19</v>
      </c>
      <c r="G94" s="20">
        <v>0</v>
      </c>
    </row>
    <row r="95" spans="1:7" x14ac:dyDescent="0.35">
      <c r="A95" s="19" t="s">
        <v>17</v>
      </c>
      <c r="B95" s="19"/>
      <c r="C95" s="19">
        <v>45869</v>
      </c>
      <c r="D95" s="1">
        <v>37369</v>
      </c>
      <c r="E95" s="1" t="s">
        <v>132</v>
      </c>
      <c r="F95" s="1" t="s">
        <v>19</v>
      </c>
      <c r="G95" s="20">
        <v>527.91999999999996</v>
      </c>
    </row>
    <row r="96" spans="1:7" x14ac:dyDescent="0.35">
      <c r="A96" s="19" t="s">
        <v>17</v>
      </c>
      <c r="B96" s="19"/>
      <c r="C96" s="19">
        <v>45869</v>
      </c>
      <c r="D96" s="1" t="s">
        <v>133</v>
      </c>
      <c r="E96" s="1" t="s">
        <v>134</v>
      </c>
      <c r="F96" s="1" t="s">
        <v>19</v>
      </c>
      <c r="G96" s="20">
        <v>0</v>
      </c>
    </row>
    <row r="97" spans="1:7" x14ac:dyDescent="0.35">
      <c r="A97" s="19" t="s">
        <v>17</v>
      </c>
      <c r="B97" s="19"/>
      <c r="C97" s="19">
        <v>45869</v>
      </c>
      <c r="D97" s="1">
        <v>37682</v>
      </c>
      <c r="E97" s="1" t="s">
        <v>75</v>
      </c>
      <c r="F97" s="1" t="s">
        <v>19</v>
      </c>
      <c r="G97" s="20">
        <v>50982.97</v>
      </c>
    </row>
    <row r="98" spans="1:7" x14ac:dyDescent="0.35">
      <c r="A98" s="19" t="s">
        <v>17</v>
      </c>
      <c r="B98" s="19"/>
      <c r="C98" s="19">
        <v>45869</v>
      </c>
      <c r="D98" s="1" t="s">
        <v>135</v>
      </c>
      <c r="E98" s="1" t="s">
        <v>57</v>
      </c>
      <c r="F98" s="1" t="s">
        <v>19</v>
      </c>
      <c r="G98" s="20">
        <v>0</v>
      </c>
    </row>
    <row r="99" spans="1:7" x14ac:dyDescent="0.35">
      <c r="A99" s="19" t="s">
        <v>17</v>
      </c>
      <c r="B99" s="19"/>
      <c r="C99" s="19">
        <v>45869</v>
      </c>
      <c r="D99" s="1" t="s">
        <v>136</v>
      </c>
      <c r="E99" s="1" t="s">
        <v>137</v>
      </c>
      <c r="F99" s="1" t="s">
        <v>19</v>
      </c>
      <c r="G99" s="20">
        <v>82308.680000000008</v>
      </c>
    </row>
    <row r="100" spans="1:7" x14ac:dyDescent="0.35">
      <c r="A100" s="19" t="s">
        <v>17</v>
      </c>
      <c r="B100" s="19"/>
      <c r="C100" s="19">
        <v>45869</v>
      </c>
      <c r="D100" s="1" t="s">
        <v>138</v>
      </c>
      <c r="E100" s="1" t="s">
        <v>137</v>
      </c>
      <c r="F100" s="1" t="s">
        <v>19</v>
      </c>
      <c r="G100" s="20">
        <v>1444188.4900000002</v>
      </c>
    </row>
    <row r="101" spans="1:7" x14ac:dyDescent="0.35">
      <c r="A101" s="19" t="s">
        <v>17</v>
      </c>
      <c r="B101" s="19"/>
      <c r="C101" s="19">
        <v>45869</v>
      </c>
      <c r="D101" s="1">
        <v>38362</v>
      </c>
      <c r="E101" s="1" t="s">
        <v>137</v>
      </c>
      <c r="F101" s="1" t="s">
        <v>19</v>
      </c>
      <c r="G101" s="20">
        <v>184356.52</v>
      </c>
    </row>
    <row r="102" spans="1:7" x14ac:dyDescent="0.35">
      <c r="A102" s="19" t="s">
        <v>17</v>
      </c>
      <c r="B102" s="19"/>
      <c r="C102" s="19">
        <v>45869</v>
      </c>
      <c r="D102" s="1" t="s">
        <v>139</v>
      </c>
      <c r="E102" s="1" t="s">
        <v>137</v>
      </c>
      <c r="F102" s="1" t="s">
        <v>19</v>
      </c>
      <c r="G102" s="20">
        <v>65372.56</v>
      </c>
    </row>
    <row r="103" spans="1:7" x14ac:dyDescent="0.35">
      <c r="A103" s="19" t="s">
        <v>17</v>
      </c>
      <c r="B103" s="19"/>
      <c r="C103" s="19">
        <v>45869</v>
      </c>
      <c r="D103" s="1" t="s">
        <v>140</v>
      </c>
      <c r="E103" s="1" t="s">
        <v>137</v>
      </c>
      <c r="F103" s="1" t="s">
        <v>19</v>
      </c>
      <c r="G103" s="20">
        <v>88431.1</v>
      </c>
    </row>
    <row r="104" spans="1:7" x14ac:dyDescent="0.35">
      <c r="A104" s="19" t="s">
        <v>17</v>
      </c>
      <c r="B104" s="19"/>
      <c r="C104" s="19">
        <v>45869</v>
      </c>
      <c r="D104" s="1" t="s">
        <v>141</v>
      </c>
      <c r="E104" s="1" t="s">
        <v>137</v>
      </c>
      <c r="F104" s="1" t="s">
        <v>19</v>
      </c>
      <c r="G104" s="20">
        <v>0</v>
      </c>
    </row>
    <row r="105" spans="1:7" x14ac:dyDescent="0.35">
      <c r="A105" s="19" t="s">
        <v>17</v>
      </c>
      <c r="B105" s="19"/>
      <c r="C105" s="19">
        <v>45869</v>
      </c>
      <c r="D105" s="1" t="s">
        <v>142</v>
      </c>
      <c r="E105" s="1" t="s">
        <v>137</v>
      </c>
      <c r="F105" s="1" t="s">
        <v>19</v>
      </c>
      <c r="G105" s="20">
        <v>44144.76</v>
      </c>
    </row>
    <row r="106" spans="1:7" x14ac:dyDescent="0.35">
      <c r="A106" s="19" t="s">
        <v>17</v>
      </c>
      <c r="B106" s="19"/>
      <c r="C106" s="19">
        <v>45869</v>
      </c>
      <c r="D106" s="1">
        <v>38384</v>
      </c>
      <c r="E106" s="1" t="s">
        <v>66</v>
      </c>
      <c r="F106" s="1" t="s">
        <v>19</v>
      </c>
      <c r="G106" s="20">
        <v>11929.05</v>
      </c>
    </row>
    <row r="107" spans="1:7" x14ac:dyDescent="0.35">
      <c r="A107" s="19" t="s">
        <v>17</v>
      </c>
      <c r="B107" s="19"/>
      <c r="C107" s="19">
        <v>45869</v>
      </c>
      <c r="D107" s="1" t="s">
        <v>143</v>
      </c>
      <c r="E107" s="1" t="s">
        <v>66</v>
      </c>
      <c r="F107" s="1" t="s">
        <v>19</v>
      </c>
      <c r="G107" s="20">
        <v>19733.669999999998</v>
      </c>
    </row>
    <row r="108" spans="1:7" x14ac:dyDescent="0.35">
      <c r="A108" s="19" t="s">
        <v>17</v>
      </c>
      <c r="B108" s="19"/>
      <c r="C108" s="19">
        <v>45869</v>
      </c>
      <c r="D108" s="1">
        <v>38400</v>
      </c>
      <c r="E108" s="1" t="s">
        <v>66</v>
      </c>
      <c r="F108" s="1" t="s">
        <v>19</v>
      </c>
      <c r="G108" s="20">
        <v>22091.87</v>
      </c>
    </row>
    <row r="109" spans="1:7" x14ac:dyDescent="0.35">
      <c r="A109" s="19" t="s">
        <v>17</v>
      </c>
      <c r="B109" s="19"/>
      <c r="C109" s="19">
        <v>45869</v>
      </c>
      <c r="D109" s="1">
        <v>38623</v>
      </c>
      <c r="E109" s="1" t="s">
        <v>144</v>
      </c>
      <c r="F109" s="1" t="s">
        <v>19</v>
      </c>
      <c r="G109" s="20">
        <v>4720</v>
      </c>
    </row>
    <row r="110" spans="1:7" x14ac:dyDescent="0.35">
      <c r="A110" s="19" t="s">
        <v>17</v>
      </c>
      <c r="B110" s="19"/>
      <c r="C110" s="19">
        <v>45869</v>
      </c>
      <c r="D110" s="1">
        <v>38724</v>
      </c>
      <c r="E110" s="1" t="s">
        <v>145</v>
      </c>
      <c r="F110" s="1" t="s">
        <v>19</v>
      </c>
      <c r="G110" s="20">
        <v>0</v>
      </c>
    </row>
    <row r="111" spans="1:7" x14ac:dyDescent="0.35">
      <c r="A111" s="19" t="s">
        <v>17</v>
      </c>
      <c r="C111" s="28">
        <v>45839</v>
      </c>
      <c r="D111" s="29" t="s">
        <v>54</v>
      </c>
      <c r="E111" s="1" t="s">
        <v>55</v>
      </c>
      <c r="F111" s="1" t="s">
        <v>146</v>
      </c>
      <c r="G111" s="30">
        <v>33690.51</v>
      </c>
    </row>
    <row r="112" spans="1:7" x14ac:dyDescent="0.35">
      <c r="A112" s="19" t="s">
        <v>17</v>
      </c>
      <c r="C112" s="28">
        <v>45868</v>
      </c>
      <c r="D112" s="29">
        <v>36570</v>
      </c>
      <c r="E112" s="1" t="s">
        <v>91</v>
      </c>
      <c r="F112" s="1" t="s">
        <v>19</v>
      </c>
      <c r="G112" s="30">
        <v>16950</v>
      </c>
    </row>
    <row r="113" spans="1:7" x14ac:dyDescent="0.35">
      <c r="A113" s="19" t="s">
        <v>17</v>
      </c>
      <c r="C113" s="28">
        <v>45868</v>
      </c>
      <c r="D113" s="29">
        <v>36581</v>
      </c>
      <c r="E113" s="1" t="s">
        <v>91</v>
      </c>
      <c r="F113" s="1" t="s">
        <v>19</v>
      </c>
      <c r="G113" s="30">
        <v>2850</v>
      </c>
    </row>
    <row r="114" spans="1:7" x14ac:dyDescent="0.35">
      <c r="A114" s="19" t="s">
        <v>17</v>
      </c>
      <c r="C114" s="28">
        <v>45869</v>
      </c>
      <c r="D114" s="29" t="s">
        <v>147</v>
      </c>
      <c r="E114" s="1" t="s">
        <v>148</v>
      </c>
      <c r="F114" s="1" t="s">
        <v>19</v>
      </c>
      <c r="G114" s="30">
        <v>5492.4</v>
      </c>
    </row>
    <row r="115" spans="1:7" x14ac:dyDescent="0.35">
      <c r="A115" s="19" t="s">
        <v>17</v>
      </c>
      <c r="C115" s="28">
        <v>45869</v>
      </c>
      <c r="D115" s="29">
        <v>36729</v>
      </c>
      <c r="E115" s="1" t="s">
        <v>57</v>
      </c>
      <c r="F115" s="1" t="s">
        <v>19</v>
      </c>
      <c r="G115" s="30">
        <v>8600</v>
      </c>
    </row>
    <row r="116" spans="1:7" x14ac:dyDescent="0.35">
      <c r="A116" s="1" t="s">
        <v>17</v>
      </c>
      <c r="C116" s="19">
        <v>45839</v>
      </c>
      <c r="D116" s="1">
        <v>33555</v>
      </c>
      <c r="E116" s="1" t="s">
        <v>29</v>
      </c>
      <c r="F116" s="1" t="s">
        <v>149</v>
      </c>
      <c r="G116" s="30">
        <v>3894.22</v>
      </c>
    </row>
    <row r="117" spans="1:7" x14ac:dyDescent="0.35">
      <c r="A117" s="1" t="s">
        <v>17</v>
      </c>
      <c r="C117" s="19">
        <v>45839</v>
      </c>
      <c r="D117" s="1">
        <v>35518</v>
      </c>
      <c r="E117" s="1" t="s">
        <v>49</v>
      </c>
      <c r="F117" s="1" t="s">
        <v>149</v>
      </c>
      <c r="G117" s="30">
        <v>3631.49</v>
      </c>
    </row>
    <row r="118" spans="1:7" x14ac:dyDescent="0.35">
      <c r="A118" s="1" t="s">
        <v>17</v>
      </c>
      <c r="C118" s="19">
        <v>45839</v>
      </c>
      <c r="D118" s="1">
        <v>36221</v>
      </c>
      <c r="E118" s="1" t="s">
        <v>52</v>
      </c>
      <c r="F118" s="1" t="s">
        <v>149</v>
      </c>
      <c r="G118" s="30">
        <v>0</v>
      </c>
    </row>
    <row r="119" spans="1:7" x14ac:dyDescent="0.35">
      <c r="A119" s="1" t="s">
        <v>17</v>
      </c>
      <c r="C119" s="19">
        <v>45839</v>
      </c>
      <c r="D119" s="1" t="s">
        <v>58</v>
      </c>
      <c r="E119" s="1" t="s">
        <v>59</v>
      </c>
      <c r="F119" s="1" t="s">
        <v>149</v>
      </c>
      <c r="G119" s="30">
        <v>2080.08</v>
      </c>
    </row>
    <row r="120" spans="1:7" x14ac:dyDescent="0.35">
      <c r="A120" s="1" t="s">
        <v>17</v>
      </c>
      <c r="C120" s="19">
        <v>45839</v>
      </c>
      <c r="D120" s="1">
        <v>38130</v>
      </c>
      <c r="E120" s="1" t="s">
        <v>60</v>
      </c>
      <c r="F120" s="1" t="s">
        <v>149</v>
      </c>
      <c r="G120" s="30">
        <v>221.95</v>
      </c>
    </row>
    <row r="121" spans="1:7" x14ac:dyDescent="0.35">
      <c r="A121" s="1" t="s">
        <v>17</v>
      </c>
      <c r="C121" s="19">
        <v>45846</v>
      </c>
      <c r="D121" s="1">
        <v>38187</v>
      </c>
      <c r="E121" s="1" t="s">
        <v>70</v>
      </c>
      <c r="F121" s="1" t="s">
        <v>149</v>
      </c>
      <c r="G121" s="30">
        <v>872.8</v>
      </c>
    </row>
    <row r="122" spans="1:7" x14ac:dyDescent="0.35">
      <c r="A122" s="1" t="s">
        <v>17</v>
      </c>
      <c r="C122" s="19">
        <v>45846</v>
      </c>
      <c r="D122" s="1">
        <v>38196</v>
      </c>
      <c r="E122" s="1" t="s">
        <v>70</v>
      </c>
      <c r="F122" s="1" t="s">
        <v>149</v>
      </c>
      <c r="G122" s="30">
        <v>1896.1</v>
      </c>
    </row>
    <row r="123" spans="1:7" x14ac:dyDescent="0.35">
      <c r="A123" s="1" t="s">
        <v>17</v>
      </c>
      <c r="C123" s="19">
        <v>45846</v>
      </c>
      <c r="D123" s="1">
        <v>38396</v>
      </c>
      <c r="E123" s="1" t="s">
        <v>66</v>
      </c>
      <c r="F123" s="1" t="s">
        <v>149</v>
      </c>
      <c r="G123" s="30">
        <v>102.17</v>
      </c>
    </row>
    <row r="124" spans="1:7" x14ac:dyDescent="0.35">
      <c r="A124" s="1" t="s">
        <v>17</v>
      </c>
      <c r="C124" s="19">
        <v>45852</v>
      </c>
      <c r="D124" s="1" t="s">
        <v>93</v>
      </c>
      <c r="E124" s="1" t="s">
        <v>91</v>
      </c>
      <c r="F124" s="1" t="s">
        <v>149</v>
      </c>
      <c r="G124" s="30">
        <v>2369.63</v>
      </c>
    </row>
    <row r="125" spans="1:7" x14ac:dyDescent="0.35">
      <c r="A125" s="1" t="s">
        <v>17</v>
      </c>
      <c r="C125" s="19">
        <v>45852</v>
      </c>
      <c r="D125" s="1" t="s">
        <v>94</v>
      </c>
      <c r="E125" s="1" t="s">
        <v>91</v>
      </c>
      <c r="F125" s="1" t="s">
        <v>149</v>
      </c>
      <c r="G125" s="30">
        <v>4586.59</v>
      </c>
    </row>
    <row r="126" spans="1:7" x14ac:dyDescent="0.35">
      <c r="A126" s="1" t="s">
        <v>17</v>
      </c>
      <c r="C126" s="19">
        <v>45856</v>
      </c>
      <c r="D126" s="1" t="s">
        <v>99</v>
      </c>
      <c r="E126" s="1" t="s">
        <v>64</v>
      </c>
      <c r="F126" s="1" t="s">
        <v>149</v>
      </c>
      <c r="G126" s="30">
        <v>47554.7</v>
      </c>
    </row>
    <row r="127" spans="1:7" x14ac:dyDescent="0.35">
      <c r="A127" s="1" t="s">
        <v>17</v>
      </c>
      <c r="C127" s="19">
        <v>45863</v>
      </c>
      <c r="D127" s="1" t="s">
        <v>104</v>
      </c>
      <c r="E127" s="1" t="s">
        <v>105</v>
      </c>
      <c r="F127" s="1" t="s">
        <v>149</v>
      </c>
      <c r="G127" s="30">
        <v>4629.84</v>
      </c>
    </row>
    <row r="128" spans="1:7" x14ac:dyDescent="0.35">
      <c r="A128" s="1" t="s">
        <v>17</v>
      </c>
      <c r="C128" s="19">
        <v>45863</v>
      </c>
      <c r="D128" s="1" t="s">
        <v>106</v>
      </c>
      <c r="E128" s="1" t="s">
        <v>105</v>
      </c>
      <c r="F128" s="1" t="s">
        <v>149</v>
      </c>
      <c r="G128" s="30">
        <v>523.51</v>
      </c>
    </row>
    <row r="129" spans="1:7" x14ac:dyDescent="0.35">
      <c r="A129" s="1" t="s">
        <v>17</v>
      </c>
      <c r="C129" s="19">
        <v>45863</v>
      </c>
      <c r="D129" s="1">
        <v>38332</v>
      </c>
      <c r="E129" s="1" t="s">
        <v>107</v>
      </c>
      <c r="F129" s="1" t="s">
        <v>149</v>
      </c>
      <c r="G129" s="30">
        <v>1408.92</v>
      </c>
    </row>
    <row r="130" spans="1:7" x14ac:dyDescent="0.35">
      <c r="A130" s="1" t="s">
        <v>17</v>
      </c>
      <c r="C130" s="19">
        <v>45868</v>
      </c>
      <c r="D130" s="1">
        <v>36570</v>
      </c>
      <c r="E130" s="1" t="s">
        <v>91</v>
      </c>
      <c r="F130" s="1" t="s">
        <v>149</v>
      </c>
      <c r="G130" s="30">
        <v>3205.43</v>
      </c>
    </row>
    <row r="131" spans="1:7" x14ac:dyDescent="0.35">
      <c r="A131" s="1" t="s">
        <v>17</v>
      </c>
      <c r="C131" s="19">
        <v>45868</v>
      </c>
      <c r="D131" s="1">
        <v>36581</v>
      </c>
      <c r="E131" s="1" t="s">
        <v>91</v>
      </c>
      <c r="F131" s="1" t="s">
        <v>149</v>
      </c>
      <c r="G131" s="30">
        <v>305.43</v>
      </c>
    </row>
    <row r="132" spans="1:7" x14ac:dyDescent="0.35">
      <c r="A132" s="1" t="s">
        <v>17</v>
      </c>
      <c r="C132" s="19">
        <v>45868</v>
      </c>
      <c r="D132" s="1" t="s">
        <v>123</v>
      </c>
      <c r="E132" s="1" t="s">
        <v>64</v>
      </c>
      <c r="F132" s="1" t="s">
        <v>149</v>
      </c>
      <c r="G132" s="30">
        <v>12630.12</v>
      </c>
    </row>
    <row r="133" spans="1:7" x14ac:dyDescent="0.35">
      <c r="A133" s="1" t="s">
        <v>17</v>
      </c>
      <c r="C133" s="19">
        <v>45869</v>
      </c>
      <c r="D133" s="1">
        <v>35801</v>
      </c>
      <c r="E133" s="1" t="s">
        <v>55</v>
      </c>
      <c r="F133" s="1" t="s">
        <v>149</v>
      </c>
      <c r="G133" s="30">
        <v>9350</v>
      </c>
    </row>
    <row r="134" spans="1:7" x14ac:dyDescent="0.35">
      <c r="A134" s="1" t="s">
        <v>17</v>
      </c>
      <c r="C134" s="19">
        <v>45869</v>
      </c>
      <c r="D134" s="1">
        <v>35805</v>
      </c>
      <c r="E134" s="1" t="s">
        <v>55</v>
      </c>
      <c r="F134" s="1" t="s">
        <v>149</v>
      </c>
      <c r="G134" s="30">
        <v>14435.92</v>
      </c>
    </row>
    <row r="135" spans="1:7" x14ac:dyDescent="0.35">
      <c r="A135" s="1" t="s">
        <v>17</v>
      </c>
      <c r="C135" s="19">
        <v>45869</v>
      </c>
      <c r="D135" s="1">
        <v>36729</v>
      </c>
      <c r="E135" s="1" t="s">
        <v>57</v>
      </c>
      <c r="F135" s="1" t="s">
        <v>149</v>
      </c>
      <c r="G135" s="30">
        <v>300.86</v>
      </c>
    </row>
    <row r="136" spans="1:7" x14ac:dyDescent="0.35">
      <c r="A136" s="1" t="s">
        <v>17</v>
      </c>
      <c r="C136" s="19">
        <v>45869</v>
      </c>
      <c r="D136" s="1">
        <v>37682</v>
      </c>
      <c r="E136" s="1" t="s">
        <v>75</v>
      </c>
      <c r="F136" s="1" t="s">
        <v>149</v>
      </c>
      <c r="G136" s="30">
        <v>4893.4399999999996</v>
      </c>
    </row>
    <row r="137" spans="1:7" x14ac:dyDescent="0.35">
      <c r="A137" s="1" t="s">
        <v>17</v>
      </c>
      <c r="C137" s="19">
        <v>45869</v>
      </c>
      <c r="D137" s="1">
        <v>38362</v>
      </c>
      <c r="E137" s="1" t="s">
        <v>137</v>
      </c>
      <c r="F137" s="1" t="s">
        <v>149</v>
      </c>
      <c r="G137" s="30">
        <v>34212.879999999997</v>
      </c>
    </row>
    <row r="138" spans="1:7" x14ac:dyDescent="0.35">
      <c r="A138" s="1" t="s">
        <v>17</v>
      </c>
      <c r="C138" s="19">
        <v>45869</v>
      </c>
      <c r="D138" s="1">
        <v>38384</v>
      </c>
      <c r="E138" s="1" t="s">
        <v>66</v>
      </c>
      <c r="F138" s="1" t="s">
        <v>149</v>
      </c>
      <c r="G138" s="30">
        <v>3921.75</v>
      </c>
    </row>
    <row r="139" spans="1:7" x14ac:dyDescent="0.35">
      <c r="A139" s="1" t="s">
        <v>17</v>
      </c>
      <c r="C139" s="19">
        <v>45869</v>
      </c>
      <c r="D139" s="1">
        <v>38400</v>
      </c>
      <c r="E139" s="1" t="s">
        <v>66</v>
      </c>
      <c r="F139" s="1" t="s">
        <v>149</v>
      </c>
      <c r="G139" s="30">
        <v>10904.08</v>
      </c>
    </row>
    <row r="140" spans="1:7" x14ac:dyDescent="0.35">
      <c r="A140" s="1" t="s">
        <v>17</v>
      </c>
      <c r="C140" s="19">
        <v>45869</v>
      </c>
      <c r="D140" s="1">
        <v>38623</v>
      </c>
      <c r="E140" s="1" t="s">
        <v>144</v>
      </c>
      <c r="F140" s="1" t="s">
        <v>149</v>
      </c>
      <c r="G140" s="30">
        <v>10400</v>
      </c>
    </row>
    <row r="141" spans="1:7" x14ac:dyDescent="0.35">
      <c r="A141" s="1" t="s">
        <v>17</v>
      </c>
      <c r="C141" s="19">
        <v>45839</v>
      </c>
      <c r="D141" s="1" t="s">
        <v>54</v>
      </c>
      <c r="E141" s="1" t="s">
        <v>55</v>
      </c>
      <c r="F141" s="1" t="s">
        <v>146</v>
      </c>
      <c r="G141" s="30">
        <v>33690.51</v>
      </c>
    </row>
    <row r="142" spans="1:7" x14ac:dyDescent="0.35">
      <c r="A142" s="1" t="s">
        <v>17</v>
      </c>
      <c r="C142" s="19">
        <v>45868</v>
      </c>
      <c r="D142" s="1">
        <v>36570</v>
      </c>
      <c r="E142" s="1" t="s">
        <v>91</v>
      </c>
      <c r="F142" s="1" t="s">
        <v>146</v>
      </c>
      <c r="G142" s="30">
        <v>16950</v>
      </c>
    </row>
    <row r="143" spans="1:7" x14ac:dyDescent="0.35">
      <c r="A143" s="1" t="s">
        <v>17</v>
      </c>
      <c r="C143" s="19">
        <v>45868</v>
      </c>
      <c r="D143" s="1">
        <v>36581</v>
      </c>
      <c r="E143" s="1" t="s">
        <v>91</v>
      </c>
      <c r="F143" s="1" t="s">
        <v>146</v>
      </c>
      <c r="G143" s="30">
        <v>2850</v>
      </c>
    </row>
    <row r="144" spans="1:7" x14ac:dyDescent="0.35">
      <c r="A144" s="1" t="s">
        <v>17</v>
      </c>
      <c r="C144" s="19">
        <v>45869</v>
      </c>
      <c r="D144" s="1" t="s">
        <v>147</v>
      </c>
      <c r="E144" s="1" t="s">
        <v>148</v>
      </c>
      <c r="F144" s="1" t="s">
        <v>146</v>
      </c>
      <c r="G144" s="30">
        <v>5492.4</v>
      </c>
    </row>
    <row r="145" spans="1:8" x14ac:dyDescent="0.35">
      <c r="A145" s="1" t="s">
        <v>17</v>
      </c>
      <c r="C145" s="19">
        <v>45869</v>
      </c>
      <c r="D145" s="1">
        <v>36729</v>
      </c>
      <c r="E145" s="1" t="s">
        <v>57</v>
      </c>
      <c r="F145" s="1" t="s">
        <v>146</v>
      </c>
      <c r="G145" s="30">
        <v>8600</v>
      </c>
    </row>
    <row r="146" spans="1:8" x14ac:dyDescent="0.35">
      <c r="A146" s="19"/>
      <c r="B146" s="19" t="s">
        <v>22</v>
      </c>
      <c r="C146" s="19">
        <v>45839</v>
      </c>
      <c r="D146" s="1" t="s">
        <v>25</v>
      </c>
      <c r="E146" s="1" t="s">
        <v>26</v>
      </c>
      <c r="F146" s="1" t="s">
        <v>19</v>
      </c>
      <c r="H146" s="20">
        <v>1382.35</v>
      </c>
    </row>
    <row r="147" spans="1:8" x14ac:dyDescent="0.35">
      <c r="A147" s="19"/>
      <c r="B147" s="19" t="s">
        <v>22</v>
      </c>
      <c r="C147" s="19">
        <v>45839</v>
      </c>
      <c r="D147" s="1">
        <v>33555</v>
      </c>
      <c r="E147" s="1" t="s">
        <v>29</v>
      </c>
      <c r="F147" s="1" t="s">
        <v>19</v>
      </c>
      <c r="H147" s="20">
        <v>15931.58</v>
      </c>
    </row>
    <row r="148" spans="1:8" x14ac:dyDescent="0.35">
      <c r="A148" s="19"/>
      <c r="B148" s="19" t="s">
        <v>22</v>
      </c>
      <c r="C148" s="19">
        <v>45839</v>
      </c>
      <c r="D148" s="1" t="s">
        <v>32</v>
      </c>
      <c r="E148" s="1" t="s">
        <v>33</v>
      </c>
      <c r="F148" s="1" t="s">
        <v>19</v>
      </c>
      <c r="H148" s="20">
        <v>1222</v>
      </c>
    </row>
    <row r="149" spans="1:8" x14ac:dyDescent="0.35">
      <c r="A149" s="19"/>
      <c r="B149" s="19" t="s">
        <v>22</v>
      </c>
      <c r="C149" s="19">
        <v>45839</v>
      </c>
      <c r="D149" s="1" t="s">
        <v>35</v>
      </c>
      <c r="E149" s="1" t="s">
        <v>36</v>
      </c>
      <c r="F149" s="1" t="s">
        <v>19</v>
      </c>
      <c r="H149" s="20">
        <v>0</v>
      </c>
    </row>
    <row r="150" spans="1:8" x14ac:dyDescent="0.35">
      <c r="A150" s="19"/>
      <c r="B150" s="19" t="s">
        <v>22</v>
      </c>
      <c r="C150" s="19">
        <v>45839</v>
      </c>
      <c r="D150" s="1">
        <v>33984</v>
      </c>
      <c r="E150" s="1" t="s">
        <v>18</v>
      </c>
      <c r="F150" s="1" t="s">
        <v>19</v>
      </c>
      <c r="H150" s="20">
        <v>0</v>
      </c>
    </row>
    <row r="151" spans="1:8" x14ac:dyDescent="0.35">
      <c r="A151" s="19"/>
      <c r="B151" s="19" t="s">
        <v>22</v>
      </c>
      <c r="C151" s="19">
        <v>45839</v>
      </c>
      <c r="D151" s="1">
        <v>34076</v>
      </c>
      <c r="E151" s="1" t="s">
        <v>39</v>
      </c>
      <c r="F151" s="1" t="s">
        <v>19</v>
      </c>
      <c r="H151" s="20">
        <v>0</v>
      </c>
    </row>
    <row r="152" spans="1:8" x14ac:dyDescent="0.35">
      <c r="A152" s="19"/>
      <c r="B152" s="19" t="s">
        <v>22</v>
      </c>
      <c r="C152" s="19">
        <v>45839</v>
      </c>
      <c r="D152" s="1" t="s">
        <v>41</v>
      </c>
      <c r="E152" s="1" t="s">
        <v>26</v>
      </c>
      <c r="F152" s="1" t="s">
        <v>19</v>
      </c>
      <c r="H152" s="20">
        <v>0</v>
      </c>
    </row>
    <row r="153" spans="1:8" x14ac:dyDescent="0.35">
      <c r="A153" s="19"/>
      <c r="B153" s="19" t="s">
        <v>22</v>
      </c>
      <c r="C153" s="19">
        <v>45839</v>
      </c>
      <c r="D153" s="1" t="s">
        <v>43</v>
      </c>
      <c r="E153" s="1" t="s">
        <v>44</v>
      </c>
      <c r="F153" s="1" t="s">
        <v>19</v>
      </c>
      <c r="H153" s="20">
        <v>545</v>
      </c>
    </row>
    <row r="154" spans="1:8" x14ac:dyDescent="0.35">
      <c r="A154" s="19"/>
      <c r="B154" s="19" t="s">
        <v>22</v>
      </c>
      <c r="C154" s="19">
        <v>45839</v>
      </c>
      <c r="D154" s="1" t="s">
        <v>46</v>
      </c>
      <c r="E154" s="1" t="s">
        <v>47</v>
      </c>
      <c r="F154" s="1" t="s">
        <v>19</v>
      </c>
      <c r="H154" s="20">
        <v>453.12</v>
      </c>
    </row>
    <row r="155" spans="1:8" x14ac:dyDescent="0.35">
      <c r="A155" s="19"/>
      <c r="B155" s="19" t="s">
        <v>22</v>
      </c>
      <c r="C155" s="19">
        <v>45839</v>
      </c>
      <c r="D155" s="1">
        <v>34967</v>
      </c>
      <c r="E155" s="1" t="s">
        <v>48</v>
      </c>
      <c r="F155" s="1" t="s">
        <v>19</v>
      </c>
      <c r="H155" s="20">
        <v>3736.32</v>
      </c>
    </row>
    <row r="156" spans="1:8" x14ac:dyDescent="0.35">
      <c r="A156" s="19"/>
      <c r="B156" s="19" t="s">
        <v>22</v>
      </c>
      <c r="C156" s="19">
        <v>45839</v>
      </c>
      <c r="D156" s="1">
        <v>35518</v>
      </c>
      <c r="E156" s="1" t="s">
        <v>49</v>
      </c>
      <c r="F156" s="1" t="s">
        <v>19</v>
      </c>
      <c r="H156" s="20">
        <v>35954.480000000003</v>
      </c>
    </row>
    <row r="157" spans="1:8" x14ac:dyDescent="0.35">
      <c r="A157" s="19"/>
      <c r="B157" s="19" t="s">
        <v>22</v>
      </c>
      <c r="C157" s="19">
        <v>45839</v>
      </c>
      <c r="D157" s="1">
        <v>36158</v>
      </c>
      <c r="E157" s="1" t="s">
        <v>50</v>
      </c>
      <c r="F157" s="1" t="s">
        <v>19</v>
      </c>
      <c r="H157" s="20">
        <v>0</v>
      </c>
    </row>
    <row r="158" spans="1:8" x14ac:dyDescent="0.35">
      <c r="A158" s="19"/>
      <c r="B158" s="19" t="s">
        <v>22</v>
      </c>
      <c r="C158" s="19">
        <v>45839</v>
      </c>
      <c r="D158" s="1" t="s">
        <v>51</v>
      </c>
      <c r="E158" s="1" t="s">
        <v>50</v>
      </c>
      <c r="F158" s="1" t="s">
        <v>19</v>
      </c>
      <c r="H158" s="20">
        <v>0</v>
      </c>
    </row>
    <row r="159" spans="1:8" x14ac:dyDescent="0.35">
      <c r="A159" s="19"/>
      <c r="B159" s="19" t="s">
        <v>22</v>
      </c>
      <c r="C159" s="19">
        <v>45839</v>
      </c>
      <c r="D159" s="1">
        <v>36221</v>
      </c>
      <c r="E159" s="1" t="s">
        <v>52</v>
      </c>
      <c r="F159" s="1" t="s">
        <v>19</v>
      </c>
      <c r="H159" s="20">
        <v>0</v>
      </c>
    </row>
    <row r="160" spans="1:8" x14ac:dyDescent="0.35">
      <c r="A160" s="19"/>
      <c r="B160" s="19" t="s">
        <v>22</v>
      </c>
      <c r="C160" s="19">
        <v>45839</v>
      </c>
      <c r="D160" s="1">
        <v>37217</v>
      </c>
      <c r="E160" s="1" t="s">
        <v>53</v>
      </c>
      <c r="F160" s="1" t="s">
        <v>19</v>
      </c>
      <c r="H160" s="20">
        <v>100</v>
      </c>
    </row>
    <row r="161" spans="1:8" x14ac:dyDescent="0.35">
      <c r="A161" s="19"/>
      <c r="B161" s="19" t="s">
        <v>22</v>
      </c>
      <c r="C161" s="19">
        <v>45839</v>
      </c>
      <c r="D161" s="1" t="s">
        <v>54</v>
      </c>
      <c r="E161" s="1" t="s">
        <v>55</v>
      </c>
      <c r="F161" s="1" t="s">
        <v>19</v>
      </c>
      <c r="H161" s="20">
        <v>30424.629999999997</v>
      </c>
    </row>
    <row r="162" spans="1:8" x14ac:dyDescent="0.35">
      <c r="A162" s="19"/>
      <c r="B162" s="19" t="s">
        <v>22</v>
      </c>
      <c r="C162" s="19">
        <v>45839</v>
      </c>
      <c r="D162" s="1" t="s">
        <v>56</v>
      </c>
      <c r="E162" s="1" t="s">
        <v>57</v>
      </c>
      <c r="F162" s="1" t="s">
        <v>19</v>
      </c>
      <c r="H162" s="20">
        <v>2591.0499999999997</v>
      </c>
    </row>
    <row r="163" spans="1:8" x14ac:dyDescent="0.35">
      <c r="A163" s="19"/>
      <c r="B163" s="19" t="s">
        <v>22</v>
      </c>
      <c r="C163" s="19">
        <v>45839</v>
      </c>
      <c r="D163" s="1" t="s">
        <v>58</v>
      </c>
      <c r="E163" s="1" t="s">
        <v>59</v>
      </c>
      <c r="F163" s="1" t="s">
        <v>19</v>
      </c>
      <c r="H163" s="20">
        <v>7846.31</v>
      </c>
    </row>
    <row r="164" spans="1:8" x14ac:dyDescent="0.35">
      <c r="A164" s="19"/>
      <c r="B164" s="19" t="s">
        <v>22</v>
      </c>
      <c r="C164" s="19">
        <v>45839</v>
      </c>
      <c r="D164" s="1">
        <v>38130</v>
      </c>
      <c r="E164" s="1" t="s">
        <v>60</v>
      </c>
      <c r="F164" s="1" t="s">
        <v>19</v>
      </c>
      <c r="H164" s="20">
        <v>1166.8499999999999</v>
      </c>
    </row>
    <row r="165" spans="1:8" x14ac:dyDescent="0.35">
      <c r="A165" s="19"/>
      <c r="B165" s="19" t="s">
        <v>22</v>
      </c>
      <c r="C165" s="19">
        <v>45845</v>
      </c>
      <c r="D165" s="1" t="s">
        <v>61</v>
      </c>
      <c r="E165" s="1" t="s">
        <v>55</v>
      </c>
      <c r="F165" s="1" t="s">
        <v>19</v>
      </c>
      <c r="H165" s="20">
        <v>6661.5300000000007</v>
      </c>
    </row>
    <row r="166" spans="1:8" x14ac:dyDescent="0.35">
      <c r="A166" s="19"/>
      <c r="B166" s="19" t="s">
        <v>22</v>
      </c>
      <c r="C166" s="19">
        <v>45845</v>
      </c>
      <c r="D166" s="1">
        <v>35807</v>
      </c>
      <c r="E166" s="1" t="s">
        <v>55</v>
      </c>
      <c r="F166" s="1" t="s">
        <v>19</v>
      </c>
      <c r="H166" s="20">
        <v>3871.21</v>
      </c>
    </row>
    <row r="167" spans="1:8" x14ac:dyDescent="0.35">
      <c r="A167" s="19"/>
      <c r="B167" s="19" t="s">
        <v>22</v>
      </c>
      <c r="C167" s="19">
        <v>45845</v>
      </c>
      <c r="D167" s="1">
        <v>35808</v>
      </c>
      <c r="E167" s="1" t="s">
        <v>55</v>
      </c>
      <c r="F167" s="1" t="s">
        <v>19</v>
      </c>
      <c r="H167" s="20">
        <v>10157.980000000001</v>
      </c>
    </row>
    <row r="168" spans="1:8" x14ac:dyDescent="0.35">
      <c r="A168" s="19"/>
      <c r="B168" s="19" t="s">
        <v>22</v>
      </c>
      <c r="C168" s="19">
        <v>45845</v>
      </c>
      <c r="D168" s="1">
        <v>35812</v>
      </c>
      <c r="E168" s="1" t="s">
        <v>55</v>
      </c>
      <c r="F168" s="1" t="s">
        <v>19</v>
      </c>
      <c r="H168" s="20">
        <v>34749.29</v>
      </c>
    </row>
    <row r="169" spans="1:8" x14ac:dyDescent="0.35">
      <c r="A169" s="19"/>
      <c r="B169" s="19" t="s">
        <v>22</v>
      </c>
      <c r="C169" s="19">
        <v>45845</v>
      </c>
      <c r="D169" s="1" t="s">
        <v>62</v>
      </c>
      <c r="E169" s="1" t="s">
        <v>55</v>
      </c>
      <c r="F169" s="1" t="s">
        <v>19</v>
      </c>
      <c r="H169" s="20">
        <v>419.36</v>
      </c>
    </row>
    <row r="170" spans="1:8" x14ac:dyDescent="0.35">
      <c r="A170" s="19"/>
      <c r="B170" s="19" t="s">
        <v>22</v>
      </c>
      <c r="C170" s="19">
        <v>45845</v>
      </c>
      <c r="D170" s="1" t="s">
        <v>63</v>
      </c>
      <c r="E170" s="1" t="s">
        <v>64</v>
      </c>
      <c r="F170" s="1" t="s">
        <v>19</v>
      </c>
      <c r="H170" s="20">
        <v>4176.01</v>
      </c>
    </row>
    <row r="171" spans="1:8" x14ac:dyDescent="0.35">
      <c r="A171" s="19"/>
      <c r="B171" s="19" t="s">
        <v>22</v>
      </c>
      <c r="C171" s="19">
        <v>45845</v>
      </c>
      <c r="D171" s="1" t="s">
        <v>65</v>
      </c>
      <c r="E171" s="1" t="s">
        <v>66</v>
      </c>
      <c r="F171" s="1" t="s">
        <v>19</v>
      </c>
      <c r="H171" s="20">
        <v>194.28</v>
      </c>
    </row>
    <row r="172" spans="1:8" x14ac:dyDescent="0.35">
      <c r="A172" s="19"/>
      <c r="B172" s="19" t="s">
        <v>22</v>
      </c>
      <c r="C172" s="19">
        <v>45845</v>
      </c>
      <c r="D172" s="1" t="s">
        <v>67</v>
      </c>
      <c r="E172" s="1" t="s">
        <v>66</v>
      </c>
      <c r="F172" s="1" t="s">
        <v>19</v>
      </c>
      <c r="H172" s="20">
        <v>0</v>
      </c>
    </row>
    <row r="173" spans="1:8" x14ac:dyDescent="0.35">
      <c r="A173" s="19"/>
      <c r="B173" s="19" t="s">
        <v>22</v>
      </c>
      <c r="C173" s="19">
        <v>45845</v>
      </c>
      <c r="D173" s="1" t="s">
        <v>68</v>
      </c>
      <c r="E173" s="1" t="s">
        <v>66</v>
      </c>
      <c r="F173" s="1" t="s">
        <v>19</v>
      </c>
      <c r="H173" s="20">
        <v>0</v>
      </c>
    </row>
    <row r="174" spans="1:8" x14ac:dyDescent="0.35">
      <c r="A174" s="19"/>
      <c r="B174" s="19" t="s">
        <v>22</v>
      </c>
      <c r="C174" s="19">
        <v>45845</v>
      </c>
      <c r="D174" s="1" t="s">
        <v>69</v>
      </c>
      <c r="E174" s="1" t="s">
        <v>66</v>
      </c>
      <c r="F174" s="1" t="s">
        <v>19</v>
      </c>
      <c r="H174" s="20">
        <v>4894.38</v>
      </c>
    </row>
    <row r="175" spans="1:8" x14ac:dyDescent="0.35">
      <c r="A175" s="19"/>
      <c r="B175" s="19" t="s">
        <v>22</v>
      </c>
      <c r="C175" s="19">
        <v>45845</v>
      </c>
      <c r="D175" s="1">
        <v>38738</v>
      </c>
      <c r="E175" s="1" t="s">
        <v>66</v>
      </c>
      <c r="F175" s="1" t="s">
        <v>19</v>
      </c>
      <c r="H175" s="20">
        <v>0</v>
      </c>
    </row>
    <row r="176" spans="1:8" x14ac:dyDescent="0.35">
      <c r="A176" s="19"/>
      <c r="B176" s="19" t="s">
        <v>22</v>
      </c>
      <c r="C176" s="19">
        <v>45846</v>
      </c>
      <c r="D176" s="1">
        <v>38187</v>
      </c>
      <c r="E176" s="1" t="s">
        <v>70</v>
      </c>
      <c r="F176" s="1" t="s">
        <v>19</v>
      </c>
      <c r="H176" s="20">
        <v>10341.06</v>
      </c>
    </row>
    <row r="177" spans="1:8" x14ac:dyDescent="0.35">
      <c r="A177" s="19"/>
      <c r="B177" s="19" t="s">
        <v>22</v>
      </c>
      <c r="C177" s="19">
        <v>45846</v>
      </c>
      <c r="D177" s="1">
        <v>38196</v>
      </c>
      <c r="E177" s="1" t="s">
        <v>70</v>
      </c>
      <c r="F177" s="1" t="s">
        <v>19</v>
      </c>
      <c r="H177" s="20">
        <v>22465.59</v>
      </c>
    </row>
    <row r="178" spans="1:8" x14ac:dyDescent="0.35">
      <c r="A178" s="19"/>
      <c r="B178" s="19" t="s">
        <v>22</v>
      </c>
      <c r="C178" s="19">
        <v>45846</v>
      </c>
      <c r="D178" s="1" t="s">
        <v>71</v>
      </c>
      <c r="E178" s="1" t="s">
        <v>66</v>
      </c>
      <c r="F178" s="1" t="s">
        <v>19</v>
      </c>
      <c r="H178" s="20">
        <v>6359.54</v>
      </c>
    </row>
    <row r="179" spans="1:8" x14ac:dyDescent="0.35">
      <c r="A179" s="19"/>
      <c r="B179" s="19" t="s">
        <v>22</v>
      </c>
      <c r="C179" s="19">
        <v>45846</v>
      </c>
      <c r="D179" s="1">
        <v>38396</v>
      </c>
      <c r="E179" s="1" t="s">
        <v>66</v>
      </c>
      <c r="F179" s="1" t="s">
        <v>19</v>
      </c>
      <c r="H179" s="20">
        <v>851.45</v>
      </c>
    </row>
    <row r="180" spans="1:8" x14ac:dyDescent="0.35">
      <c r="A180" s="19"/>
      <c r="B180" s="19" t="s">
        <v>22</v>
      </c>
      <c r="C180" s="19">
        <v>45846</v>
      </c>
      <c r="D180" s="1">
        <v>38637</v>
      </c>
      <c r="E180" s="1" t="s">
        <v>64</v>
      </c>
      <c r="F180" s="1" t="s">
        <v>19</v>
      </c>
      <c r="H180" s="20">
        <v>24916.34</v>
      </c>
    </row>
    <row r="181" spans="1:8" x14ac:dyDescent="0.35">
      <c r="A181" s="19"/>
      <c r="B181" s="19" t="s">
        <v>22</v>
      </c>
      <c r="C181" s="19">
        <v>45847</v>
      </c>
      <c r="D181" s="1" t="s">
        <v>72</v>
      </c>
      <c r="E181" s="1" t="s">
        <v>55</v>
      </c>
      <c r="F181" s="1" t="s">
        <v>19</v>
      </c>
      <c r="H181" s="20">
        <v>60472.409999999996</v>
      </c>
    </row>
    <row r="182" spans="1:8" x14ac:dyDescent="0.35">
      <c r="A182" s="19"/>
      <c r="B182" s="19" t="s">
        <v>22</v>
      </c>
      <c r="C182" s="19">
        <v>45847</v>
      </c>
      <c r="D182" s="1" t="s">
        <v>73</v>
      </c>
      <c r="E182" s="1" t="s">
        <v>55</v>
      </c>
      <c r="F182" s="1" t="s">
        <v>19</v>
      </c>
      <c r="H182" s="20">
        <v>56713.200000000004</v>
      </c>
    </row>
    <row r="183" spans="1:8" x14ac:dyDescent="0.35">
      <c r="A183" s="19"/>
      <c r="B183" s="19" t="s">
        <v>22</v>
      </c>
      <c r="C183" s="19">
        <v>45847</v>
      </c>
      <c r="D183" s="1" t="s">
        <v>74</v>
      </c>
      <c r="E183" s="1" t="s">
        <v>75</v>
      </c>
      <c r="F183" s="1" t="s">
        <v>19</v>
      </c>
      <c r="H183" s="20">
        <v>210339.71</v>
      </c>
    </row>
    <row r="184" spans="1:8" x14ac:dyDescent="0.35">
      <c r="A184" s="19"/>
      <c r="B184" s="19" t="s">
        <v>22</v>
      </c>
      <c r="C184" s="19">
        <v>45847</v>
      </c>
      <c r="D184" s="1" t="s">
        <v>76</v>
      </c>
      <c r="E184" s="1" t="s">
        <v>75</v>
      </c>
      <c r="F184" s="1" t="s">
        <v>19</v>
      </c>
      <c r="H184" s="20">
        <v>0</v>
      </c>
    </row>
    <row r="185" spans="1:8" x14ac:dyDescent="0.35">
      <c r="A185" s="19"/>
      <c r="B185" s="19" t="s">
        <v>22</v>
      </c>
      <c r="C185" s="19">
        <v>45848</v>
      </c>
      <c r="D185" s="1" t="s">
        <v>77</v>
      </c>
      <c r="E185" s="1" t="s">
        <v>78</v>
      </c>
      <c r="F185" s="1" t="s">
        <v>19</v>
      </c>
      <c r="H185" s="20">
        <v>1407.79</v>
      </c>
    </row>
    <row r="186" spans="1:8" x14ac:dyDescent="0.35">
      <c r="A186" s="19"/>
      <c r="B186" s="19" t="s">
        <v>22</v>
      </c>
      <c r="C186" s="19">
        <v>45849</v>
      </c>
      <c r="D186" s="1" t="s">
        <v>79</v>
      </c>
      <c r="E186" s="1" t="s">
        <v>80</v>
      </c>
      <c r="F186" s="1" t="s">
        <v>19</v>
      </c>
      <c r="H186" s="20">
        <v>0</v>
      </c>
    </row>
    <row r="187" spans="1:8" x14ac:dyDescent="0.35">
      <c r="A187" s="19"/>
      <c r="B187" s="19" t="s">
        <v>22</v>
      </c>
      <c r="C187" s="19">
        <v>45849</v>
      </c>
      <c r="D187" s="1" t="s">
        <v>81</v>
      </c>
      <c r="E187" s="1" t="s">
        <v>82</v>
      </c>
      <c r="F187" s="1" t="s">
        <v>19</v>
      </c>
      <c r="H187" s="20">
        <v>8535.0400000000009</v>
      </c>
    </row>
    <row r="188" spans="1:8" x14ac:dyDescent="0.35">
      <c r="A188" s="19"/>
      <c r="B188" s="19" t="s">
        <v>22</v>
      </c>
      <c r="C188" s="19">
        <v>45849</v>
      </c>
      <c r="D188" s="1" t="s">
        <v>83</v>
      </c>
      <c r="E188" s="1" t="s">
        <v>84</v>
      </c>
      <c r="F188" s="1" t="s">
        <v>19</v>
      </c>
      <c r="H188" s="20">
        <v>66357.13</v>
      </c>
    </row>
    <row r="189" spans="1:8" x14ac:dyDescent="0.35">
      <c r="A189" s="19"/>
      <c r="B189" s="19" t="s">
        <v>22</v>
      </c>
      <c r="C189" s="19">
        <v>45849</v>
      </c>
      <c r="D189" s="1" t="s">
        <v>85</v>
      </c>
      <c r="E189" s="1" t="s">
        <v>86</v>
      </c>
      <c r="F189" s="1" t="s">
        <v>19</v>
      </c>
      <c r="H189" s="20">
        <v>2292.5100000000002</v>
      </c>
    </row>
    <row r="190" spans="1:8" x14ac:dyDescent="0.35">
      <c r="A190" s="19"/>
      <c r="B190" s="19" t="s">
        <v>22</v>
      </c>
      <c r="C190" s="19">
        <v>45849</v>
      </c>
      <c r="D190" s="1" t="s">
        <v>87</v>
      </c>
      <c r="E190" s="1" t="s">
        <v>86</v>
      </c>
      <c r="F190" s="1" t="s">
        <v>19</v>
      </c>
      <c r="H190" s="20">
        <v>2334.5100000000002</v>
      </c>
    </row>
    <row r="191" spans="1:8" x14ac:dyDescent="0.35">
      <c r="A191" s="19"/>
      <c r="B191" s="19" t="s">
        <v>22</v>
      </c>
      <c r="C191" s="19">
        <v>45849</v>
      </c>
      <c r="D191" s="1" t="s">
        <v>88</v>
      </c>
      <c r="E191" s="1" t="s">
        <v>86</v>
      </c>
      <c r="F191" s="1" t="s">
        <v>19</v>
      </c>
      <c r="H191" s="20">
        <v>1212</v>
      </c>
    </row>
    <row r="192" spans="1:8" x14ac:dyDescent="0.35">
      <c r="A192" s="19"/>
      <c r="B192" s="19" t="s">
        <v>22</v>
      </c>
      <c r="C192" s="19">
        <v>45849</v>
      </c>
      <c r="D192" s="1" t="s">
        <v>89</v>
      </c>
      <c r="E192" s="1" t="s">
        <v>84</v>
      </c>
      <c r="F192" s="1" t="s">
        <v>19</v>
      </c>
      <c r="H192" s="20">
        <v>0</v>
      </c>
    </row>
    <row r="193" spans="1:8" x14ac:dyDescent="0.35">
      <c r="A193" s="19"/>
      <c r="B193" s="19" t="s">
        <v>22</v>
      </c>
      <c r="C193" s="19">
        <v>45852</v>
      </c>
      <c r="D193" s="1" t="s">
        <v>90</v>
      </c>
      <c r="E193" s="1" t="s">
        <v>91</v>
      </c>
      <c r="F193" s="1" t="s">
        <v>19</v>
      </c>
      <c r="H193" s="20">
        <v>5237.2</v>
      </c>
    </row>
    <row r="194" spans="1:8" x14ac:dyDescent="0.35">
      <c r="A194" s="19"/>
      <c r="B194" s="19" t="s">
        <v>22</v>
      </c>
      <c r="C194" s="19">
        <v>45852</v>
      </c>
      <c r="D194" s="1" t="s">
        <v>92</v>
      </c>
      <c r="E194" s="1" t="s">
        <v>91</v>
      </c>
      <c r="F194" s="1" t="s">
        <v>19</v>
      </c>
      <c r="H194" s="20">
        <v>18562.18</v>
      </c>
    </row>
    <row r="195" spans="1:8" x14ac:dyDescent="0.35">
      <c r="A195" s="19"/>
      <c r="B195" s="19" t="s">
        <v>22</v>
      </c>
      <c r="C195" s="19">
        <v>45852</v>
      </c>
      <c r="D195" s="1" t="s">
        <v>93</v>
      </c>
      <c r="E195" s="1" t="s">
        <v>91</v>
      </c>
      <c r="F195" s="1" t="s">
        <v>19</v>
      </c>
      <c r="H195" s="20">
        <v>359.36</v>
      </c>
    </row>
    <row r="196" spans="1:8" x14ac:dyDescent="0.35">
      <c r="A196" s="19"/>
      <c r="B196" s="19" t="s">
        <v>22</v>
      </c>
      <c r="C196" s="19">
        <v>45852</v>
      </c>
      <c r="D196" s="1" t="s">
        <v>94</v>
      </c>
      <c r="E196" s="1" t="s">
        <v>91</v>
      </c>
      <c r="F196" s="1" t="s">
        <v>19</v>
      </c>
      <c r="H196" s="20">
        <v>15292.17</v>
      </c>
    </row>
    <row r="197" spans="1:8" x14ac:dyDescent="0.35">
      <c r="A197" s="19"/>
      <c r="B197" s="19" t="s">
        <v>22</v>
      </c>
      <c r="C197" s="19">
        <v>45852</v>
      </c>
      <c r="D197" s="1" t="s">
        <v>95</v>
      </c>
      <c r="E197" s="1" t="s">
        <v>91</v>
      </c>
      <c r="F197" s="1" t="s">
        <v>19</v>
      </c>
      <c r="H197" s="20">
        <v>2271.2399999999998</v>
      </c>
    </row>
    <row r="198" spans="1:8" x14ac:dyDescent="0.35">
      <c r="A198" s="19"/>
      <c r="B198" s="19" t="s">
        <v>22</v>
      </c>
      <c r="C198" s="19">
        <v>45852</v>
      </c>
      <c r="D198" s="1" t="s">
        <v>96</v>
      </c>
      <c r="E198" s="1" t="s">
        <v>66</v>
      </c>
      <c r="F198" s="1" t="s">
        <v>19</v>
      </c>
      <c r="H198" s="20">
        <v>132628.29</v>
      </c>
    </row>
    <row r="199" spans="1:8" x14ac:dyDescent="0.35">
      <c r="A199" s="19"/>
      <c r="B199" s="19" t="s">
        <v>22</v>
      </c>
      <c r="C199" s="19">
        <v>45854</v>
      </c>
      <c r="D199" s="1" t="s">
        <v>97</v>
      </c>
      <c r="E199" s="1" t="s">
        <v>66</v>
      </c>
      <c r="F199" s="1" t="s">
        <v>19</v>
      </c>
      <c r="H199" s="20">
        <v>39906.35</v>
      </c>
    </row>
    <row r="200" spans="1:8" x14ac:dyDescent="0.35">
      <c r="A200" s="19"/>
      <c r="B200" s="19" t="s">
        <v>22</v>
      </c>
      <c r="C200" s="19">
        <v>45854</v>
      </c>
      <c r="D200" s="1" t="s">
        <v>98</v>
      </c>
      <c r="E200" s="1" t="s">
        <v>66</v>
      </c>
      <c r="F200" s="1" t="s">
        <v>19</v>
      </c>
      <c r="H200" s="20">
        <v>7066.7800000000007</v>
      </c>
    </row>
    <row r="201" spans="1:8" x14ac:dyDescent="0.35">
      <c r="A201" s="19"/>
      <c r="B201" s="19" t="s">
        <v>22</v>
      </c>
      <c r="C201" s="19">
        <v>45856</v>
      </c>
      <c r="D201" s="1" t="s">
        <v>99</v>
      </c>
      <c r="E201" s="1" t="s">
        <v>64</v>
      </c>
      <c r="F201" s="1" t="s">
        <v>19</v>
      </c>
      <c r="H201" s="20">
        <v>49890.8</v>
      </c>
    </row>
    <row r="202" spans="1:8" x14ac:dyDescent="0.35">
      <c r="A202" s="19"/>
      <c r="B202" s="19" t="s">
        <v>22</v>
      </c>
      <c r="C202" s="19">
        <v>45859</v>
      </c>
      <c r="D202" s="1" t="s">
        <v>100</v>
      </c>
      <c r="E202" s="1" t="s">
        <v>101</v>
      </c>
      <c r="F202" s="1" t="s">
        <v>19</v>
      </c>
      <c r="H202" s="20">
        <v>1980</v>
      </c>
    </row>
    <row r="203" spans="1:8" x14ac:dyDescent="0.35">
      <c r="A203" s="19"/>
      <c r="B203" s="19" t="s">
        <v>22</v>
      </c>
      <c r="C203" s="19">
        <v>45861</v>
      </c>
      <c r="D203" s="1" t="s">
        <v>102</v>
      </c>
      <c r="E203" s="1" t="s">
        <v>82</v>
      </c>
      <c r="F203" s="1" t="s">
        <v>19</v>
      </c>
      <c r="H203" s="20">
        <v>0</v>
      </c>
    </row>
    <row r="204" spans="1:8" x14ac:dyDescent="0.35">
      <c r="A204" s="19"/>
      <c r="B204" s="19" t="s">
        <v>22</v>
      </c>
      <c r="C204" s="19">
        <v>45862</v>
      </c>
      <c r="D204" s="1" t="s">
        <v>103</v>
      </c>
      <c r="E204" s="1" t="s">
        <v>75</v>
      </c>
      <c r="F204" s="1" t="s">
        <v>19</v>
      </c>
      <c r="H204" s="20">
        <v>46400</v>
      </c>
    </row>
    <row r="205" spans="1:8" x14ac:dyDescent="0.35">
      <c r="A205" s="19"/>
      <c r="B205" s="19" t="s">
        <v>22</v>
      </c>
      <c r="C205" s="19">
        <v>45863</v>
      </c>
      <c r="D205" s="1" t="s">
        <v>104</v>
      </c>
      <c r="E205" s="1" t="s">
        <v>105</v>
      </c>
      <c r="F205" s="1" t="s">
        <v>19</v>
      </c>
      <c r="H205" s="20">
        <v>10327.25</v>
      </c>
    </row>
    <row r="206" spans="1:8" x14ac:dyDescent="0.35">
      <c r="A206" s="19"/>
      <c r="B206" s="19" t="s">
        <v>22</v>
      </c>
      <c r="C206" s="19">
        <v>45863</v>
      </c>
      <c r="D206" s="1" t="s">
        <v>106</v>
      </c>
      <c r="E206" s="1" t="s">
        <v>105</v>
      </c>
      <c r="F206" s="1" t="s">
        <v>19</v>
      </c>
      <c r="H206" s="20">
        <v>1994.6799999999998</v>
      </c>
    </row>
    <row r="207" spans="1:8" x14ac:dyDescent="0.35">
      <c r="A207" s="19"/>
      <c r="B207" s="19" t="s">
        <v>22</v>
      </c>
      <c r="C207" s="19">
        <v>45863</v>
      </c>
      <c r="D207" s="1">
        <v>38332</v>
      </c>
      <c r="E207" s="1" t="s">
        <v>107</v>
      </c>
      <c r="F207" s="1" t="s">
        <v>19</v>
      </c>
      <c r="H207" s="20">
        <v>14089.22</v>
      </c>
    </row>
    <row r="208" spans="1:8" x14ac:dyDescent="0.35">
      <c r="A208" s="19"/>
      <c r="B208" s="19" t="s">
        <v>22</v>
      </c>
      <c r="C208" s="19">
        <v>45864</v>
      </c>
      <c r="D208" s="1" t="s">
        <v>108</v>
      </c>
      <c r="E208" s="1" t="s">
        <v>105</v>
      </c>
      <c r="F208" s="1" t="s">
        <v>19</v>
      </c>
      <c r="H208" s="20">
        <v>3435.2799999999997</v>
      </c>
    </row>
    <row r="209" spans="1:8" x14ac:dyDescent="0.35">
      <c r="A209" s="19"/>
      <c r="B209" s="19" t="s">
        <v>22</v>
      </c>
      <c r="C209" s="19">
        <v>45864</v>
      </c>
      <c r="D209" s="1" t="s">
        <v>109</v>
      </c>
      <c r="E209" s="1" t="s">
        <v>105</v>
      </c>
      <c r="F209" s="1" t="s">
        <v>19</v>
      </c>
      <c r="H209" s="20">
        <v>15808.25</v>
      </c>
    </row>
    <row r="210" spans="1:8" x14ac:dyDescent="0.35">
      <c r="A210" s="19"/>
      <c r="B210" s="19" t="s">
        <v>22</v>
      </c>
      <c r="C210" s="19">
        <v>45864</v>
      </c>
      <c r="D210" s="1" t="s">
        <v>110</v>
      </c>
      <c r="E210" s="1" t="s">
        <v>105</v>
      </c>
      <c r="F210" s="1" t="s">
        <v>19</v>
      </c>
      <c r="H210" s="20">
        <v>210</v>
      </c>
    </row>
    <row r="211" spans="1:8" x14ac:dyDescent="0.35">
      <c r="A211" s="19"/>
      <c r="B211" s="19" t="s">
        <v>22</v>
      </c>
      <c r="C211" s="19">
        <v>45864</v>
      </c>
      <c r="D211" s="1" t="s">
        <v>111</v>
      </c>
      <c r="E211" s="1" t="s">
        <v>107</v>
      </c>
      <c r="F211" s="1" t="s">
        <v>19</v>
      </c>
      <c r="H211" s="20">
        <v>2402.16</v>
      </c>
    </row>
    <row r="212" spans="1:8" x14ac:dyDescent="0.35">
      <c r="A212" s="19"/>
      <c r="B212" s="19" t="s">
        <v>22</v>
      </c>
      <c r="C212" s="19">
        <v>45866</v>
      </c>
      <c r="D212" s="1" t="s">
        <v>112</v>
      </c>
      <c r="E212" s="1" t="s">
        <v>113</v>
      </c>
      <c r="F212" s="1" t="s">
        <v>19</v>
      </c>
      <c r="H212" s="20">
        <v>-1550</v>
      </c>
    </row>
    <row r="213" spans="1:8" x14ac:dyDescent="0.35">
      <c r="A213" s="19"/>
      <c r="B213" s="19" t="s">
        <v>22</v>
      </c>
      <c r="C213" s="19">
        <v>45868</v>
      </c>
      <c r="D213" s="1" t="s">
        <v>114</v>
      </c>
      <c r="E213" s="1" t="s">
        <v>115</v>
      </c>
      <c r="F213" s="1" t="s">
        <v>19</v>
      </c>
      <c r="H213" s="20">
        <v>1421.04</v>
      </c>
    </row>
    <row r="214" spans="1:8" x14ac:dyDescent="0.35">
      <c r="A214" s="19"/>
      <c r="B214" s="19" t="s">
        <v>22</v>
      </c>
      <c r="C214" s="19">
        <v>45868</v>
      </c>
      <c r="D214" s="1" t="s">
        <v>116</v>
      </c>
      <c r="E214" s="1" t="s">
        <v>91</v>
      </c>
      <c r="F214" s="1" t="s">
        <v>19</v>
      </c>
      <c r="H214" s="20">
        <v>1020</v>
      </c>
    </row>
    <row r="215" spans="1:8" x14ac:dyDescent="0.35">
      <c r="A215" s="19"/>
      <c r="B215" s="19" t="s">
        <v>22</v>
      </c>
      <c r="C215" s="19">
        <v>45868</v>
      </c>
      <c r="D215" s="1" t="s">
        <v>117</v>
      </c>
      <c r="E215" s="1" t="s">
        <v>91</v>
      </c>
      <c r="F215" s="1" t="s">
        <v>19</v>
      </c>
      <c r="H215" s="20">
        <v>142.97999999999999</v>
      </c>
    </row>
    <row r="216" spans="1:8" x14ac:dyDescent="0.35">
      <c r="A216" s="19"/>
      <c r="B216" s="19" t="s">
        <v>22</v>
      </c>
      <c r="C216" s="19">
        <v>45868</v>
      </c>
      <c r="D216" s="1" t="s">
        <v>118</v>
      </c>
      <c r="E216" s="1" t="s">
        <v>91</v>
      </c>
      <c r="F216" s="1" t="s">
        <v>19</v>
      </c>
      <c r="H216" s="20">
        <v>14690.13</v>
      </c>
    </row>
    <row r="217" spans="1:8" x14ac:dyDescent="0.35">
      <c r="A217" s="19"/>
      <c r="B217" s="19" t="s">
        <v>22</v>
      </c>
      <c r="C217" s="19">
        <v>45868</v>
      </c>
      <c r="D217" s="1">
        <v>36570</v>
      </c>
      <c r="E217" s="1" t="s">
        <v>91</v>
      </c>
      <c r="F217" s="1" t="s">
        <v>19</v>
      </c>
      <c r="H217" s="20">
        <v>32053.93</v>
      </c>
    </row>
    <row r="218" spans="1:8" x14ac:dyDescent="0.35">
      <c r="A218" s="19"/>
      <c r="B218" s="19" t="s">
        <v>22</v>
      </c>
      <c r="C218" s="19">
        <v>45868</v>
      </c>
      <c r="D218" s="1" t="s">
        <v>119</v>
      </c>
      <c r="E218" s="1" t="s">
        <v>91</v>
      </c>
      <c r="F218" s="1" t="s">
        <v>19</v>
      </c>
      <c r="H218" s="20">
        <v>4490.03</v>
      </c>
    </row>
    <row r="219" spans="1:8" x14ac:dyDescent="0.35">
      <c r="A219" s="19"/>
      <c r="B219" s="19" t="s">
        <v>22</v>
      </c>
      <c r="C219" s="19">
        <v>45868</v>
      </c>
      <c r="D219" s="1" t="s">
        <v>120</v>
      </c>
      <c r="E219" s="1" t="s">
        <v>91</v>
      </c>
      <c r="F219" s="1" t="s">
        <v>19</v>
      </c>
      <c r="H219" s="20">
        <v>1557.68</v>
      </c>
    </row>
    <row r="220" spans="1:8" x14ac:dyDescent="0.35">
      <c r="A220" s="19"/>
      <c r="B220" s="19" t="s">
        <v>22</v>
      </c>
      <c r="C220" s="19">
        <v>45868</v>
      </c>
      <c r="D220" s="1">
        <v>36581</v>
      </c>
      <c r="E220" s="1" t="s">
        <v>91</v>
      </c>
      <c r="F220" s="1" t="s">
        <v>19</v>
      </c>
      <c r="H220" s="20">
        <v>3054.2900000000004</v>
      </c>
    </row>
    <row r="221" spans="1:8" x14ac:dyDescent="0.35">
      <c r="A221" s="19"/>
      <c r="B221" s="19" t="s">
        <v>22</v>
      </c>
      <c r="C221" s="19">
        <v>45868</v>
      </c>
      <c r="D221" s="1" t="s">
        <v>121</v>
      </c>
      <c r="E221" s="1" t="s">
        <v>91</v>
      </c>
      <c r="F221" s="1" t="s">
        <v>19</v>
      </c>
      <c r="H221" s="20">
        <v>3844.7999999999997</v>
      </c>
    </row>
    <row r="222" spans="1:8" x14ac:dyDescent="0.35">
      <c r="A222" s="19"/>
      <c r="B222" s="19" t="s">
        <v>22</v>
      </c>
      <c r="C222" s="19">
        <v>45868</v>
      </c>
      <c r="D222" s="1" t="s">
        <v>122</v>
      </c>
      <c r="E222" s="1" t="s">
        <v>115</v>
      </c>
      <c r="F222" s="1" t="s">
        <v>19</v>
      </c>
      <c r="H222" s="20">
        <v>835.71</v>
      </c>
    </row>
    <row r="223" spans="1:8" x14ac:dyDescent="0.35">
      <c r="A223" s="19"/>
      <c r="B223" s="19" t="s">
        <v>22</v>
      </c>
      <c r="C223" s="19">
        <v>45868</v>
      </c>
      <c r="D223" s="1" t="s">
        <v>123</v>
      </c>
      <c r="E223" s="1" t="s">
        <v>64</v>
      </c>
      <c r="F223" s="1" t="s">
        <v>19</v>
      </c>
      <c r="H223" s="20">
        <v>30480.129999999997</v>
      </c>
    </row>
    <row r="224" spans="1:8" x14ac:dyDescent="0.35">
      <c r="A224" s="19"/>
      <c r="B224" s="19" t="s">
        <v>22</v>
      </c>
      <c r="C224" s="19">
        <v>45869</v>
      </c>
      <c r="D224" s="1" t="s">
        <v>124</v>
      </c>
      <c r="E224" s="1" t="s">
        <v>125</v>
      </c>
      <c r="F224" s="1" t="s">
        <v>19</v>
      </c>
      <c r="H224" s="20">
        <v>6224</v>
      </c>
    </row>
    <row r="225" spans="1:8" x14ac:dyDescent="0.35">
      <c r="A225" s="19"/>
      <c r="B225" s="19" t="s">
        <v>22</v>
      </c>
      <c r="C225" s="19">
        <v>45869</v>
      </c>
      <c r="D225" s="1">
        <v>35801</v>
      </c>
      <c r="E225" s="1" t="s">
        <v>55</v>
      </c>
      <c r="F225" s="1" t="s">
        <v>19</v>
      </c>
      <c r="H225" s="20">
        <v>54642.01</v>
      </c>
    </row>
    <row r="226" spans="1:8" x14ac:dyDescent="0.35">
      <c r="A226" s="19"/>
      <c r="B226" s="19" t="s">
        <v>22</v>
      </c>
      <c r="C226" s="19">
        <v>45869</v>
      </c>
      <c r="D226" s="1">
        <v>35805</v>
      </c>
      <c r="E226" s="1" t="s">
        <v>55</v>
      </c>
      <c r="F226" s="1" t="s">
        <v>19</v>
      </c>
      <c r="H226" s="20">
        <v>66666.91</v>
      </c>
    </row>
    <row r="227" spans="1:8" x14ac:dyDescent="0.35">
      <c r="A227" s="19"/>
      <c r="B227" s="19" t="s">
        <v>22</v>
      </c>
      <c r="C227" s="19">
        <v>45869</v>
      </c>
      <c r="D227" s="1" t="s">
        <v>126</v>
      </c>
      <c r="E227" s="1" t="s">
        <v>91</v>
      </c>
      <c r="F227" s="1" t="s">
        <v>19</v>
      </c>
      <c r="H227" s="20">
        <v>2467.5</v>
      </c>
    </row>
    <row r="228" spans="1:8" x14ac:dyDescent="0.35">
      <c r="A228" s="19"/>
      <c r="B228" s="19" t="s">
        <v>22</v>
      </c>
      <c r="C228" s="19">
        <v>45869</v>
      </c>
      <c r="D228" s="1">
        <v>36729</v>
      </c>
      <c r="E228" s="1" t="s">
        <v>57</v>
      </c>
      <c r="F228" s="1" t="s">
        <v>19</v>
      </c>
      <c r="H228" s="20">
        <v>2634.29</v>
      </c>
    </row>
    <row r="229" spans="1:8" x14ac:dyDescent="0.35">
      <c r="A229" s="19"/>
      <c r="B229" s="19" t="s">
        <v>22</v>
      </c>
      <c r="C229" s="19">
        <v>45869</v>
      </c>
      <c r="D229" s="1" t="s">
        <v>127</v>
      </c>
      <c r="E229" s="1" t="s">
        <v>128</v>
      </c>
      <c r="F229" s="1" t="s">
        <v>19</v>
      </c>
      <c r="H229" s="20">
        <v>661.82</v>
      </c>
    </row>
    <row r="230" spans="1:8" x14ac:dyDescent="0.35">
      <c r="A230" s="19"/>
      <c r="B230" s="19" t="s">
        <v>22</v>
      </c>
      <c r="C230" s="19">
        <v>45869</v>
      </c>
      <c r="D230" s="1" t="s">
        <v>129</v>
      </c>
      <c r="E230" s="1" t="s">
        <v>128</v>
      </c>
      <c r="F230" s="1" t="s">
        <v>19</v>
      </c>
      <c r="H230" s="20">
        <v>8545.64</v>
      </c>
    </row>
    <row r="231" spans="1:8" x14ac:dyDescent="0.35">
      <c r="A231" s="19"/>
      <c r="B231" s="19" t="s">
        <v>22</v>
      </c>
      <c r="C231" s="19">
        <v>45869</v>
      </c>
      <c r="D231" s="1" t="s">
        <v>130</v>
      </c>
      <c r="E231" s="1" t="s">
        <v>131</v>
      </c>
      <c r="F231" s="1" t="s">
        <v>19</v>
      </c>
      <c r="H231" s="20">
        <v>75546.240000000005</v>
      </c>
    </row>
    <row r="232" spans="1:8" x14ac:dyDescent="0.35">
      <c r="A232" s="19"/>
      <c r="B232" s="19" t="s">
        <v>22</v>
      </c>
      <c r="C232" s="19">
        <v>45869</v>
      </c>
      <c r="D232" s="1">
        <v>37239</v>
      </c>
      <c r="E232" s="1" t="s">
        <v>55</v>
      </c>
      <c r="F232" s="1" t="s">
        <v>19</v>
      </c>
      <c r="H232" s="20">
        <v>0</v>
      </c>
    </row>
    <row r="233" spans="1:8" x14ac:dyDescent="0.35">
      <c r="A233" s="19"/>
      <c r="B233" s="19" t="s">
        <v>22</v>
      </c>
      <c r="C233" s="19">
        <v>45869</v>
      </c>
      <c r="D233" s="1">
        <v>37283</v>
      </c>
      <c r="E233" s="1" t="s">
        <v>128</v>
      </c>
      <c r="F233" s="1" t="s">
        <v>19</v>
      </c>
      <c r="H233" s="20">
        <v>0</v>
      </c>
    </row>
    <row r="234" spans="1:8" x14ac:dyDescent="0.35">
      <c r="A234" s="19"/>
      <c r="B234" s="19" t="s">
        <v>22</v>
      </c>
      <c r="C234" s="19">
        <v>45869</v>
      </c>
      <c r="D234" s="1">
        <v>37369</v>
      </c>
      <c r="E234" s="1" t="s">
        <v>132</v>
      </c>
      <c r="F234" s="1" t="s">
        <v>19</v>
      </c>
      <c r="H234" s="20">
        <v>527.91999999999996</v>
      </c>
    </row>
    <row r="235" spans="1:8" x14ac:dyDescent="0.35">
      <c r="A235" s="19"/>
      <c r="B235" s="19" t="s">
        <v>22</v>
      </c>
      <c r="C235" s="19">
        <v>45869</v>
      </c>
      <c r="D235" s="1" t="s">
        <v>133</v>
      </c>
      <c r="E235" s="1" t="s">
        <v>134</v>
      </c>
      <c r="F235" s="1" t="s">
        <v>19</v>
      </c>
      <c r="H235" s="20">
        <v>0</v>
      </c>
    </row>
    <row r="236" spans="1:8" x14ac:dyDescent="0.35">
      <c r="A236" s="19"/>
      <c r="B236" s="19" t="s">
        <v>22</v>
      </c>
      <c r="C236" s="19">
        <v>45869</v>
      </c>
      <c r="D236" s="1">
        <v>37682</v>
      </c>
      <c r="E236" s="1" t="s">
        <v>75</v>
      </c>
      <c r="F236" s="1" t="s">
        <v>19</v>
      </c>
      <c r="H236" s="20">
        <v>50982.97</v>
      </c>
    </row>
    <row r="237" spans="1:8" x14ac:dyDescent="0.35">
      <c r="A237" s="19"/>
      <c r="B237" s="19" t="s">
        <v>22</v>
      </c>
      <c r="C237" s="19">
        <v>45869</v>
      </c>
      <c r="D237" s="1" t="s">
        <v>135</v>
      </c>
      <c r="E237" s="1" t="s">
        <v>57</v>
      </c>
      <c r="F237" s="1" t="s">
        <v>19</v>
      </c>
      <c r="H237" s="20">
        <v>0</v>
      </c>
    </row>
    <row r="238" spans="1:8" x14ac:dyDescent="0.35">
      <c r="A238" s="19"/>
      <c r="B238" s="19" t="s">
        <v>22</v>
      </c>
      <c r="C238" s="19">
        <v>45869</v>
      </c>
      <c r="D238" s="1" t="s">
        <v>136</v>
      </c>
      <c r="E238" s="1" t="s">
        <v>137</v>
      </c>
      <c r="F238" s="1" t="s">
        <v>19</v>
      </c>
      <c r="H238" s="20">
        <v>82308.680000000008</v>
      </c>
    </row>
    <row r="239" spans="1:8" x14ac:dyDescent="0.35">
      <c r="A239" s="19"/>
      <c r="B239" s="19" t="s">
        <v>22</v>
      </c>
      <c r="C239" s="19">
        <v>45869</v>
      </c>
      <c r="D239" s="1" t="s">
        <v>138</v>
      </c>
      <c r="E239" s="1" t="s">
        <v>137</v>
      </c>
      <c r="F239" s="1" t="s">
        <v>19</v>
      </c>
      <c r="H239" s="20">
        <v>1444188.4900000002</v>
      </c>
    </row>
    <row r="240" spans="1:8" x14ac:dyDescent="0.35">
      <c r="A240" s="19"/>
      <c r="B240" s="19" t="s">
        <v>22</v>
      </c>
      <c r="C240" s="19">
        <v>45869</v>
      </c>
      <c r="D240" s="1">
        <v>38362</v>
      </c>
      <c r="E240" s="1" t="s">
        <v>137</v>
      </c>
      <c r="F240" s="1" t="s">
        <v>19</v>
      </c>
      <c r="H240" s="20">
        <v>184356.52</v>
      </c>
    </row>
    <row r="241" spans="1:8" x14ac:dyDescent="0.35">
      <c r="A241" s="19"/>
      <c r="B241" s="19" t="s">
        <v>22</v>
      </c>
      <c r="C241" s="19">
        <v>45869</v>
      </c>
      <c r="D241" s="1" t="s">
        <v>139</v>
      </c>
      <c r="E241" s="1" t="s">
        <v>137</v>
      </c>
      <c r="F241" s="1" t="s">
        <v>19</v>
      </c>
      <c r="H241" s="20">
        <v>65372.56</v>
      </c>
    </row>
    <row r="242" spans="1:8" x14ac:dyDescent="0.35">
      <c r="A242" s="19"/>
      <c r="B242" s="19" t="s">
        <v>22</v>
      </c>
      <c r="C242" s="19">
        <v>45869</v>
      </c>
      <c r="D242" s="1" t="s">
        <v>140</v>
      </c>
      <c r="E242" s="1" t="s">
        <v>137</v>
      </c>
      <c r="F242" s="1" t="s">
        <v>19</v>
      </c>
      <c r="H242" s="20">
        <v>88431.1</v>
      </c>
    </row>
    <row r="243" spans="1:8" x14ac:dyDescent="0.35">
      <c r="A243" s="19"/>
      <c r="B243" s="19" t="s">
        <v>22</v>
      </c>
      <c r="C243" s="19">
        <v>45869</v>
      </c>
      <c r="D243" s="1" t="s">
        <v>141</v>
      </c>
      <c r="E243" s="1" t="s">
        <v>137</v>
      </c>
      <c r="F243" s="1" t="s">
        <v>19</v>
      </c>
      <c r="H243" s="20">
        <v>0</v>
      </c>
    </row>
    <row r="244" spans="1:8" x14ac:dyDescent="0.35">
      <c r="A244" s="19"/>
      <c r="B244" s="19" t="s">
        <v>22</v>
      </c>
      <c r="C244" s="19">
        <v>45869</v>
      </c>
      <c r="D244" s="1" t="s">
        <v>142</v>
      </c>
      <c r="E244" s="1" t="s">
        <v>137</v>
      </c>
      <c r="F244" s="1" t="s">
        <v>19</v>
      </c>
      <c r="H244" s="20">
        <v>44144.76</v>
      </c>
    </row>
    <row r="245" spans="1:8" x14ac:dyDescent="0.35">
      <c r="A245" s="19"/>
      <c r="B245" s="19" t="s">
        <v>22</v>
      </c>
      <c r="C245" s="19">
        <v>45869</v>
      </c>
      <c r="D245" s="1">
        <v>38384</v>
      </c>
      <c r="E245" s="1" t="s">
        <v>66</v>
      </c>
      <c r="F245" s="1" t="s">
        <v>19</v>
      </c>
      <c r="H245" s="20">
        <v>11929.05</v>
      </c>
    </row>
    <row r="246" spans="1:8" x14ac:dyDescent="0.35">
      <c r="A246" s="19"/>
      <c r="B246" s="19" t="s">
        <v>22</v>
      </c>
      <c r="C246" s="19">
        <v>45869</v>
      </c>
      <c r="D246" s="1" t="s">
        <v>143</v>
      </c>
      <c r="E246" s="1" t="s">
        <v>66</v>
      </c>
      <c r="F246" s="1" t="s">
        <v>19</v>
      </c>
      <c r="H246" s="20">
        <v>19733.669999999998</v>
      </c>
    </row>
    <row r="247" spans="1:8" x14ac:dyDescent="0.35">
      <c r="A247" s="19"/>
      <c r="B247" s="19" t="s">
        <v>22</v>
      </c>
      <c r="C247" s="19">
        <v>45869</v>
      </c>
      <c r="D247" s="1">
        <v>38400</v>
      </c>
      <c r="E247" s="1" t="s">
        <v>66</v>
      </c>
      <c r="F247" s="1" t="s">
        <v>19</v>
      </c>
      <c r="H247" s="20">
        <v>22091.87</v>
      </c>
    </row>
    <row r="248" spans="1:8" x14ac:dyDescent="0.35">
      <c r="A248" s="19"/>
      <c r="B248" s="19" t="s">
        <v>22</v>
      </c>
      <c r="C248" s="19">
        <v>45869</v>
      </c>
      <c r="D248" s="1">
        <v>38623</v>
      </c>
      <c r="E248" s="1" t="s">
        <v>144</v>
      </c>
      <c r="F248" s="1" t="s">
        <v>19</v>
      </c>
      <c r="H248" s="20">
        <v>4720</v>
      </c>
    </row>
    <row r="249" spans="1:8" x14ac:dyDescent="0.35">
      <c r="A249" s="19"/>
      <c r="B249" s="19" t="s">
        <v>22</v>
      </c>
      <c r="C249" s="19">
        <v>45869</v>
      </c>
      <c r="D249" s="1">
        <v>38724</v>
      </c>
      <c r="E249" s="1" t="s">
        <v>145</v>
      </c>
      <c r="F249" s="1" t="s">
        <v>19</v>
      </c>
      <c r="H249" s="20">
        <v>0</v>
      </c>
    </row>
    <row r="250" spans="1:8" x14ac:dyDescent="0.35">
      <c r="A250" s="19"/>
      <c r="B250" s="1" t="s">
        <v>150</v>
      </c>
      <c r="C250" s="28">
        <v>45839</v>
      </c>
      <c r="D250" s="29" t="s">
        <v>54</v>
      </c>
      <c r="E250" s="1" t="s">
        <v>55</v>
      </c>
      <c r="F250" s="1" t="s">
        <v>146</v>
      </c>
      <c r="H250" s="30">
        <v>33690.51</v>
      </c>
    </row>
    <row r="251" spans="1:8" x14ac:dyDescent="0.35">
      <c r="A251" s="19"/>
      <c r="B251" s="1" t="s">
        <v>150</v>
      </c>
      <c r="C251" s="28">
        <v>45868</v>
      </c>
      <c r="D251" s="29">
        <v>36570</v>
      </c>
      <c r="E251" s="1" t="s">
        <v>91</v>
      </c>
      <c r="F251" s="1" t="s">
        <v>19</v>
      </c>
      <c r="H251" s="30">
        <v>16950</v>
      </c>
    </row>
    <row r="252" spans="1:8" x14ac:dyDescent="0.35">
      <c r="A252" s="19"/>
      <c r="B252" s="1" t="s">
        <v>150</v>
      </c>
      <c r="C252" s="28">
        <v>45868</v>
      </c>
      <c r="D252" s="29">
        <v>36581</v>
      </c>
      <c r="E252" s="1" t="s">
        <v>91</v>
      </c>
      <c r="F252" s="1" t="s">
        <v>19</v>
      </c>
      <c r="H252" s="30">
        <v>2850</v>
      </c>
    </row>
    <row r="253" spans="1:8" x14ac:dyDescent="0.35">
      <c r="A253" s="19"/>
      <c r="B253" s="1" t="s">
        <v>150</v>
      </c>
      <c r="C253" s="28">
        <v>45869</v>
      </c>
      <c r="D253" s="29" t="s">
        <v>147</v>
      </c>
      <c r="E253" s="1" t="s">
        <v>148</v>
      </c>
      <c r="F253" s="1" t="s">
        <v>19</v>
      </c>
      <c r="H253" s="30">
        <v>5492.4</v>
      </c>
    </row>
    <row r="254" spans="1:8" x14ac:dyDescent="0.35">
      <c r="A254" s="19"/>
      <c r="B254" s="1" t="s">
        <v>150</v>
      </c>
      <c r="C254" s="28">
        <v>45869</v>
      </c>
      <c r="D254" s="29">
        <v>36729</v>
      </c>
      <c r="E254" s="1" t="s">
        <v>57</v>
      </c>
      <c r="F254" s="1" t="s">
        <v>19</v>
      </c>
      <c r="H254" s="30">
        <v>8600</v>
      </c>
    </row>
    <row r="255" spans="1:8" x14ac:dyDescent="0.35">
      <c r="B255" s="1" t="s">
        <v>151</v>
      </c>
      <c r="C255" s="19">
        <v>45839</v>
      </c>
      <c r="D255" s="1">
        <v>33555</v>
      </c>
      <c r="E255" s="1" t="s">
        <v>29</v>
      </c>
      <c r="F255" s="1" t="s">
        <v>149</v>
      </c>
      <c r="H255" s="30">
        <v>3894.22</v>
      </c>
    </row>
    <row r="256" spans="1:8" x14ac:dyDescent="0.35">
      <c r="B256" s="1" t="s">
        <v>151</v>
      </c>
      <c r="C256" s="19">
        <v>45839</v>
      </c>
      <c r="D256" s="1">
        <v>35518</v>
      </c>
      <c r="E256" s="1" t="s">
        <v>49</v>
      </c>
      <c r="F256" s="1" t="s">
        <v>149</v>
      </c>
      <c r="H256" s="30">
        <v>3631.49</v>
      </c>
    </row>
    <row r="257" spans="2:8" x14ac:dyDescent="0.35">
      <c r="B257" s="1" t="s">
        <v>151</v>
      </c>
      <c r="C257" s="19">
        <v>45839</v>
      </c>
      <c r="D257" s="1">
        <v>36221</v>
      </c>
      <c r="E257" s="1" t="s">
        <v>52</v>
      </c>
      <c r="F257" s="1" t="s">
        <v>149</v>
      </c>
      <c r="H257" s="30">
        <v>0</v>
      </c>
    </row>
    <row r="258" spans="2:8" x14ac:dyDescent="0.35">
      <c r="B258" s="1" t="s">
        <v>151</v>
      </c>
      <c r="C258" s="19">
        <v>45839</v>
      </c>
      <c r="D258" s="1" t="s">
        <v>58</v>
      </c>
      <c r="E258" s="1" t="s">
        <v>59</v>
      </c>
      <c r="F258" s="1" t="s">
        <v>149</v>
      </c>
      <c r="H258" s="30">
        <v>2080.08</v>
      </c>
    </row>
    <row r="259" spans="2:8" x14ac:dyDescent="0.35">
      <c r="B259" s="1" t="s">
        <v>151</v>
      </c>
      <c r="C259" s="19">
        <v>45839</v>
      </c>
      <c r="D259" s="1">
        <v>38130</v>
      </c>
      <c r="E259" s="1" t="s">
        <v>60</v>
      </c>
      <c r="F259" s="1" t="s">
        <v>149</v>
      </c>
      <c r="H259" s="30">
        <v>221.95</v>
      </c>
    </row>
    <row r="260" spans="2:8" x14ac:dyDescent="0.35">
      <c r="B260" s="1" t="s">
        <v>151</v>
      </c>
      <c r="C260" s="19">
        <v>45846</v>
      </c>
      <c r="D260" s="1">
        <v>38187</v>
      </c>
      <c r="E260" s="1" t="s">
        <v>70</v>
      </c>
      <c r="F260" s="1" t="s">
        <v>149</v>
      </c>
      <c r="H260" s="30">
        <v>872.8</v>
      </c>
    </row>
    <row r="261" spans="2:8" x14ac:dyDescent="0.35">
      <c r="B261" s="1" t="s">
        <v>151</v>
      </c>
      <c r="C261" s="19">
        <v>45846</v>
      </c>
      <c r="D261" s="1">
        <v>38196</v>
      </c>
      <c r="E261" s="1" t="s">
        <v>70</v>
      </c>
      <c r="F261" s="1" t="s">
        <v>149</v>
      </c>
      <c r="H261" s="30">
        <v>1896.1</v>
      </c>
    </row>
    <row r="262" spans="2:8" x14ac:dyDescent="0.35">
      <c r="B262" s="1" t="s">
        <v>151</v>
      </c>
      <c r="C262" s="19">
        <v>45846</v>
      </c>
      <c r="D262" s="1">
        <v>38396</v>
      </c>
      <c r="E262" s="1" t="s">
        <v>66</v>
      </c>
      <c r="F262" s="1" t="s">
        <v>149</v>
      </c>
      <c r="H262" s="30">
        <v>102.17</v>
      </c>
    </row>
    <row r="263" spans="2:8" x14ac:dyDescent="0.35">
      <c r="B263" s="1" t="s">
        <v>151</v>
      </c>
      <c r="C263" s="19">
        <v>45852</v>
      </c>
      <c r="D263" s="1" t="s">
        <v>93</v>
      </c>
      <c r="E263" s="1" t="s">
        <v>91</v>
      </c>
      <c r="F263" s="1" t="s">
        <v>149</v>
      </c>
      <c r="H263" s="30">
        <v>2369.63</v>
      </c>
    </row>
    <row r="264" spans="2:8" x14ac:dyDescent="0.35">
      <c r="B264" s="1" t="s">
        <v>151</v>
      </c>
      <c r="C264" s="19">
        <v>45852</v>
      </c>
      <c r="D264" s="1" t="s">
        <v>94</v>
      </c>
      <c r="E264" s="1" t="s">
        <v>91</v>
      </c>
      <c r="F264" s="1" t="s">
        <v>149</v>
      </c>
      <c r="H264" s="30">
        <v>4586.59</v>
      </c>
    </row>
    <row r="265" spans="2:8" x14ac:dyDescent="0.35">
      <c r="B265" s="1" t="s">
        <v>151</v>
      </c>
      <c r="C265" s="19">
        <v>45856</v>
      </c>
      <c r="D265" s="1" t="s">
        <v>99</v>
      </c>
      <c r="E265" s="1" t="s">
        <v>64</v>
      </c>
      <c r="F265" s="1" t="s">
        <v>149</v>
      </c>
      <c r="H265" s="30">
        <v>47554.7</v>
      </c>
    </row>
    <row r="266" spans="2:8" x14ac:dyDescent="0.35">
      <c r="B266" s="1" t="s">
        <v>151</v>
      </c>
      <c r="C266" s="19">
        <v>45863</v>
      </c>
      <c r="D266" s="1" t="s">
        <v>104</v>
      </c>
      <c r="E266" s="1" t="s">
        <v>105</v>
      </c>
      <c r="F266" s="1" t="s">
        <v>149</v>
      </c>
      <c r="H266" s="30">
        <v>4629.84</v>
      </c>
    </row>
    <row r="267" spans="2:8" x14ac:dyDescent="0.35">
      <c r="B267" s="1" t="s">
        <v>151</v>
      </c>
      <c r="C267" s="19">
        <v>45863</v>
      </c>
      <c r="D267" s="1" t="s">
        <v>106</v>
      </c>
      <c r="E267" s="1" t="s">
        <v>105</v>
      </c>
      <c r="F267" s="1" t="s">
        <v>149</v>
      </c>
      <c r="H267" s="30">
        <v>523.51</v>
      </c>
    </row>
    <row r="268" spans="2:8" x14ac:dyDescent="0.35">
      <c r="B268" s="1" t="s">
        <v>151</v>
      </c>
      <c r="C268" s="19">
        <v>45863</v>
      </c>
      <c r="D268" s="1">
        <v>38332</v>
      </c>
      <c r="E268" s="1" t="s">
        <v>107</v>
      </c>
      <c r="F268" s="1" t="s">
        <v>149</v>
      </c>
      <c r="H268" s="30">
        <v>1408.92</v>
      </c>
    </row>
    <row r="269" spans="2:8" x14ac:dyDescent="0.35">
      <c r="B269" s="1" t="s">
        <v>151</v>
      </c>
      <c r="C269" s="19">
        <v>45868</v>
      </c>
      <c r="D269" s="1">
        <v>36570</v>
      </c>
      <c r="E269" s="1" t="s">
        <v>91</v>
      </c>
      <c r="F269" s="1" t="s">
        <v>149</v>
      </c>
      <c r="H269" s="30">
        <v>3205.43</v>
      </c>
    </row>
    <row r="270" spans="2:8" x14ac:dyDescent="0.35">
      <c r="B270" s="1" t="s">
        <v>151</v>
      </c>
      <c r="C270" s="19">
        <v>45868</v>
      </c>
      <c r="D270" s="1">
        <v>36581</v>
      </c>
      <c r="E270" s="1" t="s">
        <v>91</v>
      </c>
      <c r="F270" s="1" t="s">
        <v>149</v>
      </c>
      <c r="H270" s="30">
        <v>305.43</v>
      </c>
    </row>
    <row r="271" spans="2:8" x14ac:dyDescent="0.35">
      <c r="B271" s="1" t="s">
        <v>151</v>
      </c>
      <c r="C271" s="19">
        <v>45868</v>
      </c>
      <c r="D271" s="1" t="s">
        <v>123</v>
      </c>
      <c r="E271" s="1" t="s">
        <v>64</v>
      </c>
      <c r="F271" s="1" t="s">
        <v>149</v>
      </c>
      <c r="H271" s="30">
        <v>12630.12</v>
      </c>
    </row>
    <row r="272" spans="2:8" x14ac:dyDescent="0.35">
      <c r="B272" s="1" t="s">
        <v>151</v>
      </c>
      <c r="C272" s="19">
        <v>45869</v>
      </c>
      <c r="D272" s="1">
        <v>35801</v>
      </c>
      <c r="E272" s="1" t="s">
        <v>55</v>
      </c>
      <c r="F272" s="1" t="s">
        <v>149</v>
      </c>
      <c r="H272" s="30">
        <v>9350</v>
      </c>
    </row>
    <row r="273" spans="2:8" x14ac:dyDescent="0.35">
      <c r="B273" s="1" t="s">
        <v>151</v>
      </c>
      <c r="C273" s="19">
        <v>45869</v>
      </c>
      <c r="D273" s="1">
        <v>35805</v>
      </c>
      <c r="E273" s="1" t="s">
        <v>55</v>
      </c>
      <c r="F273" s="1" t="s">
        <v>149</v>
      </c>
      <c r="H273" s="30">
        <v>14435.92</v>
      </c>
    </row>
    <row r="274" spans="2:8" x14ac:dyDescent="0.35">
      <c r="B274" s="1" t="s">
        <v>151</v>
      </c>
      <c r="C274" s="19">
        <v>45869</v>
      </c>
      <c r="D274" s="1">
        <v>36729</v>
      </c>
      <c r="E274" s="1" t="s">
        <v>57</v>
      </c>
      <c r="F274" s="1" t="s">
        <v>149</v>
      </c>
      <c r="H274" s="30">
        <v>300.86</v>
      </c>
    </row>
    <row r="275" spans="2:8" x14ac:dyDescent="0.35">
      <c r="B275" s="1" t="s">
        <v>151</v>
      </c>
      <c r="C275" s="19">
        <v>45869</v>
      </c>
      <c r="D275" s="1">
        <v>37682</v>
      </c>
      <c r="E275" s="1" t="s">
        <v>75</v>
      </c>
      <c r="F275" s="1" t="s">
        <v>149</v>
      </c>
      <c r="H275" s="30">
        <v>4893.4399999999996</v>
      </c>
    </row>
    <row r="276" spans="2:8" x14ac:dyDescent="0.35">
      <c r="B276" s="1" t="s">
        <v>151</v>
      </c>
      <c r="C276" s="19">
        <v>45869</v>
      </c>
      <c r="D276" s="1">
        <v>38362</v>
      </c>
      <c r="E276" s="1" t="s">
        <v>137</v>
      </c>
      <c r="F276" s="1" t="s">
        <v>149</v>
      </c>
      <c r="H276" s="30">
        <v>34212.879999999997</v>
      </c>
    </row>
    <row r="277" spans="2:8" x14ac:dyDescent="0.35">
      <c r="B277" s="1" t="s">
        <v>151</v>
      </c>
      <c r="C277" s="19">
        <v>45869</v>
      </c>
      <c r="D277" s="1">
        <v>38384</v>
      </c>
      <c r="E277" s="1" t="s">
        <v>66</v>
      </c>
      <c r="F277" s="1" t="s">
        <v>149</v>
      </c>
      <c r="H277" s="30">
        <v>3921.75</v>
      </c>
    </row>
    <row r="278" spans="2:8" x14ac:dyDescent="0.35">
      <c r="B278" s="1" t="s">
        <v>151</v>
      </c>
      <c r="C278" s="19">
        <v>45869</v>
      </c>
      <c r="D278" s="1">
        <v>38400</v>
      </c>
      <c r="E278" s="1" t="s">
        <v>66</v>
      </c>
      <c r="F278" s="1" t="s">
        <v>149</v>
      </c>
      <c r="H278" s="30">
        <v>10904.08</v>
      </c>
    </row>
    <row r="279" spans="2:8" x14ac:dyDescent="0.35">
      <c r="B279" s="1" t="s">
        <v>151</v>
      </c>
      <c r="C279" s="19">
        <v>45869</v>
      </c>
      <c r="D279" s="1">
        <v>38623</v>
      </c>
      <c r="E279" s="1" t="s">
        <v>144</v>
      </c>
      <c r="F279" s="1" t="s">
        <v>149</v>
      </c>
      <c r="H279" s="30">
        <v>10400</v>
      </c>
    </row>
    <row r="280" spans="2:8" x14ac:dyDescent="0.35">
      <c r="B280" s="1" t="s">
        <v>150</v>
      </c>
      <c r="C280" s="19">
        <v>45839</v>
      </c>
      <c r="D280" s="1" t="s">
        <v>54</v>
      </c>
      <c r="E280" s="1" t="s">
        <v>55</v>
      </c>
      <c r="F280" s="1" t="s">
        <v>146</v>
      </c>
      <c r="H280" s="30">
        <v>33690.51</v>
      </c>
    </row>
    <row r="281" spans="2:8" x14ac:dyDescent="0.35">
      <c r="B281" s="1" t="s">
        <v>150</v>
      </c>
      <c r="C281" s="19">
        <v>45868</v>
      </c>
      <c r="D281" s="1">
        <v>36570</v>
      </c>
      <c r="E281" s="1" t="s">
        <v>91</v>
      </c>
      <c r="F281" s="1" t="s">
        <v>146</v>
      </c>
      <c r="H281" s="30">
        <v>16950</v>
      </c>
    </row>
    <row r="282" spans="2:8" x14ac:dyDescent="0.35">
      <c r="B282" s="1" t="s">
        <v>150</v>
      </c>
      <c r="C282" s="19">
        <v>45868</v>
      </c>
      <c r="D282" s="1">
        <v>36581</v>
      </c>
      <c r="E282" s="1" t="s">
        <v>91</v>
      </c>
      <c r="F282" s="1" t="s">
        <v>146</v>
      </c>
      <c r="H282" s="30">
        <v>2850</v>
      </c>
    </row>
    <row r="283" spans="2:8" x14ac:dyDescent="0.35">
      <c r="B283" s="1" t="s">
        <v>150</v>
      </c>
      <c r="C283" s="19">
        <v>45869</v>
      </c>
      <c r="D283" s="1" t="s">
        <v>147</v>
      </c>
      <c r="E283" s="1" t="s">
        <v>148</v>
      </c>
      <c r="F283" s="1" t="s">
        <v>146</v>
      </c>
      <c r="H283" s="30">
        <v>5492.4</v>
      </c>
    </row>
    <row r="284" spans="2:8" x14ac:dyDescent="0.35">
      <c r="B284" s="1" t="s">
        <v>150</v>
      </c>
      <c r="C284" s="19">
        <v>45869</v>
      </c>
      <c r="D284" s="1">
        <v>36729</v>
      </c>
      <c r="E284" s="1" t="s">
        <v>57</v>
      </c>
      <c r="F284" s="1" t="s">
        <v>146</v>
      </c>
      <c r="H284" s="30">
        <v>8600</v>
      </c>
    </row>
  </sheetData>
  <hyperlinks>
    <hyperlink ref="A5" r:id="rId1" display="https://9607261.app.netsuite.com/app/reporting/reportrunner.nl?fromreport=320&amp;regtx,tranline,kacct,x,alltranline5,IN,x,x=950&amp;cr=293" xr:uid="{C5773405-CE0E-4F56-8E07-3B76978AB553}"/>
    <hyperlink ref="A7" r:id="rId2" display="https://9607261.app.netsuite.com/app/reporting/reportrunner.nl?fromreport=320&amp;regtx,tranline,kacct,x,alltranline5,IN,x,x=950&amp;cr=293" xr:uid="{9B7088F3-F078-48F5-A695-984C394B5B11}"/>
    <hyperlink ref="A8" r:id="rId3" display="https://9607261.app.netsuite.com/app/reporting/reportrunner.nl?fromreport=320&amp;regtx,tranline,kacct,x,alltranline5,IN,x,x=950&amp;cr=293" xr:uid="{74156794-EFB9-45A7-A834-FF947502C8BF}"/>
    <hyperlink ref="A9" r:id="rId4" display="https://9607261.app.netsuite.com/app/reporting/reportrunner.nl?fromreport=320&amp;regtx,tranline,kacct,x,alltranline5,IN,x,x=950&amp;cr=293" xr:uid="{1F28DC5D-4416-4BF3-B618-6C68DEB500E9}"/>
    <hyperlink ref="A10" r:id="rId5" display="https://9607261.app.netsuite.com/app/reporting/reportrunner.nl?fromreport=320&amp;regtx,tranline,kacct,x,alltranline5,IN,x,x=950&amp;cr=293" xr:uid="{C4BE91C9-5D3F-4AF2-A2D5-DB4F93871912}"/>
    <hyperlink ref="A11" r:id="rId6" display="https://9607261.app.netsuite.com/app/reporting/reportrunner.nl?fromreport=320&amp;regtx,tranline,kacct,x,alltranline5,IN,x,x=950&amp;cr=293" xr:uid="{C2204E80-6598-4A0F-9212-B94ADEC5E4C9}"/>
    <hyperlink ref="A12" r:id="rId7" display="https://9607261.app.netsuite.com/app/reporting/reportrunner.nl?fromreport=320&amp;regtx,tranline,kacct,x,alltranline5,IN,x,x=950&amp;cr=293" xr:uid="{56244027-6AC6-4C94-A38C-5BD76D735288}"/>
    <hyperlink ref="A13" r:id="rId8" display="https://9607261.app.netsuite.com/app/reporting/reportrunner.nl?fromreport=320&amp;regtx,tranline,kacct,x,alltranline5,IN,x,x=950&amp;cr=293" xr:uid="{8E3BFEA4-5E53-4FF8-89B7-566A4ED41462}"/>
    <hyperlink ref="A14" r:id="rId9" display="https://9607261.app.netsuite.com/app/reporting/reportrunner.nl?fromreport=320&amp;regtx,tranline,kacct,x,alltranline5,IN,x,x=950&amp;cr=293" xr:uid="{86D7171F-19D6-4490-8343-73D7D9AAF56C}"/>
    <hyperlink ref="A15" r:id="rId10" display="https://9607261.app.netsuite.com/app/reporting/reportrunner.nl?fromreport=320&amp;regtx,tranline,kacct,x,alltranline5,IN,x,x=950&amp;cr=293" xr:uid="{1BBA0E64-D48A-443F-9D97-32C9B8908DA6}"/>
    <hyperlink ref="A16" r:id="rId11" display="https://9607261.app.netsuite.com/app/reporting/reportrunner.nl?fromreport=320&amp;regtx,tranline,kacct,x,alltranline5,IN,x,x=950&amp;cr=293" xr:uid="{9F7CCAB7-33D2-41BA-A789-C8C7815B6625}"/>
    <hyperlink ref="A17" r:id="rId12" display="https://9607261.app.netsuite.com/app/reporting/reportrunner.nl?fromreport=320&amp;regtx,tranline,kacct,x,alltranline5,IN,x,x=950&amp;cr=293" xr:uid="{B07748E4-AC11-40F8-B4A8-FF57B1154D4E}"/>
    <hyperlink ref="A18" r:id="rId13" display="https://9607261.app.netsuite.com/app/reporting/reportrunner.nl?fromreport=320&amp;regtx,tranline,kacct,x,alltranline5,IN,x,x=950&amp;cr=293" xr:uid="{63705824-384F-46ED-939D-1F8E43255E98}"/>
    <hyperlink ref="A19" r:id="rId14" display="https://9607261.app.netsuite.com/app/reporting/reportrunner.nl?fromreport=320&amp;regtx,tranline,kacct,x,alltranline5,IN,x,x=950&amp;cr=293" xr:uid="{09541427-315F-4BC4-9551-C60823EB573B}"/>
    <hyperlink ref="A20" r:id="rId15" display="https://9607261.app.netsuite.com/app/reporting/reportrunner.nl?fromreport=320&amp;regtx,tranline,kacct,x,alltranline5,IN,x,x=950&amp;cr=293" xr:uid="{7E09967D-5A31-4840-9A3F-E783F7383A12}"/>
    <hyperlink ref="A21" r:id="rId16" display="https://9607261.app.netsuite.com/app/reporting/reportrunner.nl?fromreport=320&amp;regtx,tranline,kacct,x,alltranline5,IN,x,x=950&amp;cr=293" xr:uid="{C29A7DDC-657C-4AF2-8363-94641E5FB40A}"/>
    <hyperlink ref="A22" r:id="rId17" display="https://9607261.app.netsuite.com/app/reporting/reportrunner.nl?fromreport=320&amp;regtx,tranline,kacct,x,alltranline5,IN,x,x=950&amp;cr=293" xr:uid="{5DA9CB59-52B3-4A54-A443-845E4C51EE45}"/>
    <hyperlink ref="A23" r:id="rId18" display="https://9607261.app.netsuite.com/app/reporting/reportrunner.nl?fromreport=320&amp;regtx,tranline,kacct,x,alltranline5,IN,x,x=950&amp;cr=293" xr:uid="{1096A6E1-F5D1-4FE7-AC8A-136A19F714F9}"/>
    <hyperlink ref="A24" r:id="rId19" display="https://9607261.app.netsuite.com/app/reporting/reportrunner.nl?fromreport=320&amp;regtx,tranline,kacct,x,alltranline5,IN,x,x=950&amp;cr=293" xr:uid="{8EB4EA82-800F-488C-B000-1AB2C18FB458}"/>
    <hyperlink ref="A25" r:id="rId20" display="https://9607261.app.netsuite.com/app/reporting/reportrunner.nl?fromreport=320&amp;regtx,tranline,kacct,x,alltranline5,IN,x,x=950&amp;cr=293" xr:uid="{3218EDBA-9FEA-47BD-B924-C403E0CB639D}"/>
    <hyperlink ref="A26" r:id="rId21" display="https://9607261.app.netsuite.com/app/reporting/reportrunner.nl?fromreport=320&amp;regtx,tranline,kacct,x,alltranline5,IN,x,x=950&amp;cr=293" xr:uid="{9D38D3B3-45C7-45F4-BB1E-9301DCCB82B3}"/>
    <hyperlink ref="A27" r:id="rId22" display="https://9607261.app.netsuite.com/app/reporting/reportrunner.nl?fromreport=320&amp;regtx,tranline,kacct,x,alltranline5,IN,x,x=950&amp;cr=293" xr:uid="{95A3CD9D-87C1-46A8-8E5A-7DD34EE61E8E}"/>
    <hyperlink ref="A28" r:id="rId23" display="https://9607261.app.netsuite.com/app/reporting/reportrunner.nl?fromreport=320&amp;regtx,tranline,kacct,x,alltranline5,IN,x,x=950&amp;cr=293" xr:uid="{EA4ECB96-387B-4B8D-AA82-DDFB6FBF25AC}"/>
    <hyperlink ref="A29" r:id="rId24" display="https://9607261.app.netsuite.com/app/reporting/reportrunner.nl?fromreport=320&amp;regtx,tranline,kacct,x,alltranline5,IN,x,x=950&amp;cr=293" xr:uid="{B8CC8FF0-3A08-4F61-99F8-F679F3E8E3A9}"/>
    <hyperlink ref="A30" r:id="rId25" display="https://9607261.app.netsuite.com/app/reporting/reportrunner.nl?fromreport=320&amp;regtx,tranline,kacct,x,alltranline5,IN,x,x=950&amp;cr=293" xr:uid="{41A35C64-0193-4EE1-B193-9B195B185416}"/>
    <hyperlink ref="A31" r:id="rId26" display="https://9607261.app.netsuite.com/app/reporting/reportrunner.nl?fromreport=320&amp;regtx,tranline,kacct,x,alltranline5,IN,x,x=950&amp;cr=293" xr:uid="{E14E8548-43A6-4462-AA1E-ECA67F296691}"/>
    <hyperlink ref="A32" r:id="rId27" display="https://9607261.app.netsuite.com/app/reporting/reportrunner.nl?fromreport=320&amp;regtx,tranline,kacct,x,alltranline5,IN,x,x=950&amp;cr=293" xr:uid="{54130D67-57F9-4FE4-B545-0445183EA1C9}"/>
    <hyperlink ref="A33" r:id="rId28" display="https://9607261.app.netsuite.com/app/reporting/reportrunner.nl?fromreport=320&amp;regtx,tranline,kacct,x,alltranline5,IN,x,x=950&amp;cr=293" xr:uid="{E74EECD4-5B18-41FB-98A3-C0D8E96DBE39}"/>
    <hyperlink ref="A34" r:id="rId29" display="https://9607261.app.netsuite.com/app/reporting/reportrunner.nl?fromreport=320&amp;regtx,tranline,kacct,x,alltranline5,IN,x,x=950&amp;cr=293" xr:uid="{D806327A-B28B-4454-83E5-A9787F3F7871}"/>
    <hyperlink ref="A35" r:id="rId30" display="https://9607261.app.netsuite.com/app/reporting/reportrunner.nl?fromreport=320&amp;regtx,tranline,kacct,x,alltranline5,IN,x,x=950&amp;cr=293" xr:uid="{79984BF1-C5F1-4FD8-AC79-53C5BFDA30AF}"/>
    <hyperlink ref="A36" r:id="rId31" display="https://9607261.app.netsuite.com/app/reporting/reportrunner.nl?fromreport=320&amp;regtx,tranline,kacct,x,alltranline5,IN,x,x=950&amp;cr=293" xr:uid="{A28F575A-BED7-4130-BB32-FCFD84913277}"/>
    <hyperlink ref="A37" r:id="rId32" display="https://9607261.app.netsuite.com/app/reporting/reportrunner.nl?fromreport=320&amp;regtx,tranline,kacct,x,alltranline5,IN,x,x=950&amp;cr=293" xr:uid="{6CA0AC93-E167-4C9C-A449-18E0327D3B5C}"/>
    <hyperlink ref="A38" r:id="rId33" display="https://9607261.app.netsuite.com/app/reporting/reportrunner.nl?fromreport=320&amp;regtx,tranline,kacct,x,alltranline5,IN,x,x=950&amp;cr=293" xr:uid="{B5988199-BF58-467E-B5B6-EFFC0AE9692C}"/>
    <hyperlink ref="A39" r:id="rId34" display="https://9607261.app.netsuite.com/app/reporting/reportrunner.nl?fromreport=320&amp;regtx,tranline,kacct,x,alltranline5,IN,x,x=950&amp;cr=293" xr:uid="{E6277BB8-67C2-4C4E-B508-EE5171DF4499}"/>
    <hyperlink ref="A40" r:id="rId35" display="https://9607261.app.netsuite.com/app/reporting/reportrunner.nl?fromreport=320&amp;regtx,tranline,kacct,x,alltranline5,IN,x,x=950&amp;cr=293" xr:uid="{46263834-1039-4F90-8D2F-69F10BA0191A}"/>
    <hyperlink ref="A41" r:id="rId36" display="https://9607261.app.netsuite.com/app/reporting/reportrunner.nl?fromreport=320&amp;regtx,tranline,kacct,x,alltranline5,IN,x,x=950&amp;cr=293" xr:uid="{DBFDAF36-0E88-4E2D-B6DC-1C14886FC389}"/>
    <hyperlink ref="A42" r:id="rId37" display="https://9607261.app.netsuite.com/app/reporting/reportrunner.nl?fromreport=320&amp;regtx,tranline,kacct,x,alltranline5,IN,x,x=950&amp;cr=293" xr:uid="{71AC5647-50EA-446D-A87B-2D7FA512AA81}"/>
    <hyperlink ref="A43" r:id="rId38" display="https://9607261.app.netsuite.com/app/reporting/reportrunner.nl?fromreport=320&amp;regtx,tranline,kacct,x,alltranline5,IN,x,x=950&amp;cr=293" xr:uid="{C1F8A59B-B26E-4982-BD91-7FBD1A5001BE}"/>
    <hyperlink ref="A44" r:id="rId39" display="https://9607261.app.netsuite.com/app/reporting/reportrunner.nl?fromreport=320&amp;regtx,tranline,kacct,x,alltranline5,IN,x,x=950&amp;cr=293" xr:uid="{99261D42-BF0B-4A6D-BF2D-751891A1C6FE}"/>
    <hyperlink ref="A45" r:id="rId40" display="https://9607261.app.netsuite.com/app/reporting/reportrunner.nl?fromreport=320&amp;regtx,tranline,kacct,x,alltranline5,IN,x,x=950&amp;cr=293" xr:uid="{D288C39F-E09A-45C9-B1BA-128587613F83}"/>
    <hyperlink ref="A46" r:id="rId41" display="https://9607261.app.netsuite.com/app/reporting/reportrunner.nl?fromreport=320&amp;regtx,tranline,kacct,x,alltranline5,IN,x,x=950&amp;cr=293" xr:uid="{A5ADD8D0-BCC0-4A11-9F53-8DA313826C43}"/>
    <hyperlink ref="A47" r:id="rId42" display="https://9607261.app.netsuite.com/app/reporting/reportrunner.nl?fromreport=320&amp;regtx,tranline,kacct,x,alltranline5,IN,x,x=950&amp;cr=293" xr:uid="{07F1D5A9-BA8B-429B-A833-B5641649D8DA}"/>
    <hyperlink ref="A48" r:id="rId43" display="https://9607261.app.netsuite.com/app/reporting/reportrunner.nl?fromreport=320&amp;regtx,tranline,kacct,x,alltranline5,IN,x,x=950&amp;cr=293" xr:uid="{6F06A2E1-3624-4013-8229-81CB8B0229D5}"/>
    <hyperlink ref="A49" r:id="rId44" display="https://9607261.app.netsuite.com/app/reporting/reportrunner.nl?fromreport=320&amp;regtx,tranline,kacct,x,alltranline5,IN,x,x=950&amp;cr=293" xr:uid="{F7AF9FE1-66D0-477F-844E-BDA975D0E87C}"/>
    <hyperlink ref="A50" r:id="rId45" display="https://9607261.app.netsuite.com/app/reporting/reportrunner.nl?fromreport=320&amp;regtx,tranline,kacct,x,alltranline5,IN,x,x=950&amp;cr=293" xr:uid="{E8D4A95C-D66F-45E8-9032-80F5EA5235CA}"/>
    <hyperlink ref="A51" r:id="rId46" display="https://9607261.app.netsuite.com/app/reporting/reportrunner.nl?fromreport=320&amp;regtx,tranline,kacct,x,alltranline5,IN,x,x=950&amp;cr=293" xr:uid="{D9004096-62C0-414E-BDAF-B3B73F334E1B}"/>
    <hyperlink ref="A52" r:id="rId47" display="https://9607261.app.netsuite.com/app/reporting/reportrunner.nl?fromreport=320&amp;regtx,tranline,kacct,x,alltranline5,IN,x,x=950&amp;cr=293" xr:uid="{59038359-2B07-450A-A3DB-921D81FAAAEE}"/>
    <hyperlink ref="A53" r:id="rId48" display="https://9607261.app.netsuite.com/app/reporting/reportrunner.nl?fromreport=320&amp;regtx,tranline,kacct,x,alltranline5,IN,x,x=950&amp;cr=293" xr:uid="{AC533E7F-1030-43FC-8344-DF070FD13366}"/>
    <hyperlink ref="A54" r:id="rId49" display="https://9607261.app.netsuite.com/app/reporting/reportrunner.nl?fromreport=320&amp;regtx,tranline,kacct,x,alltranline5,IN,x,x=950&amp;cr=293" xr:uid="{CE3D8084-6202-4722-9785-36B9464331F9}"/>
    <hyperlink ref="A55" r:id="rId50" display="https://9607261.app.netsuite.com/app/reporting/reportrunner.nl?fromreport=320&amp;regtx,tranline,kacct,x,alltranline5,IN,x,x=950&amp;cr=293" xr:uid="{37B16CA9-3F2F-4660-AF22-790CD4B41F66}"/>
    <hyperlink ref="A56" r:id="rId51" display="https://9607261.app.netsuite.com/app/reporting/reportrunner.nl?fromreport=320&amp;regtx,tranline,kacct,x,alltranline5,IN,x,x=950&amp;cr=293" xr:uid="{51F81DBC-0906-4D05-AB5E-BD2889A28663}"/>
    <hyperlink ref="A57" r:id="rId52" display="https://9607261.app.netsuite.com/app/reporting/reportrunner.nl?fromreport=320&amp;regtx,tranline,kacct,x,alltranline5,IN,x,x=950&amp;cr=293" xr:uid="{5046C9FD-FDEF-4850-AFF4-2ACA0C36469C}"/>
    <hyperlink ref="A58" r:id="rId53" display="https://9607261.app.netsuite.com/app/reporting/reportrunner.nl?fromreport=320&amp;regtx,tranline,kacct,x,alltranline5,IN,x,x=950&amp;cr=293" xr:uid="{04C046AC-C426-48E4-8C04-42D042A59019}"/>
    <hyperlink ref="A59" r:id="rId54" display="https://9607261.app.netsuite.com/app/reporting/reportrunner.nl?fromreport=320&amp;regtx,tranline,kacct,x,alltranline5,IN,x,x=950&amp;cr=293" xr:uid="{88F8B75E-631D-40FF-8F7C-DDE1B476231B}"/>
    <hyperlink ref="A60" r:id="rId55" display="https://9607261.app.netsuite.com/app/reporting/reportrunner.nl?fromreport=320&amp;regtx,tranline,kacct,x,alltranline5,IN,x,x=950&amp;cr=293" xr:uid="{0E136D46-6232-4767-B6FC-FBB774A4E081}"/>
    <hyperlink ref="A61" r:id="rId56" display="https://9607261.app.netsuite.com/app/reporting/reportrunner.nl?fromreport=320&amp;regtx,tranline,kacct,x,alltranline5,IN,x,x=950&amp;cr=293" xr:uid="{726D4E48-665C-4822-861F-A8F373A5B20B}"/>
    <hyperlink ref="A62" r:id="rId57" display="https://9607261.app.netsuite.com/app/reporting/reportrunner.nl?fromreport=320&amp;regtx,tranline,kacct,x,alltranline5,IN,x,x=950&amp;cr=293" xr:uid="{F875B9CA-29A2-4E1A-8A5E-F57486BB9827}"/>
    <hyperlink ref="A63" r:id="rId58" display="https://9607261.app.netsuite.com/app/reporting/reportrunner.nl?fromreport=320&amp;regtx,tranline,kacct,x,alltranline5,IN,x,x=950&amp;cr=293" xr:uid="{794B7D02-2E63-4BE6-B364-E7B58C3EBD90}"/>
    <hyperlink ref="A64" r:id="rId59" display="https://9607261.app.netsuite.com/app/reporting/reportrunner.nl?fromreport=320&amp;regtx,tranline,kacct,x,alltranline5,IN,x,x=950&amp;cr=293" xr:uid="{7FE807A5-5597-4C53-B71B-2C28F7AC861E}"/>
    <hyperlink ref="A65" r:id="rId60" display="https://9607261.app.netsuite.com/app/reporting/reportrunner.nl?fromreport=320&amp;regtx,tranline,kacct,x,alltranline5,IN,x,x=950&amp;cr=293" xr:uid="{30B3D455-FBC3-44E1-A509-60E5625A6A18}"/>
    <hyperlink ref="A66" r:id="rId61" display="https://9607261.app.netsuite.com/app/reporting/reportrunner.nl?fromreport=320&amp;regtx,tranline,kacct,x,alltranline5,IN,x,x=950&amp;cr=293" xr:uid="{253AB949-1E21-441F-A5BC-F569C26F415C}"/>
    <hyperlink ref="A67" r:id="rId62" display="https://9607261.app.netsuite.com/app/reporting/reportrunner.nl?fromreport=320&amp;regtx,tranline,kacct,x,alltranline5,IN,x,x=950&amp;cr=293" xr:uid="{0168740C-F4D0-4EDF-A2F4-EC71CDC34EC2}"/>
    <hyperlink ref="A68" r:id="rId63" display="https://9607261.app.netsuite.com/app/reporting/reportrunner.nl?fromreport=320&amp;regtx,tranline,kacct,x,alltranline5,IN,x,x=950&amp;cr=293" xr:uid="{77938FF8-039C-4C7F-9EEC-AE35EFDE1850}"/>
    <hyperlink ref="A69" r:id="rId64" display="https://9607261.app.netsuite.com/app/reporting/reportrunner.nl?fromreport=320&amp;regtx,tranline,kacct,x,alltranline5,IN,x,x=950&amp;cr=293" xr:uid="{CBECFB73-9FE3-46B1-8708-A9ADDD041F1B}"/>
    <hyperlink ref="A70" r:id="rId65" display="https://9607261.app.netsuite.com/app/reporting/reportrunner.nl?fromreport=320&amp;regtx,tranline,kacct,x,alltranline5,IN,x,x=950&amp;cr=293" xr:uid="{2A441A7E-1868-454E-B4F8-27E7E3CBFD2E}"/>
    <hyperlink ref="A71" r:id="rId66" display="https://9607261.app.netsuite.com/app/reporting/reportrunner.nl?fromreport=320&amp;regtx,tranline,kacct,x,alltranline5,IN,x,x=950&amp;cr=293" xr:uid="{46B6D0C6-FC84-489B-A8D0-96293D1CE523}"/>
    <hyperlink ref="A72" r:id="rId67" display="https://9607261.app.netsuite.com/app/reporting/reportrunner.nl?fromreport=320&amp;regtx,tranline,kacct,x,alltranline5,IN,x,x=950&amp;cr=293" xr:uid="{5BB00EE9-E65F-4B22-8949-32B13DABC4C8}"/>
    <hyperlink ref="A73" r:id="rId68" display="https://9607261.app.netsuite.com/app/reporting/reportrunner.nl?fromreport=320&amp;regtx,tranline,kacct,x,alltranline5,IN,x,x=950&amp;cr=293" xr:uid="{3F854A88-071B-4940-8FEE-DDA3E6C02048}"/>
    <hyperlink ref="A74" r:id="rId69" display="https://9607261.app.netsuite.com/app/reporting/reportrunner.nl?fromreport=320&amp;regtx,tranline,kacct,x,alltranline5,IN,x,x=950&amp;cr=293" xr:uid="{0AB89CF7-D369-462B-BD65-E4716A9562D0}"/>
    <hyperlink ref="A75" r:id="rId70" display="https://9607261.app.netsuite.com/app/reporting/reportrunner.nl?fromreport=320&amp;regtx,tranline,kacct,x,alltranline5,IN,x,x=950&amp;cr=293" xr:uid="{E7A4AA09-A781-4B91-8DFD-8443C5E51B77}"/>
    <hyperlink ref="A76" r:id="rId71" display="https://9607261.app.netsuite.com/app/reporting/reportrunner.nl?fromreport=320&amp;regtx,tranline,kacct,x,alltranline5,IN,x,x=950&amp;cr=293" xr:uid="{EF70DD1E-7627-4CAD-BE6C-092DDE2C1B2E}"/>
    <hyperlink ref="A77" r:id="rId72" display="https://9607261.app.netsuite.com/app/reporting/reportrunner.nl?fromreport=320&amp;regtx,tranline,kacct,x,alltranline5,IN,x,x=950&amp;cr=293" xr:uid="{7241E5F8-D7BD-4025-9BAE-090CEED4909A}"/>
    <hyperlink ref="A78" r:id="rId73" display="https://9607261.app.netsuite.com/app/reporting/reportrunner.nl?fromreport=320&amp;regtx,tranline,kacct,x,alltranline5,IN,x,x=950&amp;cr=293" xr:uid="{613D6AC0-08AA-4E2C-9370-335108A99325}"/>
    <hyperlink ref="A79" r:id="rId74" display="https://9607261.app.netsuite.com/app/reporting/reportrunner.nl?fromreport=320&amp;regtx,tranline,kacct,x,alltranline5,IN,x,x=950&amp;cr=293" xr:uid="{CA4186AC-1B74-4269-AC98-306E5A225FFA}"/>
    <hyperlink ref="A80" r:id="rId75" display="https://9607261.app.netsuite.com/app/reporting/reportrunner.nl?fromreport=320&amp;regtx,tranline,kacct,x,alltranline5,IN,x,x=950&amp;cr=293" xr:uid="{317971C4-DAD0-42B7-9739-2C14A1D69963}"/>
    <hyperlink ref="A81" r:id="rId76" display="https://9607261.app.netsuite.com/app/reporting/reportrunner.nl?fromreport=320&amp;regtx,tranline,kacct,x,alltranline5,IN,x,x=950&amp;cr=293" xr:uid="{FC7D97DA-699E-471E-ABA5-D9BCB3BECFF5}"/>
    <hyperlink ref="A82" r:id="rId77" display="https://9607261.app.netsuite.com/app/reporting/reportrunner.nl?fromreport=320&amp;regtx,tranline,kacct,x,alltranline5,IN,x,x=950&amp;cr=293" xr:uid="{6810C170-CA14-472A-8D16-BA1608D55FD9}"/>
    <hyperlink ref="A83" r:id="rId78" display="https://9607261.app.netsuite.com/app/reporting/reportrunner.nl?fromreport=320&amp;regtx,tranline,kacct,x,alltranline5,IN,x,x=950&amp;cr=293" xr:uid="{EDB28D77-B9E3-446E-84C0-9D0CFC9AE2D6}"/>
    <hyperlink ref="A84" r:id="rId79" display="https://9607261.app.netsuite.com/app/reporting/reportrunner.nl?fromreport=320&amp;regtx,tranline,kacct,x,alltranline5,IN,x,x=950&amp;cr=293" xr:uid="{772AC39E-5535-4F7D-9A22-89ED86122F0A}"/>
    <hyperlink ref="A85" r:id="rId80" display="https://9607261.app.netsuite.com/app/reporting/reportrunner.nl?fromreport=320&amp;regtx,tranline,kacct,x,alltranline5,IN,x,x=950&amp;cr=293" xr:uid="{9FCF2C55-DE55-4985-BF24-9ACCB51C9B4C}"/>
    <hyperlink ref="A86" r:id="rId81" display="https://9607261.app.netsuite.com/app/reporting/reportrunner.nl?fromreport=320&amp;regtx,tranline,kacct,x,alltranline5,IN,x,x=950&amp;cr=293" xr:uid="{69071275-861D-4EB3-ABFF-A9A95E6F7A59}"/>
    <hyperlink ref="A87" r:id="rId82" display="https://9607261.app.netsuite.com/app/reporting/reportrunner.nl?fromreport=320&amp;regtx,tranline,kacct,x,alltranline5,IN,x,x=950&amp;cr=293" xr:uid="{E3A1CE19-1A1A-44B1-9CB4-7B08767DFF5D}"/>
    <hyperlink ref="A88" r:id="rId83" display="https://9607261.app.netsuite.com/app/reporting/reportrunner.nl?fromreport=320&amp;regtx,tranline,kacct,x,alltranline5,IN,x,x=950&amp;cr=293" xr:uid="{67968E41-26BE-4673-A8E9-75B0D4E76593}"/>
    <hyperlink ref="A89" r:id="rId84" display="https://9607261.app.netsuite.com/app/reporting/reportrunner.nl?fromreport=320&amp;regtx,tranline,kacct,x,alltranline5,IN,x,x=950&amp;cr=293" xr:uid="{F9ACBF72-0C1C-4249-A2E9-50B6F4663572}"/>
    <hyperlink ref="A90" r:id="rId85" display="https://9607261.app.netsuite.com/app/reporting/reportrunner.nl?fromreport=320&amp;regtx,tranline,kacct,x,alltranline5,IN,x,x=950&amp;cr=293" xr:uid="{328FA302-68AB-4FC4-9A5B-D8DE976EF360}"/>
    <hyperlink ref="A91" r:id="rId86" display="https://9607261.app.netsuite.com/app/reporting/reportrunner.nl?fromreport=320&amp;regtx,tranline,kacct,x,alltranline5,IN,x,x=950&amp;cr=293" xr:uid="{05E1A348-6B35-421C-9D11-C86BD4545A1B}"/>
    <hyperlink ref="A92" r:id="rId87" display="https://9607261.app.netsuite.com/app/reporting/reportrunner.nl?fromreport=320&amp;regtx,tranline,kacct,x,alltranline5,IN,x,x=950&amp;cr=293" xr:uid="{CE8CDFBA-0BFE-4979-8FFD-F8A567AE66B0}"/>
    <hyperlink ref="A93" r:id="rId88" display="https://9607261.app.netsuite.com/app/reporting/reportrunner.nl?fromreport=320&amp;regtx,tranline,kacct,x,alltranline5,IN,x,x=950&amp;cr=293" xr:uid="{2A7FDE6F-DC31-4F17-AD09-AABE87C53C17}"/>
    <hyperlink ref="A94" r:id="rId89" display="https://9607261.app.netsuite.com/app/reporting/reportrunner.nl?fromreport=320&amp;regtx,tranline,kacct,x,alltranline5,IN,x,x=950&amp;cr=293" xr:uid="{579D98FD-DEF4-4759-9447-E8A599E9B881}"/>
    <hyperlink ref="A95" r:id="rId90" display="https://9607261.app.netsuite.com/app/reporting/reportrunner.nl?fromreport=320&amp;regtx,tranline,kacct,x,alltranline5,IN,x,x=950&amp;cr=293" xr:uid="{12C64D0C-068B-44E1-A938-9A863F92BEB2}"/>
    <hyperlink ref="A96" r:id="rId91" display="https://9607261.app.netsuite.com/app/reporting/reportrunner.nl?fromreport=320&amp;regtx,tranline,kacct,x,alltranline5,IN,x,x=950&amp;cr=293" xr:uid="{90F095FA-80FA-4990-9FB7-922B8205F158}"/>
    <hyperlink ref="A97" r:id="rId92" display="https://9607261.app.netsuite.com/app/reporting/reportrunner.nl?fromreport=320&amp;regtx,tranline,kacct,x,alltranline5,IN,x,x=950&amp;cr=293" xr:uid="{BC940701-6059-4F1C-AA1F-46D238370CC7}"/>
    <hyperlink ref="A98" r:id="rId93" display="https://9607261.app.netsuite.com/app/reporting/reportrunner.nl?fromreport=320&amp;regtx,tranline,kacct,x,alltranline5,IN,x,x=950&amp;cr=293" xr:uid="{88E63563-2518-4C39-9F86-F389674CED1B}"/>
    <hyperlink ref="A99" r:id="rId94" display="https://9607261.app.netsuite.com/app/reporting/reportrunner.nl?fromreport=320&amp;regtx,tranline,kacct,x,alltranline5,IN,x,x=950&amp;cr=293" xr:uid="{8D7DCDF5-A86D-4739-B251-4AB1F2368E82}"/>
    <hyperlink ref="A100" r:id="rId95" display="https://9607261.app.netsuite.com/app/reporting/reportrunner.nl?fromreport=320&amp;regtx,tranline,kacct,x,alltranline5,IN,x,x=950&amp;cr=293" xr:uid="{95B27B66-2055-4A59-B90A-52F208AC6589}"/>
    <hyperlink ref="A101" r:id="rId96" display="https://9607261.app.netsuite.com/app/reporting/reportrunner.nl?fromreport=320&amp;regtx,tranline,kacct,x,alltranline5,IN,x,x=950&amp;cr=293" xr:uid="{E4EA94CD-C50D-4EE1-B01E-021C795AE7ED}"/>
    <hyperlink ref="A102" r:id="rId97" display="https://9607261.app.netsuite.com/app/reporting/reportrunner.nl?fromreport=320&amp;regtx,tranline,kacct,x,alltranline5,IN,x,x=950&amp;cr=293" xr:uid="{8A7AD02B-256D-4789-A780-C7C646DCF142}"/>
    <hyperlink ref="A103" r:id="rId98" display="https://9607261.app.netsuite.com/app/reporting/reportrunner.nl?fromreport=320&amp;regtx,tranline,kacct,x,alltranline5,IN,x,x=950&amp;cr=293" xr:uid="{5D730971-7001-4FBB-84B2-A4378340D9CE}"/>
    <hyperlink ref="A104" r:id="rId99" display="https://9607261.app.netsuite.com/app/reporting/reportrunner.nl?fromreport=320&amp;regtx,tranline,kacct,x,alltranline5,IN,x,x=950&amp;cr=293" xr:uid="{CDA8917E-EC0F-45C8-A949-BAC71CE9FE0F}"/>
    <hyperlink ref="A105" r:id="rId100" display="https://9607261.app.netsuite.com/app/reporting/reportrunner.nl?fromreport=320&amp;regtx,tranline,kacct,x,alltranline5,IN,x,x=950&amp;cr=293" xr:uid="{B45F48EC-29B6-457F-8620-AE8F5FE66693}"/>
    <hyperlink ref="A106" r:id="rId101" display="https://9607261.app.netsuite.com/app/reporting/reportrunner.nl?fromreport=320&amp;regtx,tranline,kacct,x,alltranline5,IN,x,x=950&amp;cr=293" xr:uid="{5EEA3222-1416-4FE6-AF20-5D4F215576CC}"/>
    <hyperlink ref="A107" r:id="rId102" display="https://9607261.app.netsuite.com/app/reporting/reportrunner.nl?fromreport=320&amp;regtx,tranline,kacct,x,alltranline5,IN,x,x=950&amp;cr=293" xr:uid="{0A4BCF70-CD62-40E8-85E3-9E9BD6FF1E4F}"/>
    <hyperlink ref="A108" r:id="rId103" display="https://9607261.app.netsuite.com/app/reporting/reportrunner.nl?fromreport=320&amp;regtx,tranline,kacct,x,alltranline5,IN,x,x=950&amp;cr=293" xr:uid="{8B1AB63A-F253-43D7-91D4-F349136AB789}"/>
    <hyperlink ref="A109" r:id="rId104" display="https://9607261.app.netsuite.com/app/reporting/reportrunner.nl?fromreport=320&amp;regtx,tranline,kacct,x,alltranline5,IN,x,x=950&amp;cr=293" xr:uid="{1B9763D7-76AB-4157-9A13-1D092F32E5D8}"/>
    <hyperlink ref="A110" r:id="rId105" display="https://9607261.app.netsuite.com/app/reporting/reportrunner.nl?fromreport=320&amp;regtx,tranline,kacct,x,alltranline5,IN,x,x=950&amp;cr=293" xr:uid="{2BF1F136-6122-4CED-8049-5FC66BAD782F}"/>
    <hyperlink ref="A111:A115" r:id="rId106" display="https://9607261.app.netsuite.com/app/reporting/reportrunner.nl?fromreport=320&amp;regtx,tranline,kacct,x,alltranline5,IN,x,x=950&amp;cr=293" xr:uid="{8FEF8733-EF35-432D-A665-FB5C7D3B453B}"/>
    <hyperlink ref="A117" r:id="rId107" display="https://9607261.app.netsuite.com/app/reporting/reportrunner.nl?fromreport=320&amp;regtx,tranline,kacct,x,alltranline5,IN,x,x=950&amp;cr=293" xr:uid="{0A7B09D5-1ECA-4471-9155-F3F64C31C46D}"/>
    <hyperlink ref="A116" r:id="rId108" display="https://9607261.app.netsuite.com/app/reporting/reportrunner.nl?fromreport=320&amp;regtx,tranline,kacct,x,alltranline5,IN,x,x=950&amp;cr=293" xr:uid="{4172432A-57A0-4705-9551-B4035DF147F4}"/>
    <hyperlink ref="A118" r:id="rId109" display="https://9607261.app.netsuite.com/app/reporting/reportrunner.nl?fromreport=320&amp;regtx,tranline,kacct,x,alltranline5,IN,x,x=950&amp;cr=293" xr:uid="{25F45CBA-8EA4-4A7A-8055-2AA7BD3E348D}"/>
    <hyperlink ref="A119" r:id="rId110" display="https://9607261.app.netsuite.com/app/reporting/reportrunner.nl?fromreport=320&amp;regtx,tranline,kacct,x,alltranline5,IN,x,x=950&amp;cr=293" xr:uid="{0596A6A5-BD0B-4D96-8AE9-8B6E13851249}"/>
    <hyperlink ref="A120" r:id="rId111" display="https://9607261.app.netsuite.com/app/reporting/reportrunner.nl?fromreport=320&amp;regtx,tranline,kacct,x,alltranline5,IN,x,x=950&amp;cr=293" xr:uid="{15ACF756-BF71-4B8B-890C-D137B2BC2186}"/>
    <hyperlink ref="A121" r:id="rId112" display="https://9607261.app.netsuite.com/app/reporting/reportrunner.nl?fromreport=320&amp;regtx,tranline,kacct,x,alltranline5,IN,x,x=950&amp;cr=293" xr:uid="{C345FDBD-4FAD-4258-8587-A29129CD6C78}"/>
    <hyperlink ref="A122" r:id="rId113" display="https://9607261.app.netsuite.com/app/reporting/reportrunner.nl?fromreport=320&amp;regtx,tranline,kacct,x,alltranline5,IN,x,x=950&amp;cr=293" xr:uid="{1F97C357-8901-4BB0-BF98-846ABFE054D3}"/>
    <hyperlink ref="A123" r:id="rId114" display="https://9607261.app.netsuite.com/app/reporting/reportrunner.nl?fromreport=320&amp;regtx,tranline,kacct,x,alltranline5,IN,x,x=950&amp;cr=293" xr:uid="{DB511111-5410-472D-9A43-4969B7D9BC8A}"/>
    <hyperlink ref="A124" r:id="rId115" display="https://9607261.app.netsuite.com/app/reporting/reportrunner.nl?fromreport=320&amp;regtx,tranline,kacct,x,alltranline5,IN,x,x=950&amp;cr=293" xr:uid="{6222F635-2E24-4865-840B-B2D039461BE6}"/>
    <hyperlink ref="A125" r:id="rId116" display="https://9607261.app.netsuite.com/app/reporting/reportrunner.nl?fromreport=320&amp;regtx,tranline,kacct,x,alltranline5,IN,x,x=950&amp;cr=293" xr:uid="{29D3622A-38D4-401B-B716-A7199E40D7FC}"/>
    <hyperlink ref="A126" r:id="rId117" display="https://9607261.app.netsuite.com/app/reporting/reportrunner.nl?fromreport=320&amp;regtx,tranline,kacct,x,alltranline5,IN,x,x=950&amp;cr=293" xr:uid="{E53F5D04-2A30-4C9E-82DF-8173608D2AAE}"/>
    <hyperlink ref="A127" r:id="rId118" display="https://9607261.app.netsuite.com/app/reporting/reportrunner.nl?fromreport=320&amp;regtx,tranline,kacct,x,alltranline5,IN,x,x=950&amp;cr=293" xr:uid="{A80CBCBB-D7B2-454C-9AE3-08D8561EB165}"/>
    <hyperlink ref="A128" r:id="rId119" display="https://9607261.app.netsuite.com/app/reporting/reportrunner.nl?fromreport=320&amp;regtx,tranline,kacct,x,alltranline5,IN,x,x=950&amp;cr=293" xr:uid="{DE8D480E-38F8-4BEC-882D-9C2ED5F0265F}"/>
    <hyperlink ref="A129" r:id="rId120" display="https://9607261.app.netsuite.com/app/reporting/reportrunner.nl?fromreport=320&amp;regtx,tranline,kacct,x,alltranline5,IN,x,x=950&amp;cr=293" xr:uid="{D1B3497B-1CB6-4C15-BDED-A5CE7C668AE7}"/>
    <hyperlink ref="A130" r:id="rId121" display="https://9607261.app.netsuite.com/app/reporting/reportrunner.nl?fromreport=320&amp;regtx,tranline,kacct,x,alltranline5,IN,x,x=950&amp;cr=293" xr:uid="{E9C2E1DC-BB2A-48F0-9C1A-F979DDC964C4}"/>
    <hyperlink ref="A131" r:id="rId122" display="https://9607261.app.netsuite.com/app/reporting/reportrunner.nl?fromreport=320&amp;regtx,tranline,kacct,x,alltranline5,IN,x,x=950&amp;cr=293" xr:uid="{B8AB25F5-DA90-442E-9C0B-67A14EC88BB4}"/>
    <hyperlink ref="A132" r:id="rId123" display="https://9607261.app.netsuite.com/app/reporting/reportrunner.nl?fromreport=320&amp;regtx,tranline,kacct,x,alltranline5,IN,x,x=950&amp;cr=293" xr:uid="{A6758E0C-7A08-4F72-BFCB-99EA9AC20765}"/>
    <hyperlink ref="A133" r:id="rId124" display="https://9607261.app.netsuite.com/app/reporting/reportrunner.nl?fromreport=320&amp;regtx,tranline,kacct,x,alltranline5,IN,x,x=950&amp;cr=293" xr:uid="{5493FC5E-D9C8-42A7-AD87-B14968F790BB}"/>
    <hyperlink ref="A134" r:id="rId125" display="https://9607261.app.netsuite.com/app/reporting/reportrunner.nl?fromreport=320&amp;regtx,tranline,kacct,x,alltranline5,IN,x,x=950&amp;cr=293" xr:uid="{5C17A596-AC38-4A33-8BAC-A4066DA0A861}"/>
    <hyperlink ref="A135" r:id="rId126" display="https://9607261.app.netsuite.com/app/reporting/reportrunner.nl?fromreport=320&amp;regtx,tranline,kacct,x,alltranline5,IN,x,x=950&amp;cr=293" xr:uid="{4CD2BD49-5EE0-4971-B4F8-F8C12FB62EA9}"/>
    <hyperlink ref="A136" r:id="rId127" display="https://9607261.app.netsuite.com/app/reporting/reportrunner.nl?fromreport=320&amp;regtx,tranline,kacct,x,alltranline5,IN,x,x=950&amp;cr=293" xr:uid="{8E8A8CBD-9964-4D97-9189-451AD1695817}"/>
    <hyperlink ref="A137" r:id="rId128" display="https://9607261.app.netsuite.com/app/reporting/reportrunner.nl?fromreport=320&amp;regtx,tranline,kacct,x,alltranline5,IN,x,x=950&amp;cr=293" xr:uid="{6A221125-53FA-4B2A-94DB-AF9220E7A260}"/>
    <hyperlink ref="A138" r:id="rId129" display="https://9607261.app.netsuite.com/app/reporting/reportrunner.nl?fromreport=320&amp;regtx,tranline,kacct,x,alltranline5,IN,x,x=950&amp;cr=293" xr:uid="{D714D173-182A-4CDA-91D6-E7295E853BBE}"/>
    <hyperlink ref="A139" r:id="rId130" display="https://9607261.app.netsuite.com/app/reporting/reportrunner.nl?fromreport=320&amp;regtx,tranline,kacct,x,alltranline5,IN,x,x=950&amp;cr=293" xr:uid="{A479D0F2-406F-4F8A-A703-E77D424F42FF}"/>
    <hyperlink ref="A140" r:id="rId131" display="https://9607261.app.netsuite.com/app/reporting/reportrunner.nl?fromreport=320&amp;regtx,tranline,kacct,x,alltranline5,IN,x,x=950&amp;cr=293" xr:uid="{27C27A44-0C24-4BEB-9642-D28FDC87D00F}"/>
    <hyperlink ref="A141" r:id="rId132" display="https://9607261.app.netsuite.com/app/reporting/reportrunner.nl?fromreport=320&amp;regtx,tranline,kacct,x,alltranline5,IN,x,x=950&amp;cr=293" xr:uid="{3269CA43-8485-4619-ACFF-53A2868159DE}"/>
    <hyperlink ref="A142" r:id="rId133" display="https://9607261.app.netsuite.com/app/reporting/reportrunner.nl?fromreport=320&amp;regtx,tranline,kacct,x,alltranline5,IN,x,x=950&amp;cr=293" xr:uid="{980B54B3-AE8B-4DF3-8A8A-23B3225A5A11}"/>
    <hyperlink ref="A143" r:id="rId134" display="https://9607261.app.netsuite.com/app/reporting/reportrunner.nl?fromreport=320&amp;regtx,tranline,kacct,x,alltranline5,IN,x,x=950&amp;cr=293" xr:uid="{B4559E6B-A90B-4CA4-8F95-746B2E3E5C80}"/>
    <hyperlink ref="A144" r:id="rId135" display="https://9607261.app.netsuite.com/app/reporting/reportrunner.nl?fromreport=320&amp;regtx,tranline,kacct,x,alltranline5,IN,x,x=950&amp;cr=293" xr:uid="{1CD52207-E3E3-455B-807C-61D9CBFA01E0}"/>
    <hyperlink ref="A145" r:id="rId136" display="https://9607261.app.netsuite.com/app/reporting/reportrunner.nl?fromreport=320&amp;regtx,tranline,kacct,x,alltranline5,IN,x,x=950&amp;cr=293" xr:uid="{73636964-6996-4B16-AF5B-24C5FDE089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AD4C-12DC-44F0-B279-29BDA64D046F}">
  <dimension ref="A1:N2511"/>
  <sheetViews>
    <sheetView workbookViewId="0">
      <selection sqref="A1:XFD1048576"/>
    </sheetView>
  </sheetViews>
  <sheetFormatPr defaultColWidth="9.6328125" defaultRowHeight="14.5" x14ac:dyDescent="0.35"/>
  <cols>
    <col min="1" max="1" width="34.90625" style="31" customWidth="1"/>
    <col min="2" max="2" width="24" style="31" customWidth="1"/>
    <col min="3" max="3" width="13.1796875" style="31" customWidth="1"/>
    <col min="4" max="4" width="9.6328125" style="31"/>
    <col min="5" max="5" width="36.36328125" style="31" customWidth="1"/>
    <col min="6" max="6" width="31.6328125" style="31" customWidth="1"/>
    <col min="7" max="7" width="19.08984375" style="31" customWidth="1"/>
    <col min="8" max="8" width="15.90625" style="31" customWidth="1"/>
    <col min="9" max="10" width="9.6328125" style="31"/>
    <col min="11" max="11" width="12.453125" style="31" bestFit="1" customWidth="1"/>
    <col min="12" max="16384" width="9.6328125" style="31"/>
  </cols>
  <sheetData>
    <row r="1" spans="1:14" x14ac:dyDescent="0.35">
      <c r="G1" s="32">
        <f>SUM(G4:G2512)</f>
        <v>7173186.1400000006</v>
      </c>
      <c r="H1" s="32">
        <f>SUM(H4:H2512)</f>
        <v>7173186.1400000006</v>
      </c>
      <c r="J1" s="23" t="s">
        <v>152</v>
      </c>
      <c r="K1" s="33">
        <f>SUM(G4:G1009)</f>
        <v>5816494.2000000039</v>
      </c>
      <c r="L1" s="23" t="s">
        <v>37</v>
      </c>
      <c r="N1" s="34" t="s">
        <v>153</v>
      </c>
    </row>
    <row r="2" spans="1:14" x14ac:dyDescent="0.35">
      <c r="A2" s="4" t="s">
        <v>1</v>
      </c>
      <c r="B2" s="4" t="s">
        <v>2</v>
      </c>
      <c r="C2" s="35" t="s">
        <v>3</v>
      </c>
      <c r="D2" s="35" t="s">
        <v>4</v>
      </c>
      <c r="E2" s="35" t="s">
        <v>5</v>
      </c>
      <c r="F2" s="35" t="s">
        <v>6</v>
      </c>
      <c r="G2" s="35" t="s">
        <v>154</v>
      </c>
      <c r="J2" s="23" t="s">
        <v>155</v>
      </c>
      <c r="K2" s="33">
        <f>SUM(G1010:G1090)</f>
        <v>295927.18000000005</v>
      </c>
      <c r="L2" s="23" t="s">
        <v>38</v>
      </c>
      <c r="N2" s="36" t="s">
        <v>156</v>
      </c>
    </row>
    <row r="3" spans="1:14" ht="14.4" customHeight="1" x14ac:dyDescent="0.35">
      <c r="A3" s="4" t="s">
        <v>11</v>
      </c>
      <c r="B3" s="4" t="s">
        <v>12</v>
      </c>
      <c r="J3" s="23" t="s">
        <v>157</v>
      </c>
      <c r="K3" s="33">
        <f>SUM(G1091:G1257)</f>
        <v>1060764.76</v>
      </c>
      <c r="L3" s="23" t="s">
        <v>40</v>
      </c>
      <c r="N3" s="36" t="s">
        <v>158</v>
      </c>
    </row>
    <row r="4" spans="1:14" x14ac:dyDescent="0.35">
      <c r="A4" s="19" t="s">
        <v>17</v>
      </c>
      <c r="B4" s="19"/>
      <c r="C4" s="37">
        <v>45870</v>
      </c>
      <c r="D4" s="31" t="s">
        <v>159</v>
      </c>
      <c r="E4" s="31" t="s">
        <v>75</v>
      </c>
      <c r="F4" s="31" t="s">
        <v>160</v>
      </c>
      <c r="G4" s="38">
        <v>38753.19</v>
      </c>
      <c r="J4" s="25" t="s">
        <v>45</v>
      </c>
      <c r="K4" s="23"/>
      <c r="L4" s="23" t="s">
        <v>42</v>
      </c>
      <c r="N4" s="36" t="s">
        <v>161</v>
      </c>
    </row>
    <row r="5" spans="1:14" ht="43.5" x14ac:dyDescent="0.35">
      <c r="A5" s="19" t="s">
        <v>17</v>
      </c>
      <c r="B5" s="19"/>
      <c r="C5" s="37">
        <v>45873</v>
      </c>
      <c r="D5" s="31" t="s">
        <v>162</v>
      </c>
      <c r="E5" s="31" t="s">
        <v>55</v>
      </c>
      <c r="F5" s="31" t="s">
        <v>160</v>
      </c>
      <c r="G5" s="38">
        <v>17770.829999999998</v>
      </c>
      <c r="J5" s="21" t="s">
        <v>163</v>
      </c>
    </row>
    <row r="6" spans="1:14" x14ac:dyDescent="0.35">
      <c r="A6" s="19" t="s">
        <v>17</v>
      </c>
      <c r="B6" s="19"/>
      <c r="C6" s="37">
        <v>45873</v>
      </c>
      <c r="D6" s="31">
        <v>38633</v>
      </c>
      <c r="E6" s="31" t="s">
        <v>164</v>
      </c>
      <c r="F6" s="31" t="s">
        <v>160</v>
      </c>
      <c r="G6" s="38">
        <v>1066.07</v>
      </c>
    </row>
    <row r="7" spans="1:14" x14ac:dyDescent="0.35">
      <c r="A7" s="19" t="s">
        <v>17</v>
      </c>
      <c r="B7" s="19"/>
      <c r="C7" s="37">
        <v>45874</v>
      </c>
      <c r="D7" s="31" t="s">
        <v>165</v>
      </c>
      <c r="E7" s="31" t="s">
        <v>64</v>
      </c>
      <c r="F7" s="31" t="s">
        <v>160</v>
      </c>
      <c r="G7" s="38">
        <v>11850.06</v>
      </c>
    </row>
    <row r="8" spans="1:14" x14ac:dyDescent="0.35">
      <c r="A8" s="19" t="s">
        <v>17</v>
      </c>
      <c r="B8" s="19"/>
      <c r="C8" s="37">
        <v>45874</v>
      </c>
      <c r="D8" s="31" t="s">
        <v>166</v>
      </c>
      <c r="E8" s="31" t="s">
        <v>105</v>
      </c>
      <c r="F8" s="31" t="s">
        <v>160</v>
      </c>
      <c r="G8" s="38">
        <v>13724.09</v>
      </c>
    </row>
    <row r="9" spans="1:14" x14ac:dyDescent="0.35">
      <c r="A9" s="19" t="s">
        <v>17</v>
      </c>
      <c r="B9" s="19"/>
      <c r="C9" s="37">
        <v>45874</v>
      </c>
      <c r="D9" s="31" t="s">
        <v>167</v>
      </c>
      <c r="E9" s="31" t="s">
        <v>105</v>
      </c>
      <c r="F9" s="31" t="s">
        <v>160</v>
      </c>
      <c r="G9" s="38">
        <v>8320.26</v>
      </c>
    </row>
    <row r="10" spans="1:14" x14ac:dyDescent="0.35">
      <c r="A10" s="19" t="s">
        <v>17</v>
      </c>
      <c r="B10" s="19"/>
      <c r="C10" s="37">
        <v>45874</v>
      </c>
      <c r="D10" s="31" t="s">
        <v>168</v>
      </c>
      <c r="E10" s="31" t="s">
        <v>105</v>
      </c>
      <c r="F10" s="31" t="s">
        <v>160</v>
      </c>
      <c r="G10" s="38">
        <v>1850</v>
      </c>
    </row>
    <row r="11" spans="1:14" x14ac:dyDescent="0.35">
      <c r="A11" s="19" t="s">
        <v>17</v>
      </c>
      <c r="B11" s="19"/>
      <c r="C11" s="37">
        <v>45876</v>
      </c>
      <c r="D11" s="31">
        <v>37687</v>
      </c>
      <c r="E11" s="31" t="s">
        <v>75</v>
      </c>
      <c r="F11" s="31" t="s">
        <v>160</v>
      </c>
      <c r="G11" s="38">
        <v>256</v>
      </c>
    </row>
    <row r="12" spans="1:14" x14ac:dyDescent="0.35">
      <c r="A12" s="19" t="s">
        <v>17</v>
      </c>
      <c r="B12" s="19"/>
      <c r="C12" s="37">
        <v>45876</v>
      </c>
      <c r="D12" s="31" t="s">
        <v>169</v>
      </c>
      <c r="E12" s="31" t="s">
        <v>75</v>
      </c>
      <c r="F12" s="31" t="s">
        <v>160</v>
      </c>
      <c r="G12" s="38">
        <v>136.08000000000001</v>
      </c>
    </row>
    <row r="13" spans="1:14" x14ac:dyDescent="0.35">
      <c r="A13" s="19" t="s">
        <v>17</v>
      </c>
      <c r="B13" s="19"/>
      <c r="C13" s="37">
        <v>45876</v>
      </c>
      <c r="D13" s="31">
        <v>38661</v>
      </c>
      <c r="E13" s="31" t="s">
        <v>170</v>
      </c>
      <c r="F13" s="31" t="s">
        <v>160</v>
      </c>
      <c r="G13" s="38">
        <v>5066</v>
      </c>
    </row>
    <row r="14" spans="1:14" x14ac:dyDescent="0.35">
      <c r="A14" s="19" t="s">
        <v>17</v>
      </c>
      <c r="B14" s="19"/>
      <c r="C14" s="37">
        <v>45877</v>
      </c>
      <c r="D14" s="31">
        <v>36248</v>
      </c>
      <c r="E14" s="31" t="s">
        <v>171</v>
      </c>
      <c r="F14" s="31" t="s">
        <v>160</v>
      </c>
      <c r="G14" s="38">
        <v>36.36</v>
      </c>
    </row>
    <row r="15" spans="1:14" x14ac:dyDescent="0.35">
      <c r="A15" s="19" t="s">
        <v>17</v>
      </c>
      <c r="B15" s="19"/>
      <c r="C15" s="37">
        <v>45877</v>
      </c>
      <c r="D15" s="31">
        <v>36250</v>
      </c>
      <c r="E15" s="31" t="s">
        <v>171</v>
      </c>
      <c r="F15" s="31" t="s">
        <v>160</v>
      </c>
      <c r="G15" s="38">
        <v>11139.99</v>
      </c>
    </row>
    <row r="16" spans="1:14" x14ac:dyDescent="0.35">
      <c r="A16" s="19" t="s">
        <v>17</v>
      </c>
      <c r="B16" s="19"/>
      <c r="C16" s="37">
        <v>45877</v>
      </c>
      <c r="D16" s="31" t="s">
        <v>172</v>
      </c>
      <c r="E16" s="31" t="s">
        <v>134</v>
      </c>
      <c r="F16" s="31" t="s">
        <v>160</v>
      </c>
      <c r="G16" s="38">
        <v>0</v>
      </c>
    </row>
    <row r="17" spans="1:7" x14ac:dyDescent="0.35">
      <c r="A17" s="19" t="s">
        <v>17</v>
      </c>
      <c r="B17" s="19"/>
      <c r="C17" s="37">
        <v>45877</v>
      </c>
      <c r="D17" s="31">
        <v>38292</v>
      </c>
      <c r="E17" s="31" t="s">
        <v>173</v>
      </c>
      <c r="F17" s="31" t="s">
        <v>160</v>
      </c>
      <c r="G17" s="38">
        <v>11678.810000000001</v>
      </c>
    </row>
    <row r="18" spans="1:7" x14ac:dyDescent="0.35">
      <c r="A18" s="19" t="s">
        <v>17</v>
      </c>
      <c r="B18" s="19"/>
      <c r="C18" s="37">
        <v>45877</v>
      </c>
      <c r="D18" s="31" t="s">
        <v>174</v>
      </c>
      <c r="E18" s="31" t="s">
        <v>173</v>
      </c>
      <c r="F18" s="31" t="s">
        <v>160</v>
      </c>
      <c r="G18" s="38">
        <v>13696.2</v>
      </c>
    </row>
    <row r="19" spans="1:7" x14ac:dyDescent="0.35">
      <c r="A19" s="19" t="s">
        <v>17</v>
      </c>
      <c r="B19" s="19"/>
      <c r="C19" s="37">
        <v>45880</v>
      </c>
      <c r="D19" s="31" t="s">
        <v>175</v>
      </c>
      <c r="E19" s="31" t="s">
        <v>176</v>
      </c>
      <c r="F19" s="31" t="s">
        <v>160</v>
      </c>
      <c r="G19" s="38">
        <v>338.1</v>
      </c>
    </row>
    <row r="20" spans="1:7" x14ac:dyDescent="0.35">
      <c r="A20" s="19" t="s">
        <v>17</v>
      </c>
      <c r="B20" s="19"/>
      <c r="C20" s="37">
        <v>45880</v>
      </c>
      <c r="D20" s="31">
        <v>38259</v>
      </c>
      <c r="E20" s="31" t="s">
        <v>177</v>
      </c>
      <c r="F20" s="31" t="s">
        <v>160</v>
      </c>
      <c r="G20" s="38">
        <v>326.43</v>
      </c>
    </row>
    <row r="21" spans="1:7" x14ac:dyDescent="0.35">
      <c r="A21" s="19" t="s">
        <v>17</v>
      </c>
      <c r="B21" s="19"/>
      <c r="C21" s="37">
        <v>45880</v>
      </c>
      <c r="D21" s="31">
        <v>38260</v>
      </c>
      <c r="E21" s="31" t="s">
        <v>177</v>
      </c>
      <c r="F21" s="31" t="s">
        <v>160</v>
      </c>
      <c r="G21" s="38">
        <v>5925.3899999999994</v>
      </c>
    </row>
    <row r="22" spans="1:7" x14ac:dyDescent="0.35">
      <c r="A22" s="19" t="s">
        <v>17</v>
      </c>
      <c r="B22" s="19"/>
      <c r="C22" s="37">
        <v>45880</v>
      </c>
      <c r="D22" s="31">
        <v>38579</v>
      </c>
      <c r="E22" s="31" t="s">
        <v>178</v>
      </c>
      <c r="F22" s="31" t="s">
        <v>160</v>
      </c>
      <c r="G22" s="38">
        <v>1350</v>
      </c>
    </row>
    <row r="23" spans="1:7" x14ac:dyDescent="0.35">
      <c r="A23" s="19" t="s">
        <v>17</v>
      </c>
      <c r="B23" s="19"/>
      <c r="C23" s="37">
        <v>45881</v>
      </c>
      <c r="D23" s="31" t="s">
        <v>179</v>
      </c>
      <c r="E23" s="31" t="s">
        <v>176</v>
      </c>
      <c r="F23" s="31" t="s">
        <v>160</v>
      </c>
      <c r="G23" s="38">
        <v>0</v>
      </c>
    </row>
    <row r="24" spans="1:7" x14ac:dyDescent="0.35">
      <c r="A24" s="19" t="s">
        <v>17</v>
      </c>
      <c r="B24" s="19"/>
      <c r="C24" s="37">
        <v>45881</v>
      </c>
      <c r="D24" s="31" t="s">
        <v>180</v>
      </c>
      <c r="E24" s="31" t="s">
        <v>176</v>
      </c>
      <c r="F24" s="31" t="s">
        <v>160</v>
      </c>
      <c r="G24" s="38">
        <v>0</v>
      </c>
    </row>
    <row r="25" spans="1:7" x14ac:dyDescent="0.35">
      <c r="A25" s="19" t="s">
        <v>17</v>
      </c>
      <c r="B25" s="19"/>
      <c r="C25" s="37">
        <v>45881</v>
      </c>
      <c r="D25" s="31" t="s">
        <v>181</v>
      </c>
      <c r="E25" s="31" t="s">
        <v>82</v>
      </c>
      <c r="F25" s="31" t="s">
        <v>160</v>
      </c>
      <c r="G25" s="38">
        <v>0</v>
      </c>
    </row>
    <row r="26" spans="1:7" x14ac:dyDescent="0.35">
      <c r="A26" s="19" t="s">
        <v>17</v>
      </c>
      <c r="B26" s="19"/>
      <c r="C26" s="37">
        <v>45881</v>
      </c>
      <c r="D26" s="31" t="s">
        <v>182</v>
      </c>
      <c r="E26" s="31" t="s">
        <v>82</v>
      </c>
      <c r="F26" s="31" t="s">
        <v>160</v>
      </c>
      <c r="G26" s="38">
        <v>6344.1100000000006</v>
      </c>
    </row>
    <row r="27" spans="1:7" x14ac:dyDescent="0.35">
      <c r="A27" s="19" t="s">
        <v>17</v>
      </c>
      <c r="B27" s="19"/>
      <c r="C27" s="37">
        <v>45881</v>
      </c>
      <c r="D27" s="31" t="s">
        <v>183</v>
      </c>
      <c r="E27" s="31" t="s">
        <v>82</v>
      </c>
      <c r="F27" s="31" t="s">
        <v>160</v>
      </c>
      <c r="G27" s="38">
        <v>0</v>
      </c>
    </row>
    <row r="28" spans="1:7" x14ac:dyDescent="0.35">
      <c r="A28" s="19" t="s">
        <v>17</v>
      </c>
      <c r="B28" s="19"/>
      <c r="C28" s="37">
        <v>45881</v>
      </c>
      <c r="D28" s="31" t="s">
        <v>184</v>
      </c>
      <c r="E28" s="31" t="s">
        <v>75</v>
      </c>
      <c r="F28" s="31" t="s">
        <v>160</v>
      </c>
      <c r="G28" s="38">
        <v>33360</v>
      </c>
    </row>
    <row r="29" spans="1:7" x14ac:dyDescent="0.35">
      <c r="A29" s="19" t="s">
        <v>17</v>
      </c>
      <c r="B29" s="19"/>
      <c r="C29" s="37">
        <v>45881</v>
      </c>
      <c r="D29" s="31" t="s">
        <v>185</v>
      </c>
      <c r="E29" s="31" t="s">
        <v>75</v>
      </c>
      <c r="F29" s="31" t="s">
        <v>160</v>
      </c>
      <c r="G29" s="38">
        <v>29600.639999999999</v>
      </c>
    </row>
    <row r="30" spans="1:7" x14ac:dyDescent="0.35">
      <c r="A30" s="19" t="s">
        <v>17</v>
      </c>
      <c r="B30" s="19"/>
      <c r="C30" s="37">
        <v>45881</v>
      </c>
      <c r="D30" s="31" t="s">
        <v>186</v>
      </c>
      <c r="E30" s="31" t="s">
        <v>75</v>
      </c>
      <c r="F30" s="31" t="s">
        <v>160</v>
      </c>
      <c r="G30" s="38">
        <v>1026</v>
      </c>
    </row>
    <row r="31" spans="1:7" x14ac:dyDescent="0.35">
      <c r="A31" s="19" t="s">
        <v>17</v>
      </c>
      <c r="B31" s="19"/>
      <c r="C31" s="37">
        <v>45881</v>
      </c>
      <c r="D31" s="31" t="s">
        <v>187</v>
      </c>
      <c r="E31" s="31" t="s">
        <v>75</v>
      </c>
      <c r="F31" s="31" t="s">
        <v>160</v>
      </c>
      <c r="G31" s="38">
        <v>50080.54</v>
      </c>
    </row>
    <row r="32" spans="1:7" x14ac:dyDescent="0.35">
      <c r="A32" s="19" t="s">
        <v>17</v>
      </c>
      <c r="B32" s="19"/>
      <c r="C32" s="37">
        <v>45881</v>
      </c>
      <c r="D32" s="31" t="s">
        <v>188</v>
      </c>
      <c r="E32" s="31" t="s">
        <v>75</v>
      </c>
      <c r="F32" s="31" t="s">
        <v>160</v>
      </c>
      <c r="G32" s="38">
        <v>50056.76</v>
      </c>
    </row>
    <row r="33" spans="1:7" x14ac:dyDescent="0.35">
      <c r="A33" s="19" t="s">
        <v>17</v>
      </c>
      <c r="B33" s="19"/>
      <c r="C33" s="37">
        <v>45881</v>
      </c>
      <c r="D33" s="31" t="s">
        <v>189</v>
      </c>
      <c r="E33" s="31" t="s">
        <v>75</v>
      </c>
      <c r="F33" s="31" t="s">
        <v>160</v>
      </c>
      <c r="G33" s="38">
        <v>0</v>
      </c>
    </row>
    <row r="34" spans="1:7" x14ac:dyDescent="0.35">
      <c r="A34" s="19" t="s">
        <v>17</v>
      </c>
      <c r="B34" s="19"/>
      <c r="C34" s="37">
        <v>45881</v>
      </c>
      <c r="D34" s="31" t="s">
        <v>190</v>
      </c>
      <c r="E34" s="31" t="s">
        <v>75</v>
      </c>
      <c r="F34" s="31" t="s">
        <v>160</v>
      </c>
      <c r="G34" s="38">
        <v>11383.099999999999</v>
      </c>
    </row>
    <row r="35" spans="1:7" x14ac:dyDescent="0.35">
      <c r="A35" s="19" t="s">
        <v>17</v>
      </c>
      <c r="B35" s="19"/>
      <c r="C35" s="37">
        <v>45881</v>
      </c>
      <c r="D35" s="31" t="s">
        <v>191</v>
      </c>
      <c r="E35" s="31" t="s">
        <v>75</v>
      </c>
      <c r="F35" s="31" t="s">
        <v>160</v>
      </c>
      <c r="G35" s="38">
        <v>35342.19</v>
      </c>
    </row>
    <row r="36" spans="1:7" x14ac:dyDescent="0.35">
      <c r="A36" s="19" t="s">
        <v>17</v>
      </c>
      <c r="B36" s="19"/>
      <c r="C36" s="37">
        <v>45881</v>
      </c>
      <c r="D36" s="31" t="s">
        <v>192</v>
      </c>
      <c r="E36" s="31" t="s">
        <v>75</v>
      </c>
      <c r="F36" s="31" t="s">
        <v>160</v>
      </c>
      <c r="G36" s="38">
        <v>0</v>
      </c>
    </row>
    <row r="37" spans="1:7" x14ac:dyDescent="0.35">
      <c r="A37" s="19" t="s">
        <v>17</v>
      </c>
      <c r="B37" s="19"/>
      <c r="C37" s="37">
        <v>45881</v>
      </c>
      <c r="D37" s="31" t="s">
        <v>193</v>
      </c>
      <c r="E37" s="31" t="s">
        <v>75</v>
      </c>
      <c r="F37" s="31" t="s">
        <v>160</v>
      </c>
      <c r="G37" s="38">
        <v>2872</v>
      </c>
    </row>
    <row r="38" spans="1:7" x14ac:dyDescent="0.35">
      <c r="A38" s="19" t="s">
        <v>17</v>
      </c>
      <c r="B38" s="19"/>
      <c r="C38" s="37">
        <v>45881</v>
      </c>
      <c r="D38" s="31" t="s">
        <v>194</v>
      </c>
      <c r="E38" s="31" t="s">
        <v>177</v>
      </c>
      <c r="F38" s="31" t="s">
        <v>160</v>
      </c>
      <c r="G38" s="38">
        <v>8905.2200000000012</v>
      </c>
    </row>
    <row r="39" spans="1:7" x14ac:dyDescent="0.35">
      <c r="A39" s="19" t="s">
        <v>17</v>
      </c>
      <c r="B39" s="19"/>
      <c r="C39" s="37">
        <v>45881</v>
      </c>
      <c r="D39" s="31" t="s">
        <v>195</v>
      </c>
      <c r="E39" s="31" t="s">
        <v>177</v>
      </c>
      <c r="F39" s="31" t="s">
        <v>160</v>
      </c>
      <c r="G39" s="38">
        <v>177.14</v>
      </c>
    </row>
    <row r="40" spans="1:7" x14ac:dyDescent="0.35">
      <c r="A40" s="19" t="s">
        <v>17</v>
      </c>
      <c r="B40" s="19"/>
      <c r="C40" s="37">
        <v>45881</v>
      </c>
      <c r="D40" s="31" t="s">
        <v>196</v>
      </c>
      <c r="E40" s="31" t="s">
        <v>177</v>
      </c>
      <c r="F40" s="31" t="s">
        <v>160</v>
      </c>
      <c r="G40" s="38">
        <v>5561.55</v>
      </c>
    </row>
    <row r="41" spans="1:7" x14ac:dyDescent="0.35">
      <c r="A41" s="19" t="s">
        <v>17</v>
      </c>
      <c r="B41" s="19"/>
      <c r="C41" s="37">
        <v>45881</v>
      </c>
      <c r="D41" s="31" t="s">
        <v>197</v>
      </c>
      <c r="E41" s="31" t="s">
        <v>177</v>
      </c>
      <c r="F41" s="31" t="s">
        <v>160</v>
      </c>
      <c r="G41" s="38">
        <v>22730</v>
      </c>
    </row>
    <row r="42" spans="1:7" x14ac:dyDescent="0.35">
      <c r="A42" s="19" t="s">
        <v>17</v>
      </c>
      <c r="B42" s="19"/>
      <c r="C42" s="37">
        <v>45881</v>
      </c>
      <c r="D42" s="31">
        <v>38256</v>
      </c>
      <c r="E42" s="31" t="s">
        <v>177</v>
      </c>
      <c r="F42" s="31" t="s">
        <v>160</v>
      </c>
      <c r="G42" s="38">
        <v>8134</v>
      </c>
    </row>
    <row r="43" spans="1:7" x14ac:dyDescent="0.35">
      <c r="A43" s="19" t="s">
        <v>17</v>
      </c>
      <c r="B43" s="19"/>
      <c r="C43" s="37">
        <v>45881</v>
      </c>
      <c r="D43" s="31">
        <v>38257</v>
      </c>
      <c r="E43" s="31" t="s">
        <v>177</v>
      </c>
      <c r="F43" s="31" t="s">
        <v>160</v>
      </c>
      <c r="G43" s="38">
        <v>4373.4799999999996</v>
      </c>
    </row>
    <row r="44" spans="1:7" x14ac:dyDescent="0.35">
      <c r="A44" s="19" t="s">
        <v>17</v>
      </c>
      <c r="B44" s="19"/>
      <c r="C44" s="37">
        <v>45881</v>
      </c>
      <c r="D44" s="31">
        <v>38268</v>
      </c>
      <c r="E44" s="31" t="s">
        <v>177</v>
      </c>
      <c r="F44" s="31" t="s">
        <v>160</v>
      </c>
      <c r="G44" s="38">
        <v>460.68</v>
      </c>
    </row>
    <row r="45" spans="1:7" x14ac:dyDescent="0.35">
      <c r="A45" s="19" t="s">
        <v>17</v>
      </c>
      <c r="B45" s="19"/>
      <c r="C45" s="37">
        <v>45881</v>
      </c>
      <c r="D45" s="31">
        <v>38331</v>
      </c>
      <c r="E45" s="31" t="s">
        <v>107</v>
      </c>
      <c r="F45" s="31" t="s">
        <v>160</v>
      </c>
      <c r="G45" s="38">
        <v>7573.34</v>
      </c>
    </row>
    <row r="46" spans="1:7" x14ac:dyDescent="0.35">
      <c r="A46" s="19" t="s">
        <v>17</v>
      </c>
      <c r="B46" s="19"/>
      <c r="C46" s="37">
        <v>45881</v>
      </c>
      <c r="D46" s="31">
        <v>38375</v>
      </c>
      <c r="E46" s="31" t="s">
        <v>177</v>
      </c>
      <c r="F46" s="31" t="s">
        <v>160</v>
      </c>
      <c r="G46" s="38">
        <v>1185.5999999999999</v>
      </c>
    </row>
    <row r="47" spans="1:7" x14ac:dyDescent="0.35">
      <c r="A47" s="19" t="s">
        <v>17</v>
      </c>
      <c r="B47" s="19"/>
      <c r="C47" s="37">
        <v>45882</v>
      </c>
      <c r="D47" s="31" t="s">
        <v>198</v>
      </c>
      <c r="E47" s="31" t="s">
        <v>33</v>
      </c>
      <c r="F47" s="31" t="s">
        <v>160</v>
      </c>
      <c r="G47" s="38">
        <v>966.86</v>
      </c>
    </row>
    <row r="48" spans="1:7" x14ac:dyDescent="0.35">
      <c r="A48" s="19" t="s">
        <v>17</v>
      </c>
      <c r="B48" s="19"/>
      <c r="C48" s="37">
        <v>45882</v>
      </c>
      <c r="D48" s="31" t="s">
        <v>199</v>
      </c>
      <c r="E48" s="31" t="s">
        <v>33</v>
      </c>
      <c r="F48" s="31" t="s">
        <v>160</v>
      </c>
      <c r="G48" s="38">
        <v>0</v>
      </c>
    </row>
    <row r="49" spans="1:7" x14ac:dyDescent="0.35">
      <c r="A49" s="19" t="s">
        <v>17</v>
      </c>
      <c r="B49" s="19"/>
      <c r="C49" s="37">
        <v>45882</v>
      </c>
      <c r="D49" s="31" t="s">
        <v>200</v>
      </c>
      <c r="E49" s="31" t="s">
        <v>75</v>
      </c>
      <c r="F49" s="31" t="s">
        <v>160</v>
      </c>
      <c r="G49" s="38">
        <v>7652.82</v>
      </c>
    </row>
    <row r="50" spans="1:7" x14ac:dyDescent="0.35">
      <c r="A50" s="19" t="s">
        <v>17</v>
      </c>
      <c r="B50" s="19"/>
      <c r="C50" s="37">
        <v>45882</v>
      </c>
      <c r="D50" s="31" t="s">
        <v>201</v>
      </c>
      <c r="E50" s="31" t="s">
        <v>70</v>
      </c>
      <c r="F50" s="31" t="s">
        <v>160</v>
      </c>
      <c r="G50" s="38">
        <v>5142.8599999999997</v>
      </c>
    </row>
    <row r="51" spans="1:7" x14ac:dyDescent="0.35">
      <c r="A51" s="19" t="s">
        <v>17</v>
      </c>
      <c r="B51" s="19"/>
      <c r="C51" s="37">
        <v>45887</v>
      </c>
      <c r="D51" s="31">
        <v>38857</v>
      </c>
      <c r="E51" s="31" t="s">
        <v>202</v>
      </c>
      <c r="F51" s="31" t="s">
        <v>160</v>
      </c>
      <c r="G51" s="38">
        <v>12815.6</v>
      </c>
    </row>
    <row r="52" spans="1:7" x14ac:dyDescent="0.35">
      <c r="A52" s="19" t="s">
        <v>17</v>
      </c>
      <c r="B52" s="19"/>
      <c r="C52" s="37">
        <v>45890</v>
      </c>
      <c r="D52" s="31" t="s">
        <v>203</v>
      </c>
      <c r="E52" s="31" t="s">
        <v>55</v>
      </c>
      <c r="F52" s="31" t="s">
        <v>160</v>
      </c>
      <c r="G52" s="38">
        <v>47953.5</v>
      </c>
    </row>
    <row r="53" spans="1:7" x14ac:dyDescent="0.35">
      <c r="A53" s="19" t="s">
        <v>17</v>
      </c>
      <c r="B53" s="19"/>
      <c r="C53" s="37">
        <v>45892</v>
      </c>
      <c r="D53" s="31" t="s">
        <v>204</v>
      </c>
      <c r="E53" s="31" t="s">
        <v>66</v>
      </c>
      <c r="F53" s="31" t="s">
        <v>160</v>
      </c>
      <c r="G53" s="38">
        <v>40481.729999999996</v>
      </c>
    </row>
    <row r="54" spans="1:7" x14ac:dyDescent="0.35">
      <c r="A54" s="19" t="s">
        <v>17</v>
      </c>
      <c r="B54" s="19"/>
      <c r="C54" s="37">
        <v>45894</v>
      </c>
      <c r="D54" s="31" t="s">
        <v>205</v>
      </c>
      <c r="E54" s="31" t="s">
        <v>33</v>
      </c>
      <c r="F54" s="31" t="s">
        <v>160</v>
      </c>
      <c r="G54" s="38">
        <v>7558.58</v>
      </c>
    </row>
    <row r="55" spans="1:7" x14ac:dyDescent="0.35">
      <c r="A55" s="19" t="s">
        <v>17</v>
      </c>
      <c r="B55" s="19"/>
      <c r="C55" s="37">
        <v>45894</v>
      </c>
      <c r="D55" s="31" t="s">
        <v>206</v>
      </c>
      <c r="E55" s="31" t="s">
        <v>33</v>
      </c>
      <c r="F55" s="31" t="s">
        <v>160</v>
      </c>
      <c r="G55" s="38">
        <v>4209.92</v>
      </c>
    </row>
    <row r="56" spans="1:7" x14ac:dyDescent="0.35">
      <c r="A56" s="19" t="s">
        <v>17</v>
      </c>
      <c r="B56" s="19"/>
      <c r="C56" s="37">
        <v>45894</v>
      </c>
      <c r="D56" s="31" t="s">
        <v>207</v>
      </c>
      <c r="E56" s="31" t="s">
        <v>33</v>
      </c>
      <c r="F56" s="31" t="s">
        <v>160</v>
      </c>
      <c r="G56" s="38">
        <v>123.63</v>
      </c>
    </row>
    <row r="57" spans="1:7" x14ac:dyDescent="0.35">
      <c r="A57" s="19" t="s">
        <v>17</v>
      </c>
      <c r="B57" s="19"/>
      <c r="C57" s="37">
        <v>45894</v>
      </c>
      <c r="D57" s="31" t="s">
        <v>208</v>
      </c>
      <c r="E57" s="31" t="s">
        <v>33</v>
      </c>
      <c r="F57" s="31" t="s">
        <v>160</v>
      </c>
      <c r="G57" s="38">
        <v>1762.5</v>
      </c>
    </row>
    <row r="58" spans="1:7" x14ac:dyDescent="0.35">
      <c r="A58" s="19" t="s">
        <v>17</v>
      </c>
      <c r="B58" s="19"/>
      <c r="C58" s="37">
        <v>45894</v>
      </c>
      <c r="D58" s="31" t="s">
        <v>209</v>
      </c>
      <c r="E58" s="31" t="s">
        <v>33</v>
      </c>
      <c r="F58" s="31" t="s">
        <v>160</v>
      </c>
      <c r="G58" s="38">
        <v>54337.630000000005</v>
      </c>
    </row>
    <row r="59" spans="1:7" x14ac:dyDescent="0.35">
      <c r="A59" s="19" t="s">
        <v>17</v>
      </c>
      <c r="B59" s="19"/>
      <c r="C59" s="37">
        <v>45894</v>
      </c>
      <c r="D59" s="31" t="s">
        <v>210</v>
      </c>
      <c r="E59" s="31" t="s">
        <v>33</v>
      </c>
      <c r="F59" s="31" t="s">
        <v>160</v>
      </c>
      <c r="G59" s="38">
        <v>996.66000000000008</v>
      </c>
    </row>
    <row r="60" spans="1:7" x14ac:dyDescent="0.35">
      <c r="A60" s="19" t="s">
        <v>17</v>
      </c>
      <c r="B60" s="19"/>
      <c r="C60" s="37">
        <v>45894</v>
      </c>
      <c r="D60" s="31">
        <v>33571</v>
      </c>
      <c r="E60" s="31" t="s">
        <v>33</v>
      </c>
      <c r="F60" s="31" t="s">
        <v>160</v>
      </c>
      <c r="G60" s="38">
        <v>1602.25</v>
      </c>
    </row>
    <row r="61" spans="1:7" x14ac:dyDescent="0.35">
      <c r="A61" s="19" t="s">
        <v>17</v>
      </c>
      <c r="B61" s="19"/>
      <c r="C61" s="37">
        <v>45894</v>
      </c>
      <c r="D61" s="31" t="s">
        <v>211</v>
      </c>
      <c r="E61" s="31" t="s">
        <v>33</v>
      </c>
      <c r="F61" s="31" t="s">
        <v>160</v>
      </c>
      <c r="G61" s="38">
        <v>38322.51</v>
      </c>
    </row>
    <row r="62" spans="1:7" x14ac:dyDescent="0.35">
      <c r="A62" s="19" t="s">
        <v>17</v>
      </c>
      <c r="B62" s="19"/>
      <c r="C62" s="37">
        <v>45894</v>
      </c>
      <c r="D62" s="31" t="s">
        <v>212</v>
      </c>
      <c r="E62" s="31" t="s">
        <v>33</v>
      </c>
      <c r="F62" s="31" t="s">
        <v>160</v>
      </c>
      <c r="G62" s="38">
        <v>661.82</v>
      </c>
    </row>
    <row r="63" spans="1:7" x14ac:dyDescent="0.35">
      <c r="A63" s="19" t="s">
        <v>17</v>
      </c>
      <c r="B63" s="19"/>
      <c r="C63" s="37">
        <v>45894</v>
      </c>
      <c r="D63" s="31" t="s">
        <v>213</v>
      </c>
      <c r="E63" s="31" t="s">
        <v>33</v>
      </c>
      <c r="F63" s="31" t="s">
        <v>160</v>
      </c>
      <c r="G63" s="38">
        <v>19066.870000000003</v>
      </c>
    </row>
    <row r="64" spans="1:7" x14ac:dyDescent="0.35">
      <c r="A64" s="19" t="s">
        <v>17</v>
      </c>
      <c r="B64" s="19"/>
      <c r="C64" s="37">
        <v>45894</v>
      </c>
      <c r="D64" s="31" t="s">
        <v>214</v>
      </c>
      <c r="E64" s="31" t="s">
        <v>33</v>
      </c>
      <c r="F64" s="31" t="s">
        <v>160</v>
      </c>
      <c r="G64" s="38">
        <v>5030.2</v>
      </c>
    </row>
    <row r="65" spans="1:7" x14ac:dyDescent="0.35">
      <c r="A65" s="19" t="s">
        <v>17</v>
      </c>
      <c r="B65" s="19"/>
      <c r="C65" s="37">
        <v>45894</v>
      </c>
      <c r="D65" s="31">
        <v>33950</v>
      </c>
      <c r="E65" s="31" t="s">
        <v>33</v>
      </c>
      <c r="F65" s="31" t="s">
        <v>160</v>
      </c>
      <c r="G65" s="38">
        <v>0</v>
      </c>
    </row>
    <row r="66" spans="1:7" x14ac:dyDescent="0.35">
      <c r="A66" s="19" t="s">
        <v>17</v>
      </c>
      <c r="B66" s="19"/>
      <c r="C66" s="37">
        <v>45894</v>
      </c>
      <c r="D66" s="31" t="s">
        <v>215</v>
      </c>
      <c r="E66" s="31" t="s">
        <v>33</v>
      </c>
      <c r="F66" s="31" t="s">
        <v>160</v>
      </c>
      <c r="G66" s="38">
        <v>145.35</v>
      </c>
    </row>
    <row r="67" spans="1:7" x14ac:dyDescent="0.35">
      <c r="A67" s="19" t="s">
        <v>17</v>
      </c>
      <c r="B67" s="19"/>
      <c r="C67" s="37">
        <v>45894</v>
      </c>
      <c r="D67" s="31" t="s">
        <v>216</v>
      </c>
      <c r="E67" s="31" t="s">
        <v>33</v>
      </c>
      <c r="F67" s="31" t="s">
        <v>160</v>
      </c>
      <c r="G67" s="38">
        <v>560</v>
      </c>
    </row>
    <row r="68" spans="1:7" x14ac:dyDescent="0.35">
      <c r="A68" s="19" t="s">
        <v>17</v>
      </c>
      <c r="B68" s="19"/>
      <c r="C68" s="37">
        <v>45894</v>
      </c>
      <c r="D68" s="31" t="s">
        <v>217</v>
      </c>
      <c r="E68" s="31" t="s">
        <v>33</v>
      </c>
      <c r="F68" s="31" t="s">
        <v>160</v>
      </c>
      <c r="G68" s="38">
        <v>1125</v>
      </c>
    </row>
    <row r="69" spans="1:7" x14ac:dyDescent="0.35">
      <c r="A69" s="19" t="s">
        <v>17</v>
      </c>
      <c r="B69" s="19"/>
      <c r="C69" s="37">
        <v>45894</v>
      </c>
      <c r="D69" s="31" t="s">
        <v>218</v>
      </c>
      <c r="E69" s="31" t="s">
        <v>33</v>
      </c>
      <c r="F69" s="31" t="s">
        <v>160</v>
      </c>
      <c r="G69" s="38">
        <v>9155.869999999999</v>
      </c>
    </row>
    <row r="70" spans="1:7" x14ac:dyDescent="0.35">
      <c r="A70" s="19" t="s">
        <v>17</v>
      </c>
      <c r="B70" s="19"/>
      <c r="C70" s="37">
        <v>45894</v>
      </c>
      <c r="D70" s="31" t="s">
        <v>219</v>
      </c>
      <c r="E70" s="31" t="s">
        <v>33</v>
      </c>
      <c r="F70" s="31" t="s">
        <v>160</v>
      </c>
      <c r="G70" s="38">
        <v>27246.81</v>
      </c>
    </row>
    <row r="71" spans="1:7" x14ac:dyDescent="0.35">
      <c r="A71" s="19" t="s">
        <v>17</v>
      </c>
      <c r="B71" s="19"/>
      <c r="C71" s="37">
        <v>45894</v>
      </c>
      <c r="D71" s="31" t="s">
        <v>220</v>
      </c>
      <c r="E71" s="31" t="s">
        <v>221</v>
      </c>
      <c r="F71" s="31" t="s">
        <v>160</v>
      </c>
      <c r="G71" s="38">
        <v>0</v>
      </c>
    </row>
    <row r="72" spans="1:7" x14ac:dyDescent="0.35">
      <c r="A72" s="19" t="s">
        <v>17</v>
      </c>
      <c r="B72" s="19"/>
      <c r="C72" s="37">
        <v>45894</v>
      </c>
      <c r="D72" s="31">
        <v>36943</v>
      </c>
      <c r="E72" s="31" t="s">
        <v>131</v>
      </c>
      <c r="F72" s="31" t="s">
        <v>160</v>
      </c>
      <c r="G72" s="38">
        <v>20870.080000000002</v>
      </c>
    </row>
    <row r="73" spans="1:7" x14ac:dyDescent="0.35">
      <c r="A73" s="19" t="s">
        <v>17</v>
      </c>
      <c r="B73" s="19"/>
      <c r="C73" s="37">
        <v>45894</v>
      </c>
      <c r="D73" s="31" t="s">
        <v>222</v>
      </c>
      <c r="E73" s="31" t="s">
        <v>66</v>
      </c>
      <c r="F73" s="31" t="s">
        <v>160</v>
      </c>
      <c r="G73" s="38">
        <v>10721.09</v>
      </c>
    </row>
    <row r="74" spans="1:7" x14ac:dyDescent="0.35">
      <c r="A74" s="19" t="s">
        <v>17</v>
      </c>
      <c r="B74" s="19"/>
      <c r="C74" s="37">
        <v>45895</v>
      </c>
      <c r="D74" s="31" t="s">
        <v>223</v>
      </c>
      <c r="E74" s="31" t="s">
        <v>33</v>
      </c>
      <c r="F74" s="31" t="s">
        <v>160</v>
      </c>
      <c r="G74" s="38">
        <v>-2567.91</v>
      </c>
    </row>
    <row r="75" spans="1:7" x14ac:dyDescent="0.35">
      <c r="A75" s="19" t="s">
        <v>17</v>
      </c>
      <c r="B75" s="19"/>
      <c r="C75" s="37">
        <v>45895</v>
      </c>
      <c r="D75" s="31" t="s">
        <v>224</v>
      </c>
      <c r="E75" s="31" t="s">
        <v>225</v>
      </c>
      <c r="F75" s="31" t="s">
        <v>160</v>
      </c>
      <c r="G75" s="38">
        <v>0</v>
      </c>
    </row>
    <row r="76" spans="1:7" x14ac:dyDescent="0.35">
      <c r="A76" s="19" t="s">
        <v>17</v>
      </c>
      <c r="B76" s="19"/>
      <c r="C76" s="37">
        <v>45896</v>
      </c>
      <c r="D76" s="31" t="s">
        <v>226</v>
      </c>
      <c r="E76" s="31" t="s">
        <v>134</v>
      </c>
      <c r="F76" s="31" t="s">
        <v>160</v>
      </c>
      <c r="G76" s="38">
        <v>0</v>
      </c>
    </row>
    <row r="77" spans="1:7" x14ac:dyDescent="0.35">
      <c r="A77" s="19" t="s">
        <v>17</v>
      </c>
      <c r="B77" s="19"/>
      <c r="C77" s="37">
        <v>45897</v>
      </c>
      <c r="D77" s="31" t="s">
        <v>227</v>
      </c>
      <c r="E77" s="31" t="s">
        <v>228</v>
      </c>
      <c r="F77" s="31" t="s">
        <v>160</v>
      </c>
      <c r="G77" s="38">
        <v>6300.16</v>
      </c>
    </row>
    <row r="78" spans="1:7" x14ac:dyDescent="0.35">
      <c r="A78" s="19" t="s">
        <v>17</v>
      </c>
      <c r="B78" s="19"/>
      <c r="C78" s="37">
        <v>45898</v>
      </c>
      <c r="D78" s="31" t="s">
        <v>229</v>
      </c>
      <c r="E78" s="31" t="s">
        <v>33</v>
      </c>
      <c r="F78" s="31" t="s">
        <v>160</v>
      </c>
      <c r="G78" s="38">
        <v>0</v>
      </c>
    </row>
    <row r="79" spans="1:7" x14ac:dyDescent="0.35">
      <c r="A79" s="19" t="s">
        <v>17</v>
      </c>
      <c r="B79" s="19"/>
      <c r="C79" s="37">
        <v>45898</v>
      </c>
      <c r="D79" s="31" t="s">
        <v>230</v>
      </c>
      <c r="E79" s="31" t="s">
        <v>225</v>
      </c>
      <c r="F79" s="31" t="s">
        <v>160</v>
      </c>
      <c r="G79" s="38">
        <v>0</v>
      </c>
    </row>
    <row r="80" spans="1:7" x14ac:dyDescent="0.35">
      <c r="A80" s="19" t="s">
        <v>17</v>
      </c>
      <c r="B80" s="19"/>
      <c r="C80" s="37">
        <v>45898</v>
      </c>
      <c r="D80" s="31" t="s">
        <v>231</v>
      </c>
      <c r="E80" s="31" t="s">
        <v>137</v>
      </c>
      <c r="F80" s="31" t="s">
        <v>160</v>
      </c>
      <c r="G80" s="38">
        <v>0</v>
      </c>
    </row>
    <row r="81" spans="1:7" x14ac:dyDescent="0.35">
      <c r="A81" s="19" t="s">
        <v>17</v>
      </c>
      <c r="B81" s="19"/>
      <c r="C81" s="37">
        <v>45898</v>
      </c>
      <c r="D81" s="31" t="s">
        <v>232</v>
      </c>
      <c r="E81" s="31" t="s">
        <v>233</v>
      </c>
      <c r="F81" s="31" t="s">
        <v>160</v>
      </c>
      <c r="G81" s="38">
        <v>6292.32</v>
      </c>
    </row>
    <row r="82" spans="1:7" x14ac:dyDescent="0.35">
      <c r="A82" s="19" t="s">
        <v>17</v>
      </c>
      <c r="B82" s="19"/>
      <c r="C82" s="37">
        <v>45898</v>
      </c>
      <c r="D82" s="31" t="s">
        <v>234</v>
      </c>
      <c r="E82" s="31" t="s">
        <v>235</v>
      </c>
      <c r="F82" s="31" t="s">
        <v>160</v>
      </c>
      <c r="G82" s="38">
        <v>102.2</v>
      </c>
    </row>
    <row r="83" spans="1:7" x14ac:dyDescent="0.35">
      <c r="A83" s="19" t="s">
        <v>17</v>
      </c>
      <c r="B83" s="19"/>
      <c r="C83" s="37">
        <v>45898</v>
      </c>
      <c r="D83" s="31">
        <v>38185</v>
      </c>
      <c r="E83" s="31" t="s">
        <v>70</v>
      </c>
      <c r="F83" s="31" t="s">
        <v>160</v>
      </c>
      <c r="G83" s="38">
        <v>55072.05</v>
      </c>
    </row>
    <row r="84" spans="1:7" x14ac:dyDescent="0.35">
      <c r="A84" s="19" t="s">
        <v>17</v>
      </c>
      <c r="B84" s="19"/>
      <c r="C84" s="37">
        <v>45898</v>
      </c>
      <c r="D84" s="31">
        <v>38199</v>
      </c>
      <c r="E84" s="31" t="s">
        <v>70</v>
      </c>
      <c r="F84" s="31" t="s">
        <v>160</v>
      </c>
      <c r="G84" s="38">
        <v>48782.879999999997</v>
      </c>
    </row>
    <row r="85" spans="1:7" x14ac:dyDescent="0.35">
      <c r="A85" s="19" t="s">
        <v>17</v>
      </c>
      <c r="B85" s="19"/>
      <c r="C85" s="37">
        <v>45898</v>
      </c>
      <c r="D85" s="31" t="s">
        <v>236</v>
      </c>
      <c r="E85" s="31" t="s">
        <v>70</v>
      </c>
      <c r="F85" s="31" t="s">
        <v>160</v>
      </c>
      <c r="G85" s="38">
        <v>40331.72</v>
      </c>
    </row>
    <row r="86" spans="1:7" x14ac:dyDescent="0.35">
      <c r="A86" s="19" t="s">
        <v>17</v>
      </c>
      <c r="B86" s="19"/>
      <c r="C86" s="37">
        <v>45898</v>
      </c>
      <c r="D86" s="31" t="s">
        <v>237</v>
      </c>
      <c r="E86" s="31" t="s">
        <v>145</v>
      </c>
      <c r="F86" s="31" t="s">
        <v>160</v>
      </c>
      <c r="G86" s="38">
        <v>0</v>
      </c>
    </row>
    <row r="87" spans="1:7" x14ac:dyDescent="0.35">
      <c r="A87" s="19" t="s">
        <v>17</v>
      </c>
      <c r="B87" s="19"/>
      <c r="C87" s="37">
        <v>45898</v>
      </c>
      <c r="D87" s="31">
        <v>38832</v>
      </c>
      <c r="E87" s="31" t="s">
        <v>173</v>
      </c>
      <c r="F87" s="31" t="s">
        <v>160</v>
      </c>
      <c r="G87" s="38">
        <v>3360.5899999999997</v>
      </c>
    </row>
    <row r="88" spans="1:7" x14ac:dyDescent="0.35">
      <c r="A88" s="19" t="s">
        <v>17</v>
      </c>
      <c r="B88" s="19"/>
      <c r="C88" s="37">
        <v>45898</v>
      </c>
      <c r="D88" s="31">
        <v>38851</v>
      </c>
      <c r="E88" s="31" t="s">
        <v>238</v>
      </c>
      <c r="F88" s="31" t="s">
        <v>160</v>
      </c>
      <c r="G88" s="38">
        <v>126720</v>
      </c>
    </row>
    <row r="89" spans="1:7" x14ac:dyDescent="0.35">
      <c r="A89" s="19" t="s">
        <v>17</v>
      </c>
      <c r="B89" s="19"/>
      <c r="C89" s="37">
        <v>45898</v>
      </c>
      <c r="D89" s="31">
        <v>38881</v>
      </c>
      <c r="E89" s="31" t="s">
        <v>239</v>
      </c>
      <c r="F89" s="31" t="s">
        <v>160</v>
      </c>
      <c r="G89" s="38">
        <v>340</v>
      </c>
    </row>
    <row r="90" spans="1:7" x14ac:dyDescent="0.35">
      <c r="A90" s="19" t="s">
        <v>17</v>
      </c>
      <c r="B90" s="19"/>
      <c r="C90" s="37">
        <v>45898</v>
      </c>
      <c r="D90" s="31">
        <v>38893</v>
      </c>
      <c r="E90" s="31" t="s">
        <v>239</v>
      </c>
      <c r="F90" s="31" t="s">
        <v>160</v>
      </c>
      <c r="G90" s="38">
        <v>674.63999999999987</v>
      </c>
    </row>
    <row r="91" spans="1:7" x14ac:dyDescent="0.35">
      <c r="A91" s="19" t="s">
        <v>17</v>
      </c>
      <c r="B91" s="19"/>
      <c r="C91" s="37">
        <v>45899</v>
      </c>
      <c r="D91" s="31" t="s">
        <v>240</v>
      </c>
      <c r="E91" s="31" t="s">
        <v>47</v>
      </c>
      <c r="F91" s="31" t="s">
        <v>160</v>
      </c>
      <c r="G91" s="38">
        <v>0</v>
      </c>
    </row>
    <row r="92" spans="1:7" x14ac:dyDescent="0.35">
      <c r="A92" s="19" t="s">
        <v>17</v>
      </c>
      <c r="B92" s="19"/>
      <c r="C92" s="37">
        <v>45899</v>
      </c>
      <c r="D92" s="31" t="s">
        <v>241</v>
      </c>
      <c r="E92" s="31" t="s">
        <v>242</v>
      </c>
      <c r="F92" s="31" t="s">
        <v>160</v>
      </c>
      <c r="G92" s="38">
        <v>0</v>
      </c>
    </row>
    <row r="93" spans="1:7" x14ac:dyDescent="0.35">
      <c r="A93" s="19" t="s">
        <v>17</v>
      </c>
      <c r="B93" s="19"/>
      <c r="C93" s="37">
        <v>45899</v>
      </c>
      <c r="D93" s="31" t="s">
        <v>243</v>
      </c>
      <c r="E93" s="31" t="s">
        <v>242</v>
      </c>
      <c r="F93" s="31" t="s">
        <v>160</v>
      </c>
      <c r="G93" s="38">
        <v>0</v>
      </c>
    </row>
    <row r="94" spans="1:7" x14ac:dyDescent="0.35">
      <c r="A94" s="19" t="s">
        <v>17</v>
      </c>
      <c r="B94" s="19"/>
      <c r="C94" s="37">
        <v>45899</v>
      </c>
      <c r="D94" s="31" t="s">
        <v>244</v>
      </c>
      <c r="E94" s="31" t="s">
        <v>18</v>
      </c>
      <c r="F94" s="31" t="s">
        <v>160</v>
      </c>
      <c r="G94" s="38">
        <v>0</v>
      </c>
    </row>
    <row r="95" spans="1:7" x14ac:dyDescent="0.35">
      <c r="A95" s="19" t="s">
        <v>17</v>
      </c>
      <c r="B95" s="19"/>
      <c r="C95" s="37">
        <v>45899</v>
      </c>
      <c r="D95" s="31" t="s">
        <v>245</v>
      </c>
      <c r="E95" s="31" t="s">
        <v>246</v>
      </c>
      <c r="F95" s="31" t="s">
        <v>160</v>
      </c>
      <c r="G95" s="38">
        <v>0</v>
      </c>
    </row>
    <row r="96" spans="1:7" x14ac:dyDescent="0.35">
      <c r="A96" s="19" t="s">
        <v>17</v>
      </c>
      <c r="B96" s="19"/>
      <c r="C96" s="37">
        <v>45899</v>
      </c>
      <c r="D96" s="31" t="s">
        <v>247</v>
      </c>
      <c r="E96" s="31" t="s">
        <v>248</v>
      </c>
      <c r="F96" s="31" t="s">
        <v>160</v>
      </c>
      <c r="G96" s="38">
        <v>0</v>
      </c>
    </row>
    <row r="97" spans="1:7" x14ac:dyDescent="0.35">
      <c r="A97" s="19" t="s">
        <v>17</v>
      </c>
      <c r="B97" s="19"/>
      <c r="C97" s="37">
        <v>45899</v>
      </c>
      <c r="D97" s="31" t="s">
        <v>249</v>
      </c>
      <c r="E97" s="31" t="s">
        <v>50</v>
      </c>
      <c r="F97" s="31" t="s">
        <v>160</v>
      </c>
      <c r="G97" s="38">
        <v>0</v>
      </c>
    </row>
    <row r="98" spans="1:7" x14ac:dyDescent="0.35">
      <c r="A98" s="19" t="s">
        <v>17</v>
      </c>
      <c r="B98" s="19"/>
      <c r="C98" s="37">
        <v>45899</v>
      </c>
      <c r="D98" s="31" t="s">
        <v>250</v>
      </c>
      <c r="E98" s="31" t="s">
        <v>50</v>
      </c>
      <c r="F98" s="31" t="s">
        <v>160</v>
      </c>
      <c r="G98" s="38">
        <v>0</v>
      </c>
    </row>
    <row r="99" spans="1:7" x14ac:dyDescent="0.35">
      <c r="A99" s="19" t="s">
        <v>17</v>
      </c>
      <c r="B99" s="19"/>
      <c r="C99" s="37">
        <v>45899</v>
      </c>
      <c r="D99" s="31" t="s">
        <v>251</v>
      </c>
      <c r="E99" s="31" t="s">
        <v>50</v>
      </c>
      <c r="F99" s="31" t="s">
        <v>160</v>
      </c>
      <c r="G99" s="38">
        <v>0</v>
      </c>
    </row>
    <row r="100" spans="1:7" x14ac:dyDescent="0.35">
      <c r="A100" s="19" t="s">
        <v>17</v>
      </c>
      <c r="B100" s="19"/>
      <c r="C100" s="37">
        <v>45899</v>
      </c>
      <c r="D100" s="31" t="s">
        <v>252</v>
      </c>
      <c r="E100" s="31" t="s">
        <v>253</v>
      </c>
      <c r="F100" s="31" t="s">
        <v>160</v>
      </c>
      <c r="G100" s="38">
        <v>3854.9700000000003</v>
      </c>
    </row>
    <row r="101" spans="1:7" x14ac:dyDescent="0.35">
      <c r="A101" s="19" t="s">
        <v>17</v>
      </c>
      <c r="B101" s="19"/>
      <c r="C101" s="37">
        <v>45899</v>
      </c>
      <c r="D101" s="31" t="s">
        <v>254</v>
      </c>
      <c r="E101" s="31" t="s">
        <v>255</v>
      </c>
      <c r="F101" s="31" t="s">
        <v>160</v>
      </c>
      <c r="G101" s="38">
        <v>0</v>
      </c>
    </row>
    <row r="102" spans="1:7" x14ac:dyDescent="0.35">
      <c r="A102" s="19" t="s">
        <v>17</v>
      </c>
      <c r="B102" s="19"/>
      <c r="C102" s="37">
        <v>45899</v>
      </c>
      <c r="D102" s="31" t="s">
        <v>256</v>
      </c>
      <c r="E102" s="31" t="s">
        <v>257</v>
      </c>
      <c r="F102" s="31" t="s">
        <v>160</v>
      </c>
      <c r="G102" s="38">
        <v>0</v>
      </c>
    </row>
    <row r="103" spans="1:7" x14ac:dyDescent="0.35">
      <c r="A103" s="19" t="s">
        <v>17</v>
      </c>
      <c r="B103" s="19"/>
      <c r="C103" s="37">
        <v>45899</v>
      </c>
      <c r="D103" s="31" t="s">
        <v>258</v>
      </c>
      <c r="E103" s="31" t="s">
        <v>259</v>
      </c>
      <c r="F103" s="31" t="s">
        <v>160</v>
      </c>
      <c r="G103" s="38">
        <v>0</v>
      </c>
    </row>
    <row r="104" spans="1:7" x14ac:dyDescent="0.35">
      <c r="A104" s="19" t="s">
        <v>17</v>
      </c>
      <c r="B104" s="19"/>
      <c r="C104" s="37">
        <v>45899</v>
      </c>
      <c r="D104" s="31" t="s">
        <v>260</v>
      </c>
      <c r="E104" s="31" t="s">
        <v>261</v>
      </c>
      <c r="F104" s="31" t="s">
        <v>160</v>
      </c>
      <c r="G104" s="38">
        <v>0</v>
      </c>
    </row>
    <row r="105" spans="1:7" x14ac:dyDescent="0.35">
      <c r="A105" s="19" t="s">
        <v>17</v>
      </c>
      <c r="B105" s="19"/>
      <c r="C105" s="37">
        <v>45899</v>
      </c>
      <c r="D105" s="31" t="s">
        <v>262</v>
      </c>
      <c r="E105" s="31" t="s">
        <v>263</v>
      </c>
      <c r="F105" s="31" t="s">
        <v>160</v>
      </c>
      <c r="G105" s="38">
        <v>0</v>
      </c>
    </row>
    <row r="106" spans="1:7" x14ac:dyDescent="0.35">
      <c r="A106" s="19" t="s">
        <v>17</v>
      </c>
      <c r="B106" s="19"/>
      <c r="C106" s="37">
        <v>45899</v>
      </c>
      <c r="D106" s="31" t="s">
        <v>264</v>
      </c>
      <c r="E106" s="31" t="s">
        <v>263</v>
      </c>
      <c r="F106" s="31" t="s">
        <v>160</v>
      </c>
      <c r="G106" s="38">
        <v>0</v>
      </c>
    </row>
    <row r="107" spans="1:7" x14ac:dyDescent="0.35">
      <c r="A107" s="19" t="s">
        <v>17</v>
      </c>
      <c r="B107" s="19"/>
      <c r="C107" s="37">
        <v>45899</v>
      </c>
      <c r="D107" s="31" t="s">
        <v>265</v>
      </c>
      <c r="E107" s="31" t="s">
        <v>242</v>
      </c>
      <c r="F107" s="31" t="s">
        <v>160</v>
      </c>
      <c r="G107" s="38">
        <v>0</v>
      </c>
    </row>
    <row r="108" spans="1:7" x14ac:dyDescent="0.35">
      <c r="A108" s="19" t="s">
        <v>17</v>
      </c>
      <c r="B108" s="19"/>
      <c r="C108" s="37">
        <v>45899</v>
      </c>
      <c r="D108" s="31">
        <v>32888</v>
      </c>
      <c r="E108" s="31" t="s">
        <v>266</v>
      </c>
      <c r="F108" s="31" t="s">
        <v>160</v>
      </c>
      <c r="G108" s="38">
        <v>0</v>
      </c>
    </row>
    <row r="109" spans="1:7" x14ac:dyDescent="0.35">
      <c r="A109" s="19" t="s">
        <v>17</v>
      </c>
      <c r="B109" s="19"/>
      <c r="C109" s="37">
        <v>45899</v>
      </c>
      <c r="D109" s="31" t="s">
        <v>267</v>
      </c>
      <c r="E109" s="31" t="s">
        <v>266</v>
      </c>
      <c r="F109" s="31" t="s">
        <v>160</v>
      </c>
      <c r="G109" s="38">
        <v>0</v>
      </c>
    </row>
    <row r="110" spans="1:7" x14ac:dyDescent="0.35">
      <c r="A110" s="19" t="s">
        <v>17</v>
      </c>
      <c r="B110" s="19"/>
      <c r="C110" s="37">
        <v>45899</v>
      </c>
      <c r="D110" s="31" t="s">
        <v>268</v>
      </c>
      <c r="E110" s="31" t="s">
        <v>269</v>
      </c>
      <c r="F110" s="31" t="s">
        <v>160</v>
      </c>
      <c r="G110" s="38">
        <v>0</v>
      </c>
    </row>
    <row r="111" spans="1:7" x14ac:dyDescent="0.35">
      <c r="A111" s="19" t="s">
        <v>17</v>
      </c>
      <c r="B111" s="19"/>
      <c r="C111" s="37">
        <v>45899</v>
      </c>
      <c r="D111" s="31" t="s">
        <v>270</v>
      </c>
      <c r="E111" s="31" t="s">
        <v>269</v>
      </c>
      <c r="F111" s="31" t="s">
        <v>160</v>
      </c>
      <c r="G111" s="38">
        <v>0</v>
      </c>
    </row>
    <row r="112" spans="1:7" x14ac:dyDescent="0.35">
      <c r="A112" s="19" t="s">
        <v>17</v>
      </c>
      <c r="B112" s="19"/>
      <c r="C112" s="37">
        <v>45899</v>
      </c>
      <c r="D112" s="31" t="s">
        <v>271</v>
      </c>
      <c r="E112" s="31" t="s">
        <v>272</v>
      </c>
      <c r="F112" s="31" t="s">
        <v>160</v>
      </c>
      <c r="G112" s="38">
        <v>0</v>
      </c>
    </row>
    <row r="113" spans="1:7" x14ac:dyDescent="0.35">
      <c r="A113" s="19" t="s">
        <v>17</v>
      </c>
      <c r="B113" s="19"/>
      <c r="C113" s="37">
        <v>45899</v>
      </c>
      <c r="D113" s="31" t="s">
        <v>273</v>
      </c>
      <c r="E113" s="31" t="s">
        <v>272</v>
      </c>
      <c r="F113" s="31" t="s">
        <v>160</v>
      </c>
      <c r="G113" s="38">
        <v>0</v>
      </c>
    </row>
    <row r="114" spans="1:7" x14ac:dyDescent="0.35">
      <c r="A114" s="19" t="s">
        <v>17</v>
      </c>
      <c r="B114" s="19"/>
      <c r="C114" s="37">
        <v>45899</v>
      </c>
      <c r="D114" s="31" t="s">
        <v>274</v>
      </c>
      <c r="E114" s="31" t="s">
        <v>47</v>
      </c>
      <c r="F114" s="31" t="s">
        <v>160</v>
      </c>
      <c r="G114" s="38">
        <v>0</v>
      </c>
    </row>
    <row r="115" spans="1:7" x14ac:dyDescent="0.35">
      <c r="A115" s="19" t="s">
        <v>17</v>
      </c>
      <c r="B115" s="19"/>
      <c r="C115" s="37">
        <v>45899</v>
      </c>
      <c r="D115" s="31" t="s">
        <v>275</v>
      </c>
      <c r="E115" s="31" t="s">
        <v>276</v>
      </c>
      <c r="F115" s="31" t="s">
        <v>160</v>
      </c>
      <c r="G115" s="38">
        <v>0</v>
      </c>
    </row>
    <row r="116" spans="1:7" x14ac:dyDescent="0.35">
      <c r="A116" s="19" t="s">
        <v>17</v>
      </c>
      <c r="B116" s="19"/>
      <c r="C116" s="37">
        <v>45899</v>
      </c>
      <c r="D116" s="31" t="s">
        <v>277</v>
      </c>
      <c r="E116" s="31" t="s">
        <v>276</v>
      </c>
      <c r="F116" s="31" t="s">
        <v>160</v>
      </c>
      <c r="G116" s="38">
        <v>0</v>
      </c>
    </row>
    <row r="117" spans="1:7" x14ac:dyDescent="0.35">
      <c r="A117" s="19" t="s">
        <v>17</v>
      </c>
      <c r="B117" s="19"/>
      <c r="C117" s="37">
        <v>45899</v>
      </c>
      <c r="D117" s="31" t="s">
        <v>278</v>
      </c>
      <c r="E117" s="31" t="s">
        <v>276</v>
      </c>
      <c r="F117" s="31" t="s">
        <v>160</v>
      </c>
      <c r="G117" s="38">
        <v>0</v>
      </c>
    </row>
    <row r="118" spans="1:7" x14ac:dyDescent="0.35">
      <c r="A118" s="19" t="s">
        <v>17</v>
      </c>
      <c r="B118" s="19"/>
      <c r="C118" s="37">
        <v>45899</v>
      </c>
      <c r="D118" s="31" t="s">
        <v>279</v>
      </c>
      <c r="E118" s="31" t="s">
        <v>276</v>
      </c>
      <c r="F118" s="31" t="s">
        <v>160</v>
      </c>
      <c r="G118" s="38">
        <v>0</v>
      </c>
    </row>
    <row r="119" spans="1:7" x14ac:dyDescent="0.35">
      <c r="A119" s="19" t="s">
        <v>17</v>
      </c>
      <c r="B119" s="19"/>
      <c r="C119" s="37">
        <v>45899</v>
      </c>
      <c r="D119" s="31" t="s">
        <v>280</v>
      </c>
      <c r="E119" s="31" t="s">
        <v>276</v>
      </c>
      <c r="F119" s="31" t="s">
        <v>160</v>
      </c>
      <c r="G119" s="38">
        <v>0</v>
      </c>
    </row>
    <row r="120" spans="1:7" x14ac:dyDescent="0.35">
      <c r="A120" s="19" t="s">
        <v>17</v>
      </c>
      <c r="B120" s="19"/>
      <c r="C120" s="37">
        <v>45899</v>
      </c>
      <c r="D120" s="31" t="s">
        <v>281</v>
      </c>
      <c r="E120" s="31" t="s">
        <v>282</v>
      </c>
      <c r="F120" s="31" t="s">
        <v>160</v>
      </c>
      <c r="G120" s="38">
        <v>0</v>
      </c>
    </row>
    <row r="121" spans="1:7" x14ac:dyDescent="0.35">
      <c r="A121" s="19" t="s">
        <v>17</v>
      </c>
      <c r="B121" s="19"/>
      <c r="C121" s="37">
        <v>45899</v>
      </c>
      <c r="D121" s="31" t="s">
        <v>283</v>
      </c>
      <c r="E121" s="31" t="s">
        <v>284</v>
      </c>
      <c r="F121" s="31" t="s">
        <v>160</v>
      </c>
      <c r="G121" s="38">
        <v>0</v>
      </c>
    </row>
    <row r="122" spans="1:7" x14ac:dyDescent="0.35">
      <c r="A122" s="19" t="s">
        <v>17</v>
      </c>
      <c r="B122" s="19"/>
      <c r="C122" s="37">
        <v>45899</v>
      </c>
      <c r="D122" s="31" t="s">
        <v>285</v>
      </c>
      <c r="E122" s="31" t="s">
        <v>284</v>
      </c>
      <c r="F122" s="31" t="s">
        <v>160</v>
      </c>
      <c r="G122" s="38">
        <v>0</v>
      </c>
    </row>
    <row r="123" spans="1:7" x14ac:dyDescent="0.35">
      <c r="A123" s="19" t="s">
        <v>17</v>
      </c>
      <c r="B123" s="19"/>
      <c r="C123" s="37">
        <v>45899</v>
      </c>
      <c r="D123" s="31" t="s">
        <v>286</v>
      </c>
      <c r="E123" s="31" t="s">
        <v>287</v>
      </c>
      <c r="F123" s="31" t="s">
        <v>160</v>
      </c>
      <c r="G123" s="38">
        <v>0</v>
      </c>
    </row>
    <row r="124" spans="1:7" x14ac:dyDescent="0.35">
      <c r="A124" s="19" t="s">
        <v>17</v>
      </c>
      <c r="B124" s="19"/>
      <c r="C124" s="37">
        <v>45899</v>
      </c>
      <c r="D124" s="31" t="s">
        <v>288</v>
      </c>
      <c r="E124" s="31" t="s">
        <v>287</v>
      </c>
      <c r="F124" s="31" t="s">
        <v>160</v>
      </c>
      <c r="G124" s="38">
        <v>0</v>
      </c>
    </row>
    <row r="125" spans="1:7" x14ac:dyDescent="0.35">
      <c r="A125" s="19" t="s">
        <v>17</v>
      </c>
      <c r="B125" s="19"/>
      <c r="C125" s="37">
        <v>45899</v>
      </c>
      <c r="D125" s="31" t="s">
        <v>289</v>
      </c>
      <c r="E125" s="31" t="s">
        <v>290</v>
      </c>
      <c r="F125" s="31" t="s">
        <v>160</v>
      </c>
      <c r="G125" s="38">
        <v>0</v>
      </c>
    </row>
    <row r="126" spans="1:7" x14ac:dyDescent="0.35">
      <c r="A126" s="19" t="s">
        <v>17</v>
      </c>
      <c r="B126" s="19"/>
      <c r="C126" s="37">
        <v>45899</v>
      </c>
      <c r="D126" s="31" t="s">
        <v>291</v>
      </c>
      <c r="E126" s="31" t="s">
        <v>292</v>
      </c>
      <c r="F126" s="31" t="s">
        <v>160</v>
      </c>
      <c r="G126" s="38">
        <v>0</v>
      </c>
    </row>
    <row r="127" spans="1:7" x14ac:dyDescent="0.35">
      <c r="A127" s="19" t="s">
        <v>17</v>
      </c>
      <c r="B127" s="19"/>
      <c r="C127" s="37">
        <v>45899</v>
      </c>
      <c r="D127" s="31" t="s">
        <v>293</v>
      </c>
      <c r="E127" s="31" t="s">
        <v>292</v>
      </c>
      <c r="F127" s="31" t="s">
        <v>160</v>
      </c>
      <c r="G127" s="38">
        <v>0</v>
      </c>
    </row>
    <row r="128" spans="1:7" x14ac:dyDescent="0.35">
      <c r="A128" s="19" t="s">
        <v>17</v>
      </c>
      <c r="B128" s="19"/>
      <c r="C128" s="37">
        <v>45899</v>
      </c>
      <c r="D128" s="31" t="s">
        <v>294</v>
      </c>
      <c r="E128" s="31" t="s">
        <v>26</v>
      </c>
      <c r="F128" s="31" t="s">
        <v>160</v>
      </c>
      <c r="G128" s="38">
        <v>12589.500000000002</v>
      </c>
    </row>
    <row r="129" spans="1:7" x14ac:dyDescent="0.35">
      <c r="A129" s="19" t="s">
        <v>17</v>
      </c>
      <c r="B129" s="19"/>
      <c r="C129" s="37">
        <v>45899</v>
      </c>
      <c r="D129" s="31" t="s">
        <v>295</v>
      </c>
      <c r="E129" s="31" t="s">
        <v>29</v>
      </c>
      <c r="F129" s="31" t="s">
        <v>160</v>
      </c>
      <c r="G129" s="38">
        <v>0</v>
      </c>
    </row>
    <row r="130" spans="1:7" x14ac:dyDescent="0.35">
      <c r="A130" s="19" t="s">
        <v>17</v>
      </c>
      <c r="B130" s="19"/>
      <c r="C130" s="37">
        <v>45899</v>
      </c>
      <c r="D130" s="31" t="s">
        <v>296</v>
      </c>
      <c r="E130" s="31" t="s">
        <v>29</v>
      </c>
      <c r="F130" s="31" t="s">
        <v>160</v>
      </c>
      <c r="G130" s="38">
        <v>0</v>
      </c>
    </row>
    <row r="131" spans="1:7" x14ac:dyDescent="0.35">
      <c r="A131" s="19" t="s">
        <v>17</v>
      </c>
      <c r="B131" s="19"/>
      <c r="C131" s="37">
        <v>45899</v>
      </c>
      <c r="D131" s="31" t="s">
        <v>297</v>
      </c>
      <c r="E131" s="31" t="s">
        <v>29</v>
      </c>
      <c r="F131" s="31" t="s">
        <v>160</v>
      </c>
      <c r="G131" s="38">
        <v>0</v>
      </c>
    </row>
    <row r="132" spans="1:7" x14ac:dyDescent="0.35">
      <c r="A132" s="19" t="s">
        <v>17</v>
      </c>
      <c r="B132" s="19"/>
      <c r="C132" s="37">
        <v>45899</v>
      </c>
      <c r="D132" s="31" t="s">
        <v>298</v>
      </c>
      <c r="E132" s="31" t="s">
        <v>29</v>
      </c>
      <c r="F132" s="31" t="s">
        <v>160</v>
      </c>
      <c r="G132" s="38">
        <v>0</v>
      </c>
    </row>
    <row r="133" spans="1:7" x14ac:dyDescent="0.35">
      <c r="A133" s="19" t="s">
        <v>17</v>
      </c>
      <c r="B133" s="19"/>
      <c r="C133" s="37">
        <v>45899</v>
      </c>
      <c r="D133" s="31" t="s">
        <v>299</v>
      </c>
      <c r="E133" s="31" t="s">
        <v>33</v>
      </c>
      <c r="F133" s="31" t="s">
        <v>160</v>
      </c>
      <c r="G133" s="38">
        <v>0</v>
      </c>
    </row>
    <row r="134" spans="1:7" x14ac:dyDescent="0.35">
      <c r="A134" s="19" t="s">
        <v>17</v>
      </c>
      <c r="B134" s="19"/>
      <c r="C134" s="37">
        <v>45899</v>
      </c>
      <c r="D134" s="31" t="s">
        <v>300</v>
      </c>
      <c r="E134" s="31" t="s">
        <v>276</v>
      </c>
      <c r="F134" s="31" t="s">
        <v>160</v>
      </c>
      <c r="G134" s="38">
        <v>0</v>
      </c>
    </row>
    <row r="135" spans="1:7" x14ac:dyDescent="0.35">
      <c r="A135" s="19" t="s">
        <v>17</v>
      </c>
      <c r="B135" s="19"/>
      <c r="C135" s="37">
        <v>45899</v>
      </c>
      <c r="D135" s="31" t="s">
        <v>301</v>
      </c>
      <c r="E135" s="31" t="s">
        <v>36</v>
      </c>
      <c r="F135" s="31" t="s">
        <v>160</v>
      </c>
      <c r="G135" s="38">
        <v>0</v>
      </c>
    </row>
    <row r="136" spans="1:7" x14ac:dyDescent="0.35">
      <c r="A136" s="19" t="s">
        <v>17</v>
      </c>
      <c r="B136" s="19"/>
      <c r="C136" s="37">
        <v>45899</v>
      </c>
      <c r="D136" s="31" t="s">
        <v>302</v>
      </c>
      <c r="E136" s="31" t="s">
        <v>303</v>
      </c>
      <c r="F136" s="31" t="s">
        <v>160</v>
      </c>
      <c r="G136" s="38">
        <v>0</v>
      </c>
    </row>
    <row r="137" spans="1:7" x14ac:dyDescent="0.35">
      <c r="A137" s="19" t="s">
        <v>17</v>
      </c>
      <c r="B137" s="19"/>
      <c r="C137" s="37">
        <v>45899</v>
      </c>
      <c r="D137" s="31" t="s">
        <v>304</v>
      </c>
      <c r="E137" s="31" t="s">
        <v>305</v>
      </c>
      <c r="F137" s="31" t="s">
        <v>160</v>
      </c>
      <c r="G137" s="38">
        <v>0</v>
      </c>
    </row>
    <row r="138" spans="1:7" x14ac:dyDescent="0.35">
      <c r="A138" s="19" t="s">
        <v>17</v>
      </c>
      <c r="B138" s="19"/>
      <c r="C138" s="37">
        <v>45899</v>
      </c>
      <c r="D138" s="31" t="s">
        <v>306</v>
      </c>
      <c r="E138" s="31" t="s">
        <v>18</v>
      </c>
      <c r="F138" s="31" t="s">
        <v>160</v>
      </c>
      <c r="G138" s="38">
        <v>0</v>
      </c>
    </row>
    <row r="139" spans="1:7" x14ac:dyDescent="0.35">
      <c r="A139" s="19" t="s">
        <v>17</v>
      </c>
      <c r="B139" s="19"/>
      <c r="C139" s="37">
        <v>45899</v>
      </c>
      <c r="D139" s="31" t="s">
        <v>307</v>
      </c>
      <c r="E139" s="31" t="s">
        <v>50</v>
      </c>
      <c r="F139" s="31" t="s">
        <v>160</v>
      </c>
      <c r="G139" s="38">
        <v>0</v>
      </c>
    </row>
    <row r="140" spans="1:7" x14ac:dyDescent="0.35">
      <c r="A140" s="19" t="s">
        <v>17</v>
      </c>
      <c r="B140" s="19"/>
      <c r="C140" s="37">
        <v>45899</v>
      </c>
      <c r="D140" s="31" t="s">
        <v>308</v>
      </c>
      <c r="E140" s="31" t="s">
        <v>33</v>
      </c>
      <c r="F140" s="31" t="s">
        <v>160</v>
      </c>
      <c r="G140" s="38">
        <v>0</v>
      </c>
    </row>
    <row r="141" spans="1:7" x14ac:dyDescent="0.35">
      <c r="A141" s="19" t="s">
        <v>17</v>
      </c>
      <c r="B141" s="19"/>
      <c r="C141" s="37">
        <v>45899</v>
      </c>
      <c r="D141" s="31" t="s">
        <v>309</v>
      </c>
      <c r="E141" s="31" t="s">
        <v>33</v>
      </c>
      <c r="F141" s="31" t="s">
        <v>160</v>
      </c>
      <c r="G141" s="38">
        <v>0</v>
      </c>
    </row>
    <row r="142" spans="1:7" x14ac:dyDescent="0.35">
      <c r="A142" s="19" t="s">
        <v>17</v>
      </c>
      <c r="B142" s="19"/>
      <c r="C142" s="37">
        <v>45899</v>
      </c>
      <c r="D142" s="31" t="s">
        <v>310</v>
      </c>
      <c r="E142" s="31" t="s">
        <v>33</v>
      </c>
      <c r="F142" s="31" t="s">
        <v>160</v>
      </c>
      <c r="G142" s="38">
        <v>0</v>
      </c>
    </row>
    <row r="143" spans="1:7" x14ac:dyDescent="0.35">
      <c r="A143" s="19" t="s">
        <v>17</v>
      </c>
      <c r="B143" s="19"/>
      <c r="C143" s="37">
        <v>45899</v>
      </c>
      <c r="D143" s="31" t="s">
        <v>311</v>
      </c>
      <c r="E143" s="31" t="s">
        <v>33</v>
      </c>
      <c r="F143" s="31" t="s">
        <v>160</v>
      </c>
      <c r="G143" s="38">
        <v>0</v>
      </c>
    </row>
    <row r="144" spans="1:7" x14ac:dyDescent="0.35">
      <c r="A144" s="19" t="s">
        <v>17</v>
      </c>
      <c r="B144" s="19"/>
      <c r="C144" s="37">
        <v>45899</v>
      </c>
      <c r="D144" s="31" t="s">
        <v>312</v>
      </c>
      <c r="E144" s="31" t="s">
        <v>33</v>
      </c>
      <c r="F144" s="31" t="s">
        <v>160</v>
      </c>
      <c r="G144" s="38">
        <v>0</v>
      </c>
    </row>
    <row r="145" spans="1:7" x14ac:dyDescent="0.35">
      <c r="A145" s="19" t="s">
        <v>17</v>
      </c>
      <c r="B145" s="19"/>
      <c r="C145" s="37">
        <v>45899</v>
      </c>
      <c r="D145" s="31" t="s">
        <v>313</v>
      </c>
      <c r="E145" s="31" t="s">
        <v>33</v>
      </c>
      <c r="F145" s="31" t="s">
        <v>160</v>
      </c>
      <c r="G145" s="38">
        <v>0</v>
      </c>
    </row>
    <row r="146" spans="1:7" x14ac:dyDescent="0.35">
      <c r="A146" s="19" t="s">
        <v>17</v>
      </c>
      <c r="B146" s="19"/>
      <c r="C146" s="37">
        <v>45899</v>
      </c>
      <c r="D146" s="31" t="s">
        <v>314</v>
      </c>
      <c r="E146" s="31" t="s">
        <v>50</v>
      </c>
      <c r="F146" s="31" t="s">
        <v>160</v>
      </c>
      <c r="G146" s="38">
        <v>0</v>
      </c>
    </row>
    <row r="147" spans="1:7" x14ac:dyDescent="0.35">
      <c r="A147" s="19" t="s">
        <v>17</v>
      </c>
      <c r="B147" s="19"/>
      <c r="C147" s="37">
        <v>45899</v>
      </c>
      <c r="D147" s="31" t="s">
        <v>315</v>
      </c>
      <c r="E147" s="31" t="s">
        <v>316</v>
      </c>
      <c r="F147" s="31" t="s">
        <v>160</v>
      </c>
      <c r="G147" s="38">
        <v>0</v>
      </c>
    </row>
    <row r="148" spans="1:7" x14ac:dyDescent="0.35">
      <c r="A148" s="19" t="s">
        <v>17</v>
      </c>
      <c r="B148" s="19"/>
      <c r="C148" s="37">
        <v>45899</v>
      </c>
      <c r="D148" s="31" t="s">
        <v>317</v>
      </c>
      <c r="E148" s="31" t="s">
        <v>44</v>
      </c>
      <c r="F148" s="31" t="s">
        <v>160</v>
      </c>
      <c r="G148" s="38">
        <v>0</v>
      </c>
    </row>
    <row r="149" spans="1:7" x14ac:dyDescent="0.35">
      <c r="A149" s="19" t="s">
        <v>17</v>
      </c>
      <c r="B149" s="19"/>
      <c r="C149" s="37">
        <v>45899</v>
      </c>
      <c r="D149" s="31" t="s">
        <v>318</v>
      </c>
      <c r="E149" s="31" t="s">
        <v>44</v>
      </c>
      <c r="F149" s="31" t="s">
        <v>160</v>
      </c>
      <c r="G149" s="38">
        <v>0</v>
      </c>
    </row>
    <row r="150" spans="1:7" x14ac:dyDescent="0.35">
      <c r="A150" s="19" t="s">
        <v>17</v>
      </c>
      <c r="B150" s="19"/>
      <c r="C150" s="37">
        <v>45899</v>
      </c>
      <c r="D150" s="31" t="s">
        <v>319</v>
      </c>
      <c r="E150" s="31" t="s">
        <v>44</v>
      </c>
      <c r="F150" s="31" t="s">
        <v>160</v>
      </c>
      <c r="G150" s="38">
        <v>0</v>
      </c>
    </row>
    <row r="151" spans="1:7" x14ac:dyDescent="0.35">
      <c r="A151" s="19" t="s">
        <v>17</v>
      </c>
      <c r="B151" s="19"/>
      <c r="C151" s="37">
        <v>45899</v>
      </c>
      <c r="D151" s="31" t="s">
        <v>320</v>
      </c>
      <c r="E151" s="31" t="s">
        <v>115</v>
      </c>
      <c r="F151" s="31" t="s">
        <v>160</v>
      </c>
      <c r="G151" s="38">
        <v>0</v>
      </c>
    </row>
    <row r="152" spans="1:7" x14ac:dyDescent="0.35">
      <c r="A152" s="19" t="s">
        <v>17</v>
      </c>
      <c r="B152" s="19"/>
      <c r="C152" s="37">
        <v>45899</v>
      </c>
      <c r="D152" s="31" t="s">
        <v>321</v>
      </c>
      <c r="E152" s="31" t="s">
        <v>322</v>
      </c>
      <c r="F152" s="31" t="s">
        <v>160</v>
      </c>
      <c r="G152" s="38">
        <v>0</v>
      </c>
    </row>
    <row r="153" spans="1:7" x14ac:dyDescent="0.35">
      <c r="A153" s="19" t="s">
        <v>17</v>
      </c>
      <c r="B153" s="19"/>
      <c r="C153" s="37">
        <v>45899</v>
      </c>
      <c r="D153" s="31" t="s">
        <v>323</v>
      </c>
      <c r="E153" s="31" t="s">
        <v>255</v>
      </c>
      <c r="F153" s="31" t="s">
        <v>160</v>
      </c>
      <c r="G153" s="38">
        <v>0</v>
      </c>
    </row>
    <row r="154" spans="1:7" x14ac:dyDescent="0.35">
      <c r="A154" s="19" t="s">
        <v>17</v>
      </c>
      <c r="B154" s="19"/>
      <c r="C154" s="37">
        <v>45899</v>
      </c>
      <c r="D154" s="31" t="s">
        <v>324</v>
      </c>
      <c r="E154" s="31" t="s">
        <v>44</v>
      </c>
      <c r="F154" s="31" t="s">
        <v>160</v>
      </c>
      <c r="G154" s="38">
        <v>9548.99</v>
      </c>
    </row>
    <row r="155" spans="1:7" x14ac:dyDescent="0.35">
      <c r="A155" s="19" t="s">
        <v>17</v>
      </c>
      <c r="B155" s="19"/>
      <c r="C155" s="37">
        <v>45899</v>
      </c>
      <c r="D155" s="31" t="s">
        <v>325</v>
      </c>
      <c r="E155" s="31" t="s">
        <v>284</v>
      </c>
      <c r="F155" s="31" t="s">
        <v>160</v>
      </c>
      <c r="G155" s="38">
        <v>0</v>
      </c>
    </row>
    <row r="156" spans="1:7" x14ac:dyDescent="0.35">
      <c r="A156" s="19" t="s">
        <v>17</v>
      </c>
      <c r="B156" s="19"/>
      <c r="C156" s="37">
        <v>45899</v>
      </c>
      <c r="D156" s="31" t="s">
        <v>326</v>
      </c>
      <c r="E156" s="31" t="s">
        <v>284</v>
      </c>
      <c r="F156" s="31" t="s">
        <v>160</v>
      </c>
      <c r="G156" s="38">
        <v>0</v>
      </c>
    </row>
    <row r="157" spans="1:7" x14ac:dyDescent="0.35">
      <c r="A157" s="19" t="s">
        <v>17</v>
      </c>
      <c r="B157" s="19"/>
      <c r="C157" s="37">
        <v>45899</v>
      </c>
      <c r="D157" s="31" t="s">
        <v>327</v>
      </c>
      <c r="E157" s="31" t="s">
        <v>284</v>
      </c>
      <c r="F157" s="31" t="s">
        <v>160</v>
      </c>
      <c r="G157" s="38">
        <v>0</v>
      </c>
    </row>
    <row r="158" spans="1:7" x14ac:dyDescent="0.35">
      <c r="A158" s="19" t="s">
        <v>17</v>
      </c>
      <c r="B158" s="19"/>
      <c r="C158" s="37">
        <v>45899</v>
      </c>
      <c r="D158" s="31" t="s">
        <v>328</v>
      </c>
      <c r="E158" s="31" t="s">
        <v>284</v>
      </c>
      <c r="F158" s="31" t="s">
        <v>160</v>
      </c>
      <c r="G158" s="38">
        <v>0</v>
      </c>
    </row>
    <row r="159" spans="1:7" x14ac:dyDescent="0.35">
      <c r="A159" s="19" t="s">
        <v>17</v>
      </c>
      <c r="B159" s="19"/>
      <c r="C159" s="37">
        <v>45899</v>
      </c>
      <c r="D159" s="31" t="s">
        <v>329</v>
      </c>
      <c r="E159" s="31" t="s">
        <v>284</v>
      </c>
      <c r="F159" s="31" t="s">
        <v>160</v>
      </c>
      <c r="G159" s="38">
        <v>0</v>
      </c>
    </row>
    <row r="160" spans="1:7" x14ac:dyDescent="0.35">
      <c r="A160" s="19" t="s">
        <v>17</v>
      </c>
      <c r="B160" s="19"/>
      <c r="C160" s="37">
        <v>45899</v>
      </c>
      <c r="D160" s="31" t="s">
        <v>330</v>
      </c>
      <c r="E160" s="31" t="s">
        <v>47</v>
      </c>
      <c r="F160" s="31" t="s">
        <v>160</v>
      </c>
      <c r="G160" s="38">
        <v>0</v>
      </c>
    </row>
    <row r="161" spans="1:7" x14ac:dyDescent="0.35">
      <c r="A161" s="19" t="s">
        <v>17</v>
      </c>
      <c r="B161" s="19"/>
      <c r="C161" s="37">
        <v>45899</v>
      </c>
      <c r="D161" s="31" t="s">
        <v>331</v>
      </c>
      <c r="E161" s="31" t="s">
        <v>332</v>
      </c>
      <c r="F161" s="31" t="s">
        <v>160</v>
      </c>
      <c r="G161" s="38">
        <v>0</v>
      </c>
    </row>
    <row r="162" spans="1:7" x14ac:dyDescent="0.35">
      <c r="A162" s="19" t="s">
        <v>17</v>
      </c>
      <c r="B162" s="19"/>
      <c r="C162" s="37">
        <v>45899</v>
      </c>
      <c r="D162" s="31" t="s">
        <v>333</v>
      </c>
      <c r="E162" s="31" t="s">
        <v>332</v>
      </c>
      <c r="F162" s="31" t="s">
        <v>160</v>
      </c>
      <c r="G162" s="38">
        <v>1120</v>
      </c>
    </row>
    <row r="163" spans="1:7" x14ac:dyDescent="0.35">
      <c r="A163" s="19" t="s">
        <v>17</v>
      </c>
      <c r="B163" s="19"/>
      <c r="C163" s="37">
        <v>45899</v>
      </c>
      <c r="D163" s="31" t="s">
        <v>334</v>
      </c>
      <c r="E163" s="31" t="s">
        <v>225</v>
      </c>
      <c r="F163" s="31" t="s">
        <v>160</v>
      </c>
      <c r="G163" s="38">
        <v>0</v>
      </c>
    </row>
    <row r="164" spans="1:7" x14ac:dyDescent="0.35">
      <c r="A164" s="19" t="s">
        <v>17</v>
      </c>
      <c r="B164" s="19"/>
      <c r="C164" s="37">
        <v>45899</v>
      </c>
      <c r="D164" s="31" t="s">
        <v>335</v>
      </c>
      <c r="E164" s="31" t="s">
        <v>225</v>
      </c>
      <c r="F164" s="31" t="s">
        <v>160</v>
      </c>
      <c r="G164" s="38">
        <v>0</v>
      </c>
    </row>
    <row r="165" spans="1:7" x14ac:dyDescent="0.35">
      <c r="A165" s="19" t="s">
        <v>17</v>
      </c>
      <c r="B165" s="19"/>
      <c r="C165" s="37">
        <v>45899</v>
      </c>
      <c r="D165" s="31" t="s">
        <v>336</v>
      </c>
      <c r="E165" s="31" t="s">
        <v>337</v>
      </c>
      <c r="F165" s="31" t="s">
        <v>160</v>
      </c>
      <c r="G165" s="38">
        <v>0</v>
      </c>
    </row>
    <row r="166" spans="1:7" x14ac:dyDescent="0.35">
      <c r="A166" s="19" t="s">
        <v>17</v>
      </c>
      <c r="B166" s="19"/>
      <c r="C166" s="37">
        <v>45899</v>
      </c>
      <c r="D166" s="31" t="s">
        <v>338</v>
      </c>
      <c r="E166" s="31" t="s">
        <v>337</v>
      </c>
      <c r="F166" s="31" t="s">
        <v>160</v>
      </c>
      <c r="G166" s="38">
        <v>0</v>
      </c>
    </row>
    <row r="167" spans="1:7" x14ac:dyDescent="0.35">
      <c r="A167" s="19" t="s">
        <v>17</v>
      </c>
      <c r="B167" s="19"/>
      <c r="C167" s="37">
        <v>45899</v>
      </c>
      <c r="D167" s="31" t="s">
        <v>339</v>
      </c>
      <c r="E167" s="31" t="s">
        <v>337</v>
      </c>
      <c r="F167" s="31" t="s">
        <v>160</v>
      </c>
      <c r="G167" s="38">
        <v>0</v>
      </c>
    </row>
    <row r="168" spans="1:7" x14ac:dyDescent="0.35">
      <c r="A168" s="19" t="s">
        <v>17</v>
      </c>
      <c r="B168" s="19"/>
      <c r="C168" s="37">
        <v>45899</v>
      </c>
      <c r="D168" s="31" t="s">
        <v>340</v>
      </c>
      <c r="E168" s="31" t="s">
        <v>337</v>
      </c>
      <c r="F168" s="31" t="s">
        <v>160</v>
      </c>
      <c r="G168" s="38">
        <v>0</v>
      </c>
    </row>
    <row r="169" spans="1:7" x14ac:dyDescent="0.35">
      <c r="A169" s="19" t="s">
        <v>17</v>
      </c>
      <c r="B169" s="19"/>
      <c r="C169" s="37">
        <v>45899</v>
      </c>
      <c r="D169" s="31" t="s">
        <v>341</v>
      </c>
      <c r="E169" s="31" t="s">
        <v>337</v>
      </c>
      <c r="F169" s="31" t="s">
        <v>160</v>
      </c>
      <c r="G169" s="38">
        <v>0</v>
      </c>
    </row>
    <row r="170" spans="1:7" x14ac:dyDescent="0.35">
      <c r="A170" s="19" t="s">
        <v>17</v>
      </c>
      <c r="B170" s="19"/>
      <c r="C170" s="37">
        <v>45899</v>
      </c>
      <c r="D170" s="31" t="s">
        <v>342</v>
      </c>
      <c r="E170" s="31" t="s">
        <v>343</v>
      </c>
      <c r="F170" s="31" t="s">
        <v>160</v>
      </c>
      <c r="G170" s="38">
        <v>0</v>
      </c>
    </row>
    <row r="171" spans="1:7" x14ac:dyDescent="0.35">
      <c r="A171" s="19" t="s">
        <v>17</v>
      </c>
      <c r="B171" s="19"/>
      <c r="C171" s="37">
        <v>45899</v>
      </c>
      <c r="D171" s="31" t="s">
        <v>344</v>
      </c>
      <c r="E171" s="31" t="s">
        <v>343</v>
      </c>
      <c r="F171" s="31" t="s">
        <v>160</v>
      </c>
      <c r="G171" s="38">
        <v>0</v>
      </c>
    </row>
    <row r="172" spans="1:7" x14ac:dyDescent="0.35">
      <c r="A172" s="19" t="s">
        <v>17</v>
      </c>
      <c r="B172" s="19"/>
      <c r="C172" s="37">
        <v>45899</v>
      </c>
      <c r="D172" s="31" t="s">
        <v>345</v>
      </c>
      <c r="E172" s="31" t="s">
        <v>346</v>
      </c>
      <c r="F172" s="31" t="s">
        <v>160</v>
      </c>
      <c r="G172" s="38">
        <v>0</v>
      </c>
    </row>
    <row r="173" spans="1:7" x14ac:dyDescent="0.35">
      <c r="A173" s="19" t="s">
        <v>17</v>
      </c>
      <c r="B173" s="19"/>
      <c r="C173" s="37">
        <v>45899</v>
      </c>
      <c r="D173" s="31" t="s">
        <v>347</v>
      </c>
      <c r="E173" s="31" t="s">
        <v>346</v>
      </c>
      <c r="F173" s="31" t="s">
        <v>160</v>
      </c>
      <c r="G173" s="38">
        <v>0</v>
      </c>
    </row>
    <row r="174" spans="1:7" x14ac:dyDescent="0.35">
      <c r="A174" s="19" t="s">
        <v>17</v>
      </c>
      <c r="B174" s="19"/>
      <c r="C174" s="37">
        <v>45899</v>
      </c>
      <c r="D174" s="31" t="s">
        <v>348</v>
      </c>
      <c r="E174" s="31" t="s">
        <v>349</v>
      </c>
      <c r="F174" s="31" t="s">
        <v>160</v>
      </c>
      <c r="G174" s="38">
        <v>0</v>
      </c>
    </row>
    <row r="175" spans="1:7" x14ac:dyDescent="0.35">
      <c r="A175" s="19" t="s">
        <v>17</v>
      </c>
      <c r="B175" s="19"/>
      <c r="C175" s="37">
        <v>45899</v>
      </c>
      <c r="D175" s="31" t="s">
        <v>350</v>
      </c>
      <c r="E175" s="31" t="s">
        <v>349</v>
      </c>
      <c r="F175" s="31" t="s">
        <v>160</v>
      </c>
      <c r="G175" s="38">
        <v>0</v>
      </c>
    </row>
    <row r="176" spans="1:7" x14ac:dyDescent="0.35">
      <c r="A176" s="19" t="s">
        <v>17</v>
      </c>
      <c r="B176" s="19"/>
      <c r="C176" s="37">
        <v>45899</v>
      </c>
      <c r="D176" s="31" t="s">
        <v>351</v>
      </c>
      <c r="E176" s="31" t="s">
        <v>352</v>
      </c>
      <c r="F176" s="31" t="s">
        <v>160</v>
      </c>
      <c r="G176" s="38">
        <v>0</v>
      </c>
    </row>
    <row r="177" spans="1:7" x14ac:dyDescent="0.35">
      <c r="A177" s="19" t="s">
        <v>17</v>
      </c>
      <c r="B177" s="19"/>
      <c r="C177" s="37">
        <v>45899</v>
      </c>
      <c r="D177" s="31" t="s">
        <v>353</v>
      </c>
      <c r="E177" s="31" t="s">
        <v>352</v>
      </c>
      <c r="F177" s="31" t="s">
        <v>160</v>
      </c>
      <c r="G177" s="38">
        <v>343.59</v>
      </c>
    </row>
    <row r="178" spans="1:7" x14ac:dyDescent="0.35">
      <c r="A178" s="19" t="s">
        <v>17</v>
      </c>
      <c r="B178" s="19"/>
      <c r="C178" s="37">
        <v>45899</v>
      </c>
      <c r="D178" s="31" t="s">
        <v>354</v>
      </c>
      <c r="E178" s="31" t="s">
        <v>352</v>
      </c>
      <c r="F178" s="31" t="s">
        <v>160</v>
      </c>
      <c r="G178" s="38">
        <v>0</v>
      </c>
    </row>
    <row r="179" spans="1:7" x14ac:dyDescent="0.35">
      <c r="A179" s="19" t="s">
        <v>17</v>
      </c>
      <c r="B179" s="19"/>
      <c r="C179" s="37">
        <v>45899</v>
      </c>
      <c r="D179" s="31" t="s">
        <v>355</v>
      </c>
      <c r="E179" s="31" t="s">
        <v>352</v>
      </c>
      <c r="F179" s="31" t="s">
        <v>160</v>
      </c>
      <c r="G179" s="38">
        <v>0</v>
      </c>
    </row>
    <row r="180" spans="1:7" x14ac:dyDescent="0.35">
      <c r="A180" s="19" t="s">
        <v>17</v>
      </c>
      <c r="B180" s="19"/>
      <c r="C180" s="37">
        <v>45899</v>
      </c>
      <c r="D180" s="31" t="s">
        <v>356</v>
      </c>
      <c r="E180" s="31" t="s">
        <v>352</v>
      </c>
      <c r="F180" s="31" t="s">
        <v>160</v>
      </c>
      <c r="G180" s="38">
        <v>0</v>
      </c>
    </row>
    <row r="181" spans="1:7" x14ac:dyDescent="0.35">
      <c r="A181" s="19" t="s">
        <v>17</v>
      </c>
      <c r="B181" s="19"/>
      <c r="C181" s="37">
        <v>45899</v>
      </c>
      <c r="D181" s="31" t="s">
        <v>357</v>
      </c>
      <c r="E181" s="31" t="s">
        <v>52</v>
      </c>
      <c r="F181" s="31" t="s">
        <v>160</v>
      </c>
      <c r="G181" s="38">
        <v>0</v>
      </c>
    </row>
    <row r="182" spans="1:7" x14ac:dyDescent="0.35">
      <c r="A182" s="19" t="s">
        <v>17</v>
      </c>
      <c r="B182" s="19"/>
      <c r="C182" s="37">
        <v>45899</v>
      </c>
      <c r="D182" s="31" t="s">
        <v>358</v>
      </c>
      <c r="E182" s="31" t="s">
        <v>52</v>
      </c>
      <c r="F182" s="31" t="s">
        <v>160</v>
      </c>
      <c r="G182" s="38">
        <v>0</v>
      </c>
    </row>
    <row r="183" spans="1:7" x14ac:dyDescent="0.35">
      <c r="A183" s="19" t="s">
        <v>17</v>
      </c>
      <c r="B183" s="19"/>
      <c r="C183" s="37">
        <v>45899</v>
      </c>
      <c r="D183" s="31" t="s">
        <v>359</v>
      </c>
      <c r="E183" s="31" t="s">
        <v>52</v>
      </c>
      <c r="F183" s="31" t="s">
        <v>160</v>
      </c>
      <c r="G183" s="38">
        <v>0</v>
      </c>
    </row>
    <row r="184" spans="1:7" x14ac:dyDescent="0.35">
      <c r="A184" s="19" t="s">
        <v>17</v>
      </c>
      <c r="B184" s="19"/>
      <c r="C184" s="37">
        <v>45899</v>
      </c>
      <c r="D184" s="31" t="s">
        <v>360</v>
      </c>
      <c r="E184" s="31" t="s">
        <v>361</v>
      </c>
      <c r="F184" s="31" t="s">
        <v>160</v>
      </c>
      <c r="G184" s="38">
        <v>0</v>
      </c>
    </row>
    <row r="185" spans="1:7" x14ac:dyDescent="0.35">
      <c r="A185" s="19" t="s">
        <v>17</v>
      </c>
      <c r="B185" s="19"/>
      <c r="C185" s="37">
        <v>45899</v>
      </c>
      <c r="D185" s="31" t="s">
        <v>362</v>
      </c>
      <c r="E185" s="31" t="s">
        <v>363</v>
      </c>
      <c r="F185" s="31" t="s">
        <v>160</v>
      </c>
      <c r="G185" s="38">
        <v>0</v>
      </c>
    </row>
    <row r="186" spans="1:7" x14ac:dyDescent="0.35">
      <c r="A186" s="19" t="s">
        <v>17</v>
      </c>
      <c r="B186" s="19"/>
      <c r="C186" s="37">
        <v>45899</v>
      </c>
      <c r="D186" s="31" t="s">
        <v>364</v>
      </c>
      <c r="E186" s="31" t="s">
        <v>337</v>
      </c>
      <c r="F186" s="31" t="s">
        <v>160</v>
      </c>
      <c r="G186" s="38">
        <v>0</v>
      </c>
    </row>
    <row r="187" spans="1:7" x14ac:dyDescent="0.35">
      <c r="A187" s="19" t="s">
        <v>17</v>
      </c>
      <c r="B187" s="19"/>
      <c r="C187" s="37">
        <v>45899</v>
      </c>
      <c r="D187" s="31" t="s">
        <v>365</v>
      </c>
      <c r="E187" s="31" t="s">
        <v>337</v>
      </c>
      <c r="F187" s="31" t="s">
        <v>160</v>
      </c>
      <c r="G187" s="38">
        <v>0</v>
      </c>
    </row>
    <row r="188" spans="1:7" x14ac:dyDescent="0.35">
      <c r="A188" s="19" t="s">
        <v>17</v>
      </c>
      <c r="B188" s="19"/>
      <c r="C188" s="37">
        <v>45899</v>
      </c>
      <c r="D188" s="31" t="s">
        <v>366</v>
      </c>
      <c r="E188" s="31" t="s">
        <v>337</v>
      </c>
      <c r="F188" s="31" t="s">
        <v>160</v>
      </c>
      <c r="G188" s="38">
        <v>0</v>
      </c>
    </row>
    <row r="189" spans="1:7" x14ac:dyDescent="0.35">
      <c r="A189" s="19" t="s">
        <v>17</v>
      </c>
      <c r="B189" s="19"/>
      <c r="C189" s="37">
        <v>45899</v>
      </c>
      <c r="D189" s="31" t="s">
        <v>367</v>
      </c>
      <c r="E189" s="31" t="s">
        <v>337</v>
      </c>
      <c r="F189" s="31" t="s">
        <v>160</v>
      </c>
      <c r="G189" s="38">
        <v>0</v>
      </c>
    </row>
    <row r="190" spans="1:7" x14ac:dyDescent="0.35">
      <c r="A190" s="19" t="s">
        <v>17</v>
      </c>
      <c r="B190" s="19"/>
      <c r="C190" s="37">
        <v>45899</v>
      </c>
      <c r="D190" s="31" t="s">
        <v>368</v>
      </c>
      <c r="E190" s="31" t="s">
        <v>337</v>
      </c>
      <c r="F190" s="31" t="s">
        <v>160</v>
      </c>
      <c r="G190" s="38">
        <v>0</v>
      </c>
    </row>
    <row r="191" spans="1:7" x14ac:dyDescent="0.35">
      <c r="A191" s="19" t="s">
        <v>17</v>
      </c>
      <c r="B191" s="19"/>
      <c r="C191" s="37">
        <v>45899</v>
      </c>
      <c r="D191" s="31" t="s">
        <v>369</v>
      </c>
      <c r="E191" s="31" t="s">
        <v>337</v>
      </c>
      <c r="F191" s="31" t="s">
        <v>160</v>
      </c>
      <c r="G191" s="38">
        <v>0</v>
      </c>
    </row>
    <row r="192" spans="1:7" x14ac:dyDescent="0.35">
      <c r="A192" s="19" t="s">
        <v>17</v>
      </c>
      <c r="B192" s="19"/>
      <c r="C192" s="37">
        <v>45899</v>
      </c>
      <c r="D192" s="31">
        <v>34675</v>
      </c>
      <c r="E192" s="31" t="s">
        <v>370</v>
      </c>
      <c r="F192" s="31" t="s">
        <v>160</v>
      </c>
      <c r="G192" s="38">
        <v>0</v>
      </c>
    </row>
    <row r="193" spans="1:7" x14ac:dyDescent="0.35">
      <c r="A193" s="19" t="s">
        <v>17</v>
      </c>
      <c r="B193" s="19"/>
      <c r="C193" s="37">
        <v>45899</v>
      </c>
      <c r="D193" s="31" t="s">
        <v>371</v>
      </c>
      <c r="E193" s="31" t="s">
        <v>176</v>
      </c>
      <c r="F193" s="31" t="s">
        <v>160</v>
      </c>
      <c r="G193" s="38">
        <v>0</v>
      </c>
    </row>
    <row r="194" spans="1:7" x14ac:dyDescent="0.35">
      <c r="A194" s="19" t="s">
        <v>17</v>
      </c>
      <c r="B194" s="19"/>
      <c r="C194" s="37">
        <v>45899</v>
      </c>
      <c r="D194" s="31" t="s">
        <v>372</v>
      </c>
      <c r="E194" s="31" t="s">
        <v>176</v>
      </c>
      <c r="F194" s="31" t="s">
        <v>160</v>
      </c>
      <c r="G194" s="38">
        <v>0</v>
      </c>
    </row>
    <row r="195" spans="1:7" x14ac:dyDescent="0.35">
      <c r="A195" s="19" t="s">
        <v>17</v>
      </c>
      <c r="B195" s="19"/>
      <c r="C195" s="37">
        <v>45899</v>
      </c>
      <c r="D195" s="31" t="s">
        <v>373</v>
      </c>
      <c r="E195" s="31" t="s">
        <v>176</v>
      </c>
      <c r="F195" s="31" t="s">
        <v>160</v>
      </c>
      <c r="G195" s="38">
        <v>0</v>
      </c>
    </row>
    <row r="196" spans="1:7" x14ac:dyDescent="0.35">
      <c r="A196" s="19" t="s">
        <v>17</v>
      </c>
      <c r="B196" s="19"/>
      <c r="C196" s="37">
        <v>45899</v>
      </c>
      <c r="D196" s="31" t="s">
        <v>374</v>
      </c>
      <c r="E196" s="31" t="s">
        <v>176</v>
      </c>
      <c r="F196" s="31" t="s">
        <v>160</v>
      </c>
      <c r="G196" s="38">
        <v>0</v>
      </c>
    </row>
    <row r="197" spans="1:7" x14ac:dyDescent="0.35">
      <c r="A197" s="19" t="s">
        <v>17</v>
      </c>
      <c r="B197" s="19"/>
      <c r="C197" s="37">
        <v>45899</v>
      </c>
      <c r="D197" s="31" t="s">
        <v>375</v>
      </c>
      <c r="E197" s="31" t="s">
        <v>176</v>
      </c>
      <c r="F197" s="31" t="s">
        <v>160</v>
      </c>
      <c r="G197" s="38">
        <v>0</v>
      </c>
    </row>
    <row r="198" spans="1:7" x14ac:dyDescent="0.35">
      <c r="A198" s="19" t="s">
        <v>17</v>
      </c>
      <c r="B198" s="19"/>
      <c r="C198" s="37">
        <v>45899</v>
      </c>
      <c r="D198" s="31" t="s">
        <v>376</v>
      </c>
      <c r="E198" s="31" t="s">
        <v>176</v>
      </c>
      <c r="F198" s="31" t="s">
        <v>160</v>
      </c>
      <c r="G198" s="38">
        <v>0</v>
      </c>
    </row>
    <row r="199" spans="1:7" x14ac:dyDescent="0.35">
      <c r="A199" s="19" t="s">
        <v>17</v>
      </c>
      <c r="B199" s="19"/>
      <c r="C199" s="37">
        <v>45899</v>
      </c>
      <c r="D199" s="31" t="s">
        <v>377</v>
      </c>
      <c r="E199" s="31" t="s">
        <v>176</v>
      </c>
      <c r="F199" s="31" t="s">
        <v>160</v>
      </c>
      <c r="G199" s="38">
        <v>0</v>
      </c>
    </row>
    <row r="200" spans="1:7" x14ac:dyDescent="0.35">
      <c r="A200" s="19" t="s">
        <v>17</v>
      </c>
      <c r="B200" s="19"/>
      <c r="C200" s="37">
        <v>45899</v>
      </c>
      <c r="D200" s="31" t="s">
        <v>378</v>
      </c>
      <c r="E200" s="31" t="s">
        <v>176</v>
      </c>
      <c r="F200" s="31" t="s">
        <v>160</v>
      </c>
      <c r="G200" s="38">
        <v>0</v>
      </c>
    </row>
    <row r="201" spans="1:7" x14ac:dyDescent="0.35">
      <c r="A201" s="19" t="s">
        <v>17</v>
      </c>
      <c r="B201" s="19"/>
      <c r="C201" s="37">
        <v>45899</v>
      </c>
      <c r="D201" s="31" t="s">
        <v>379</v>
      </c>
      <c r="E201" s="31" t="s">
        <v>176</v>
      </c>
      <c r="F201" s="31" t="s">
        <v>160</v>
      </c>
      <c r="G201" s="38">
        <v>0</v>
      </c>
    </row>
    <row r="202" spans="1:7" x14ac:dyDescent="0.35">
      <c r="A202" s="19" t="s">
        <v>17</v>
      </c>
      <c r="B202" s="19"/>
      <c r="C202" s="37">
        <v>45899</v>
      </c>
      <c r="D202" s="31" t="s">
        <v>380</v>
      </c>
      <c r="E202" s="31" t="s">
        <v>381</v>
      </c>
      <c r="F202" s="31" t="s">
        <v>160</v>
      </c>
      <c r="G202" s="38">
        <v>0</v>
      </c>
    </row>
    <row r="203" spans="1:7" x14ac:dyDescent="0.35">
      <c r="A203" s="19" t="s">
        <v>17</v>
      </c>
      <c r="B203" s="19"/>
      <c r="C203" s="37">
        <v>45899</v>
      </c>
      <c r="D203" s="31" t="s">
        <v>382</v>
      </c>
      <c r="E203" s="31" t="s">
        <v>383</v>
      </c>
      <c r="F203" s="31" t="s">
        <v>160</v>
      </c>
      <c r="G203" s="38">
        <v>0</v>
      </c>
    </row>
    <row r="204" spans="1:7" x14ac:dyDescent="0.35">
      <c r="A204" s="19" t="s">
        <v>17</v>
      </c>
      <c r="B204" s="19"/>
      <c r="C204" s="37">
        <v>45899</v>
      </c>
      <c r="D204" s="31" t="s">
        <v>384</v>
      </c>
      <c r="E204" s="31" t="s">
        <v>50</v>
      </c>
      <c r="F204" s="31" t="s">
        <v>160</v>
      </c>
      <c r="G204" s="38">
        <v>0</v>
      </c>
    </row>
    <row r="205" spans="1:7" x14ac:dyDescent="0.35">
      <c r="A205" s="19" t="s">
        <v>17</v>
      </c>
      <c r="B205" s="19"/>
      <c r="C205" s="37">
        <v>45899</v>
      </c>
      <c r="D205" s="31" t="s">
        <v>385</v>
      </c>
      <c r="E205" s="31" t="s">
        <v>50</v>
      </c>
      <c r="F205" s="31" t="s">
        <v>160</v>
      </c>
      <c r="G205" s="38">
        <v>0</v>
      </c>
    </row>
    <row r="206" spans="1:7" x14ac:dyDescent="0.35">
      <c r="A206" s="19" t="s">
        <v>17</v>
      </c>
      <c r="B206" s="19"/>
      <c r="C206" s="37">
        <v>45899</v>
      </c>
      <c r="D206" s="31" t="s">
        <v>386</v>
      </c>
      <c r="E206" s="31" t="s">
        <v>387</v>
      </c>
      <c r="F206" s="31" t="s">
        <v>160</v>
      </c>
      <c r="G206" s="38">
        <v>0</v>
      </c>
    </row>
    <row r="207" spans="1:7" x14ac:dyDescent="0.35">
      <c r="A207" s="19" t="s">
        <v>17</v>
      </c>
      <c r="B207" s="19"/>
      <c r="C207" s="37">
        <v>45899</v>
      </c>
      <c r="D207" s="31" t="s">
        <v>388</v>
      </c>
      <c r="E207" s="31" t="s">
        <v>387</v>
      </c>
      <c r="F207" s="31" t="s">
        <v>160</v>
      </c>
      <c r="G207" s="38">
        <v>0</v>
      </c>
    </row>
    <row r="208" spans="1:7" x14ac:dyDescent="0.35">
      <c r="A208" s="19" t="s">
        <v>17</v>
      </c>
      <c r="B208" s="19"/>
      <c r="C208" s="37">
        <v>45899</v>
      </c>
      <c r="D208" s="31" t="s">
        <v>389</v>
      </c>
      <c r="E208" s="31" t="s">
        <v>387</v>
      </c>
      <c r="F208" s="31" t="s">
        <v>160</v>
      </c>
      <c r="G208" s="38">
        <v>0</v>
      </c>
    </row>
    <row r="209" spans="1:7" x14ac:dyDescent="0.35">
      <c r="A209" s="19" t="s">
        <v>17</v>
      </c>
      <c r="B209" s="19"/>
      <c r="C209" s="37">
        <v>45899</v>
      </c>
      <c r="D209" s="31" t="s">
        <v>390</v>
      </c>
      <c r="E209" s="31" t="s">
        <v>391</v>
      </c>
      <c r="F209" s="31" t="s">
        <v>160</v>
      </c>
      <c r="G209" s="38">
        <v>0</v>
      </c>
    </row>
    <row r="210" spans="1:7" x14ac:dyDescent="0.35">
      <c r="A210" s="19" t="s">
        <v>17</v>
      </c>
      <c r="B210" s="19"/>
      <c r="C210" s="37">
        <v>45899</v>
      </c>
      <c r="D210" s="31" t="s">
        <v>392</v>
      </c>
      <c r="E210" s="31" t="s">
        <v>349</v>
      </c>
      <c r="F210" s="31" t="s">
        <v>160</v>
      </c>
      <c r="G210" s="38">
        <v>0</v>
      </c>
    </row>
    <row r="211" spans="1:7" x14ac:dyDescent="0.35">
      <c r="A211" s="19" t="s">
        <v>17</v>
      </c>
      <c r="B211" s="19"/>
      <c r="C211" s="37">
        <v>45899</v>
      </c>
      <c r="D211" s="31" t="s">
        <v>393</v>
      </c>
      <c r="E211" s="31" t="s">
        <v>349</v>
      </c>
      <c r="F211" s="31" t="s">
        <v>160</v>
      </c>
      <c r="G211" s="38">
        <v>0</v>
      </c>
    </row>
    <row r="212" spans="1:7" x14ac:dyDescent="0.35">
      <c r="A212" s="19" t="s">
        <v>17</v>
      </c>
      <c r="B212" s="19"/>
      <c r="C212" s="37">
        <v>45899</v>
      </c>
      <c r="D212" s="31" t="s">
        <v>394</v>
      </c>
      <c r="E212" s="31" t="s">
        <v>395</v>
      </c>
      <c r="F212" s="31" t="s">
        <v>160</v>
      </c>
      <c r="G212" s="38">
        <v>0</v>
      </c>
    </row>
    <row r="213" spans="1:7" x14ac:dyDescent="0.35">
      <c r="A213" s="19" t="s">
        <v>17</v>
      </c>
      <c r="B213" s="19"/>
      <c r="C213" s="37">
        <v>45899</v>
      </c>
      <c r="D213" s="31" t="s">
        <v>396</v>
      </c>
      <c r="E213" s="31" t="s">
        <v>395</v>
      </c>
      <c r="F213" s="31" t="s">
        <v>160</v>
      </c>
      <c r="G213" s="38">
        <v>0</v>
      </c>
    </row>
    <row r="214" spans="1:7" x14ac:dyDescent="0.35">
      <c r="A214" s="19" t="s">
        <v>17</v>
      </c>
      <c r="B214" s="19"/>
      <c r="C214" s="37">
        <v>45899</v>
      </c>
      <c r="D214" s="31">
        <v>34959</v>
      </c>
      <c r="E214" s="31" t="s">
        <v>276</v>
      </c>
      <c r="F214" s="31" t="s">
        <v>160</v>
      </c>
      <c r="G214" s="38">
        <v>0</v>
      </c>
    </row>
    <row r="215" spans="1:7" x14ac:dyDescent="0.35">
      <c r="A215" s="19" t="s">
        <v>17</v>
      </c>
      <c r="B215" s="19"/>
      <c r="C215" s="37">
        <v>45899</v>
      </c>
      <c r="D215" s="31" t="s">
        <v>397</v>
      </c>
      <c r="E215" s="31" t="s">
        <v>48</v>
      </c>
      <c r="F215" s="31" t="s">
        <v>160</v>
      </c>
      <c r="G215" s="38">
        <v>0</v>
      </c>
    </row>
    <row r="216" spans="1:7" x14ac:dyDescent="0.35">
      <c r="A216" s="19" t="s">
        <v>17</v>
      </c>
      <c r="B216" s="19"/>
      <c r="C216" s="37">
        <v>45899</v>
      </c>
      <c r="D216" s="31" t="s">
        <v>398</v>
      </c>
      <c r="E216" s="31" t="s">
        <v>343</v>
      </c>
      <c r="F216" s="31" t="s">
        <v>160</v>
      </c>
      <c r="G216" s="38">
        <v>0</v>
      </c>
    </row>
    <row r="217" spans="1:7" x14ac:dyDescent="0.35">
      <c r="A217" s="19" t="s">
        <v>17</v>
      </c>
      <c r="B217" s="19"/>
      <c r="C217" s="37">
        <v>45899</v>
      </c>
      <c r="D217" s="31" t="s">
        <v>399</v>
      </c>
      <c r="E217" s="31" t="s">
        <v>400</v>
      </c>
      <c r="F217" s="31" t="s">
        <v>160</v>
      </c>
      <c r="G217" s="38">
        <v>0</v>
      </c>
    </row>
    <row r="218" spans="1:7" x14ac:dyDescent="0.35">
      <c r="A218" s="19" t="s">
        <v>17</v>
      </c>
      <c r="B218" s="19"/>
      <c r="C218" s="37">
        <v>45899</v>
      </c>
      <c r="D218" s="31" t="s">
        <v>401</v>
      </c>
      <c r="E218" s="31" t="s">
        <v>343</v>
      </c>
      <c r="F218" s="31" t="s">
        <v>160</v>
      </c>
      <c r="G218" s="38">
        <v>0</v>
      </c>
    </row>
    <row r="219" spans="1:7" x14ac:dyDescent="0.35">
      <c r="A219" s="19" t="s">
        <v>17</v>
      </c>
      <c r="B219" s="19"/>
      <c r="C219" s="37">
        <v>45899</v>
      </c>
      <c r="D219" s="31" t="s">
        <v>402</v>
      </c>
      <c r="E219" s="31" t="s">
        <v>343</v>
      </c>
      <c r="F219" s="31" t="s">
        <v>160</v>
      </c>
      <c r="G219" s="38">
        <v>0</v>
      </c>
    </row>
    <row r="220" spans="1:7" x14ac:dyDescent="0.35">
      <c r="A220" s="19" t="s">
        <v>17</v>
      </c>
      <c r="B220" s="19"/>
      <c r="C220" s="37">
        <v>45899</v>
      </c>
      <c r="D220" s="31" t="s">
        <v>403</v>
      </c>
      <c r="E220" s="31" t="s">
        <v>115</v>
      </c>
      <c r="F220" s="31" t="s">
        <v>160</v>
      </c>
      <c r="G220" s="38">
        <v>0</v>
      </c>
    </row>
    <row r="221" spans="1:7" x14ac:dyDescent="0.35">
      <c r="A221" s="19" t="s">
        <v>17</v>
      </c>
      <c r="B221" s="19"/>
      <c r="C221" s="37">
        <v>45899</v>
      </c>
      <c r="D221" s="31" t="s">
        <v>404</v>
      </c>
      <c r="E221" s="31" t="s">
        <v>405</v>
      </c>
      <c r="F221" s="31" t="s">
        <v>160</v>
      </c>
      <c r="G221" s="38">
        <v>0</v>
      </c>
    </row>
    <row r="222" spans="1:7" x14ac:dyDescent="0.35">
      <c r="A222" s="19" t="s">
        <v>17</v>
      </c>
      <c r="B222" s="19"/>
      <c r="C222" s="37">
        <v>45899</v>
      </c>
      <c r="D222" s="31" t="s">
        <v>406</v>
      </c>
      <c r="E222" s="31" t="s">
        <v>405</v>
      </c>
      <c r="F222" s="31" t="s">
        <v>160</v>
      </c>
      <c r="G222" s="38">
        <v>0</v>
      </c>
    </row>
    <row r="223" spans="1:7" x14ac:dyDescent="0.35">
      <c r="A223" s="19" t="s">
        <v>17</v>
      </c>
      <c r="B223" s="19"/>
      <c r="C223" s="37">
        <v>45899</v>
      </c>
      <c r="D223" s="31" t="s">
        <v>407</v>
      </c>
      <c r="E223" s="31" t="s">
        <v>408</v>
      </c>
      <c r="F223" s="31" t="s">
        <v>160</v>
      </c>
      <c r="G223" s="38">
        <v>0</v>
      </c>
    </row>
    <row r="224" spans="1:7" x14ac:dyDescent="0.35">
      <c r="A224" s="19" t="s">
        <v>17</v>
      </c>
      <c r="B224" s="19"/>
      <c r="C224" s="37">
        <v>45899</v>
      </c>
      <c r="D224" s="31" t="s">
        <v>409</v>
      </c>
      <c r="E224" s="31" t="s">
        <v>410</v>
      </c>
      <c r="F224" s="31" t="s">
        <v>160</v>
      </c>
      <c r="G224" s="38">
        <v>267.47000000000003</v>
      </c>
    </row>
    <row r="225" spans="1:7" x14ac:dyDescent="0.35">
      <c r="A225" s="19" t="s">
        <v>17</v>
      </c>
      <c r="B225" s="19"/>
      <c r="C225" s="37">
        <v>45899</v>
      </c>
      <c r="D225" s="31" t="s">
        <v>411</v>
      </c>
      <c r="E225" s="31" t="s">
        <v>412</v>
      </c>
      <c r="F225" s="31" t="s">
        <v>160</v>
      </c>
      <c r="G225" s="38">
        <v>0</v>
      </c>
    </row>
    <row r="226" spans="1:7" x14ac:dyDescent="0.35">
      <c r="A226" s="19" t="s">
        <v>17</v>
      </c>
      <c r="B226" s="19"/>
      <c r="C226" s="37">
        <v>45899</v>
      </c>
      <c r="D226" s="31" t="s">
        <v>413</v>
      </c>
      <c r="E226" s="31" t="s">
        <v>414</v>
      </c>
      <c r="F226" s="31" t="s">
        <v>160</v>
      </c>
      <c r="G226" s="38">
        <v>0</v>
      </c>
    </row>
    <row r="227" spans="1:7" x14ac:dyDescent="0.35">
      <c r="A227" s="19" t="s">
        <v>17</v>
      </c>
      <c r="B227" s="19"/>
      <c r="C227" s="37">
        <v>45899</v>
      </c>
      <c r="D227" s="31" t="s">
        <v>415</v>
      </c>
      <c r="E227" s="31" t="s">
        <v>416</v>
      </c>
      <c r="F227" s="31" t="s">
        <v>160</v>
      </c>
      <c r="G227" s="38">
        <v>0</v>
      </c>
    </row>
    <row r="228" spans="1:7" x14ac:dyDescent="0.35">
      <c r="A228" s="19" t="s">
        <v>17</v>
      </c>
      <c r="B228" s="19"/>
      <c r="C228" s="37">
        <v>45899</v>
      </c>
      <c r="D228" s="31" t="s">
        <v>417</v>
      </c>
      <c r="E228" s="31" t="s">
        <v>418</v>
      </c>
      <c r="F228" s="31" t="s">
        <v>160</v>
      </c>
      <c r="G228" s="38">
        <v>0</v>
      </c>
    </row>
    <row r="229" spans="1:7" x14ac:dyDescent="0.35">
      <c r="A229" s="19" t="s">
        <v>17</v>
      </c>
      <c r="B229" s="19"/>
      <c r="C229" s="37">
        <v>45899</v>
      </c>
      <c r="D229" s="31" t="s">
        <v>419</v>
      </c>
      <c r="E229" s="31" t="s">
        <v>125</v>
      </c>
      <c r="F229" s="31" t="s">
        <v>160</v>
      </c>
      <c r="G229" s="38">
        <v>0</v>
      </c>
    </row>
    <row r="230" spans="1:7" x14ac:dyDescent="0.35">
      <c r="A230" s="19" t="s">
        <v>17</v>
      </c>
      <c r="B230" s="19"/>
      <c r="C230" s="37">
        <v>45899</v>
      </c>
      <c r="D230" s="31" t="s">
        <v>420</v>
      </c>
      <c r="E230" s="31" t="s">
        <v>125</v>
      </c>
      <c r="F230" s="31" t="s">
        <v>160</v>
      </c>
      <c r="G230" s="38">
        <v>0</v>
      </c>
    </row>
    <row r="231" spans="1:7" x14ac:dyDescent="0.35">
      <c r="A231" s="19" t="s">
        <v>17</v>
      </c>
      <c r="B231" s="19"/>
      <c r="C231" s="37">
        <v>45899</v>
      </c>
      <c r="D231" s="31" t="s">
        <v>421</v>
      </c>
      <c r="E231" s="31" t="s">
        <v>125</v>
      </c>
      <c r="F231" s="31" t="s">
        <v>160</v>
      </c>
      <c r="G231" s="38">
        <v>10.48</v>
      </c>
    </row>
    <row r="232" spans="1:7" x14ac:dyDescent="0.35">
      <c r="A232" s="19" t="s">
        <v>17</v>
      </c>
      <c r="B232" s="19"/>
      <c r="C232" s="37">
        <v>45899</v>
      </c>
      <c r="D232" s="31" t="s">
        <v>422</v>
      </c>
      <c r="E232" s="31" t="s">
        <v>125</v>
      </c>
      <c r="F232" s="31" t="s">
        <v>160</v>
      </c>
      <c r="G232" s="38">
        <v>0</v>
      </c>
    </row>
    <row r="233" spans="1:7" x14ac:dyDescent="0.35">
      <c r="A233" s="19" t="s">
        <v>17</v>
      </c>
      <c r="B233" s="19"/>
      <c r="C233" s="37">
        <v>45899</v>
      </c>
      <c r="D233" s="31" t="s">
        <v>423</v>
      </c>
      <c r="E233" s="31" t="s">
        <v>125</v>
      </c>
      <c r="F233" s="31" t="s">
        <v>160</v>
      </c>
      <c r="G233" s="38">
        <v>0</v>
      </c>
    </row>
    <row r="234" spans="1:7" x14ac:dyDescent="0.35">
      <c r="A234" s="19" t="s">
        <v>17</v>
      </c>
      <c r="B234" s="19"/>
      <c r="C234" s="37">
        <v>45899</v>
      </c>
      <c r="D234" s="31" t="s">
        <v>424</v>
      </c>
      <c r="E234" s="31" t="s">
        <v>125</v>
      </c>
      <c r="F234" s="31" t="s">
        <v>160</v>
      </c>
      <c r="G234" s="38">
        <v>0</v>
      </c>
    </row>
    <row r="235" spans="1:7" x14ac:dyDescent="0.35">
      <c r="A235" s="19" t="s">
        <v>17</v>
      </c>
      <c r="B235" s="19"/>
      <c r="C235" s="37">
        <v>45899</v>
      </c>
      <c r="D235" s="31" t="s">
        <v>425</v>
      </c>
      <c r="E235" s="31" t="s">
        <v>50</v>
      </c>
      <c r="F235" s="31" t="s">
        <v>160</v>
      </c>
      <c r="G235" s="38">
        <v>0</v>
      </c>
    </row>
    <row r="236" spans="1:7" x14ac:dyDescent="0.35">
      <c r="A236" s="19" t="s">
        <v>17</v>
      </c>
      <c r="B236" s="19"/>
      <c r="C236" s="37">
        <v>45899</v>
      </c>
      <c r="D236" s="31" t="s">
        <v>426</v>
      </c>
      <c r="E236" s="31" t="s">
        <v>50</v>
      </c>
      <c r="F236" s="31" t="s">
        <v>160</v>
      </c>
      <c r="G236" s="38">
        <v>0</v>
      </c>
    </row>
    <row r="237" spans="1:7" x14ac:dyDescent="0.35">
      <c r="A237" s="19" t="s">
        <v>17</v>
      </c>
      <c r="B237" s="19"/>
      <c r="C237" s="37">
        <v>45899</v>
      </c>
      <c r="D237" s="31" t="s">
        <v>427</v>
      </c>
      <c r="E237" s="31" t="s">
        <v>349</v>
      </c>
      <c r="F237" s="31" t="s">
        <v>160</v>
      </c>
      <c r="G237" s="38">
        <v>2201.64</v>
      </c>
    </row>
    <row r="238" spans="1:7" x14ac:dyDescent="0.35">
      <c r="A238" s="19" t="s">
        <v>17</v>
      </c>
      <c r="B238" s="19"/>
      <c r="C238" s="37">
        <v>45899</v>
      </c>
      <c r="D238" s="31" t="s">
        <v>428</v>
      </c>
      <c r="E238" s="31" t="s">
        <v>137</v>
      </c>
      <c r="F238" s="31" t="s">
        <v>160</v>
      </c>
      <c r="G238" s="38">
        <v>0</v>
      </c>
    </row>
    <row r="239" spans="1:7" x14ac:dyDescent="0.35">
      <c r="A239" s="19" t="s">
        <v>17</v>
      </c>
      <c r="B239" s="19"/>
      <c r="C239" s="37">
        <v>45899</v>
      </c>
      <c r="D239" s="31" t="s">
        <v>429</v>
      </c>
      <c r="E239" s="31" t="s">
        <v>134</v>
      </c>
      <c r="F239" s="31" t="s">
        <v>160</v>
      </c>
      <c r="G239" s="38">
        <v>0</v>
      </c>
    </row>
    <row r="240" spans="1:7" x14ac:dyDescent="0.35">
      <c r="A240" s="19" t="s">
        <v>17</v>
      </c>
      <c r="B240" s="19"/>
      <c r="C240" s="37">
        <v>45899</v>
      </c>
      <c r="D240" s="31" t="s">
        <v>430</v>
      </c>
      <c r="E240" s="31" t="s">
        <v>134</v>
      </c>
      <c r="F240" s="31" t="s">
        <v>160</v>
      </c>
      <c r="G240" s="38">
        <v>0</v>
      </c>
    </row>
    <row r="241" spans="1:7" x14ac:dyDescent="0.35">
      <c r="A241" s="19" t="s">
        <v>17</v>
      </c>
      <c r="B241" s="19"/>
      <c r="C241" s="37">
        <v>45899</v>
      </c>
      <c r="D241" s="31" t="s">
        <v>431</v>
      </c>
      <c r="E241" s="31" t="s">
        <v>432</v>
      </c>
      <c r="F241" s="31" t="s">
        <v>160</v>
      </c>
      <c r="G241" s="38">
        <v>0</v>
      </c>
    </row>
    <row r="242" spans="1:7" x14ac:dyDescent="0.35">
      <c r="A242" s="19" t="s">
        <v>17</v>
      </c>
      <c r="B242" s="19"/>
      <c r="C242" s="37">
        <v>45899</v>
      </c>
      <c r="D242" s="31" t="s">
        <v>433</v>
      </c>
      <c r="E242" s="31" t="s">
        <v>432</v>
      </c>
      <c r="F242" s="31" t="s">
        <v>160</v>
      </c>
      <c r="G242" s="38">
        <v>0</v>
      </c>
    </row>
    <row r="243" spans="1:7" x14ac:dyDescent="0.35">
      <c r="A243" s="19" t="s">
        <v>17</v>
      </c>
      <c r="B243" s="19"/>
      <c r="C243" s="37">
        <v>45899</v>
      </c>
      <c r="D243" s="31" t="s">
        <v>434</v>
      </c>
      <c r="E243" s="31" t="s">
        <v>432</v>
      </c>
      <c r="F243" s="31" t="s">
        <v>160</v>
      </c>
      <c r="G243" s="38">
        <v>0</v>
      </c>
    </row>
    <row r="244" spans="1:7" x14ac:dyDescent="0.35">
      <c r="A244" s="19" t="s">
        <v>17</v>
      </c>
      <c r="B244" s="19"/>
      <c r="C244" s="37">
        <v>45899</v>
      </c>
      <c r="D244" s="31" t="s">
        <v>435</v>
      </c>
      <c r="E244" s="31" t="s">
        <v>137</v>
      </c>
      <c r="F244" s="31" t="s">
        <v>160</v>
      </c>
      <c r="G244" s="38">
        <v>0</v>
      </c>
    </row>
    <row r="245" spans="1:7" x14ac:dyDescent="0.35">
      <c r="A245" s="19" t="s">
        <v>17</v>
      </c>
      <c r="B245" s="19"/>
      <c r="C245" s="37">
        <v>45899</v>
      </c>
      <c r="D245" s="31" t="s">
        <v>436</v>
      </c>
      <c r="E245" s="31" t="s">
        <v>137</v>
      </c>
      <c r="F245" s="31" t="s">
        <v>160</v>
      </c>
      <c r="G245" s="38">
        <v>0</v>
      </c>
    </row>
    <row r="246" spans="1:7" x14ac:dyDescent="0.35">
      <c r="A246" s="19" t="s">
        <v>17</v>
      </c>
      <c r="B246" s="19"/>
      <c r="C246" s="37">
        <v>45899</v>
      </c>
      <c r="D246" s="31" t="s">
        <v>437</v>
      </c>
      <c r="E246" s="31" t="s">
        <v>438</v>
      </c>
      <c r="F246" s="31" t="s">
        <v>160</v>
      </c>
      <c r="G246" s="38">
        <v>0</v>
      </c>
    </row>
    <row r="247" spans="1:7" x14ac:dyDescent="0.35">
      <c r="A247" s="19" t="s">
        <v>17</v>
      </c>
      <c r="B247" s="19"/>
      <c r="C247" s="37">
        <v>45899</v>
      </c>
      <c r="D247" s="31" t="s">
        <v>439</v>
      </c>
      <c r="E247" s="31" t="s">
        <v>438</v>
      </c>
      <c r="F247" s="31" t="s">
        <v>160</v>
      </c>
      <c r="G247" s="38">
        <v>0</v>
      </c>
    </row>
    <row r="248" spans="1:7" x14ac:dyDescent="0.35">
      <c r="A248" s="19" t="s">
        <v>17</v>
      </c>
      <c r="B248" s="19"/>
      <c r="C248" s="37">
        <v>45899</v>
      </c>
      <c r="D248" s="31" t="s">
        <v>440</v>
      </c>
      <c r="E248" s="31" t="s">
        <v>80</v>
      </c>
      <c r="F248" s="31" t="s">
        <v>160</v>
      </c>
      <c r="G248" s="38">
        <v>0</v>
      </c>
    </row>
    <row r="249" spans="1:7" x14ac:dyDescent="0.35">
      <c r="A249" s="19" t="s">
        <v>17</v>
      </c>
      <c r="B249" s="19"/>
      <c r="C249" s="37">
        <v>45899</v>
      </c>
      <c r="D249" s="31" t="s">
        <v>441</v>
      </c>
      <c r="E249" s="31" t="s">
        <v>80</v>
      </c>
      <c r="F249" s="31" t="s">
        <v>160</v>
      </c>
      <c r="G249" s="38">
        <v>0</v>
      </c>
    </row>
    <row r="250" spans="1:7" x14ac:dyDescent="0.35">
      <c r="A250" s="19" t="s">
        <v>17</v>
      </c>
      <c r="B250" s="19"/>
      <c r="C250" s="37">
        <v>45899</v>
      </c>
      <c r="D250" s="31" t="s">
        <v>442</v>
      </c>
      <c r="E250" s="31" t="s">
        <v>80</v>
      </c>
      <c r="F250" s="31" t="s">
        <v>160</v>
      </c>
      <c r="G250" s="38">
        <v>0</v>
      </c>
    </row>
    <row r="251" spans="1:7" x14ac:dyDescent="0.35">
      <c r="A251" s="19" t="s">
        <v>17</v>
      </c>
      <c r="B251" s="19"/>
      <c r="C251" s="37">
        <v>45899</v>
      </c>
      <c r="D251" s="31" t="s">
        <v>443</v>
      </c>
      <c r="E251" s="31" t="s">
        <v>80</v>
      </c>
      <c r="F251" s="31" t="s">
        <v>160</v>
      </c>
      <c r="G251" s="38">
        <v>0</v>
      </c>
    </row>
    <row r="252" spans="1:7" x14ac:dyDescent="0.35">
      <c r="A252" s="19" t="s">
        <v>17</v>
      </c>
      <c r="B252" s="19"/>
      <c r="C252" s="37">
        <v>45899</v>
      </c>
      <c r="D252" s="31" t="s">
        <v>444</v>
      </c>
      <c r="E252" s="31" t="s">
        <v>80</v>
      </c>
      <c r="F252" s="31" t="s">
        <v>160</v>
      </c>
      <c r="G252" s="38">
        <v>0</v>
      </c>
    </row>
    <row r="253" spans="1:7" x14ac:dyDescent="0.35">
      <c r="A253" s="19" t="s">
        <v>17</v>
      </c>
      <c r="B253" s="19"/>
      <c r="C253" s="37">
        <v>45899</v>
      </c>
      <c r="D253" s="31" t="s">
        <v>445</v>
      </c>
      <c r="E253" s="31" t="s">
        <v>80</v>
      </c>
      <c r="F253" s="31" t="s">
        <v>160</v>
      </c>
      <c r="G253" s="38">
        <v>0</v>
      </c>
    </row>
    <row r="254" spans="1:7" x14ac:dyDescent="0.35">
      <c r="A254" s="19" t="s">
        <v>17</v>
      </c>
      <c r="B254" s="19"/>
      <c r="C254" s="37">
        <v>45899</v>
      </c>
      <c r="D254" s="31" t="s">
        <v>446</v>
      </c>
      <c r="E254" s="31" t="s">
        <v>447</v>
      </c>
      <c r="F254" s="31" t="s">
        <v>160</v>
      </c>
      <c r="G254" s="38">
        <v>0</v>
      </c>
    </row>
    <row r="255" spans="1:7" x14ac:dyDescent="0.35">
      <c r="A255" s="19" t="s">
        <v>17</v>
      </c>
      <c r="B255" s="19"/>
      <c r="C255" s="37">
        <v>45899</v>
      </c>
      <c r="D255" s="31" t="s">
        <v>448</v>
      </c>
      <c r="E255" s="31" t="s">
        <v>449</v>
      </c>
      <c r="F255" s="31" t="s">
        <v>160</v>
      </c>
      <c r="G255" s="38">
        <v>0</v>
      </c>
    </row>
    <row r="256" spans="1:7" x14ac:dyDescent="0.35">
      <c r="A256" s="19" t="s">
        <v>17</v>
      </c>
      <c r="B256" s="19"/>
      <c r="C256" s="37">
        <v>45899</v>
      </c>
      <c r="D256" s="31" t="s">
        <v>450</v>
      </c>
      <c r="E256" s="31" t="s">
        <v>449</v>
      </c>
      <c r="F256" s="31" t="s">
        <v>160</v>
      </c>
      <c r="G256" s="38">
        <v>0</v>
      </c>
    </row>
    <row r="257" spans="1:7" x14ac:dyDescent="0.35">
      <c r="A257" s="19" t="s">
        <v>17</v>
      </c>
      <c r="B257" s="19"/>
      <c r="C257" s="37">
        <v>45899</v>
      </c>
      <c r="D257" s="31" t="s">
        <v>451</v>
      </c>
      <c r="E257" s="31" t="s">
        <v>263</v>
      </c>
      <c r="F257" s="31" t="s">
        <v>160</v>
      </c>
      <c r="G257" s="38">
        <v>0</v>
      </c>
    </row>
    <row r="258" spans="1:7" x14ac:dyDescent="0.35">
      <c r="A258" s="19" t="s">
        <v>17</v>
      </c>
      <c r="B258" s="19"/>
      <c r="C258" s="37">
        <v>45899</v>
      </c>
      <c r="D258" s="31" t="s">
        <v>452</v>
      </c>
      <c r="E258" s="31" t="s">
        <v>453</v>
      </c>
      <c r="F258" s="31" t="s">
        <v>160</v>
      </c>
      <c r="G258" s="38">
        <v>0</v>
      </c>
    </row>
    <row r="259" spans="1:7" x14ac:dyDescent="0.35">
      <c r="A259" s="19" t="s">
        <v>17</v>
      </c>
      <c r="B259" s="19"/>
      <c r="C259" s="37">
        <v>45899</v>
      </c>
      <c r="D259" s="31" t="s">
        <v>454</v>
      </c>
      <c r="E259" s="31" t="s">
        <v>134</v>
      </c>
      <c r="F259" s="31" t="s">
        <v>160</v>
      </c>
      <c r="G259" s="38">
        <v>0</v>
      </c>
    </row>
    <row r="260" spans="1:7" x14ac:dyDescent="0.35">
      <c r="A260" s="19" t="s">
        <v>17</v>
      </c>
      <c r="B260" s="19"/>
      <c r="C260" s="37">
        <v>45899</v>
      </c>
      <c r="D260" s="31" t="s">
        <v>455</v>
      </c>
      <c r="E260" s="31" t="s">
        <v>134</v>
      </c>
      <c r="F260" s="31" t="s">
        <v>160</v>
      </c>
      <c r="G260" s="38">
        <v>0</v>
      </c>
    </row>
    <row r="261" spans="1:7" x14ac:dyDescent="0.35">
      <c r="A261" s="19" t="s">
        <v>17</v>
      </c>
      <c r="B261" s="19"/>
      <c r="C261" s="37">
        <v>45899</v>
      </c>
      <c r="D261" s="31" t="s">
        <v>456</v>
      </c>
      <c r="E261" s="31" t="s">
        <v>134</v>
      </c>
      <c r="F261" s="31" t="s">
        <v>160</v>
      </c>
      <c r="G261" s="38">
        <v>0</v>
      </c>
    </row>
    <row r="262" spans="1:7" x14ac:dyDescent="0.35">
      <c r="A262" s="19" t="s">
        <v>17</v>
      </c>
      <c r="B262" s="19"/>
      <c r="C262" s="37">
        <v>45899</v>
      </c>
      <c r="D262" s="31" t="s">
        <v>457</v>
      </c>
      <c r="E262" s="31" t="s">
        <v>134</v>
      </c>
      <c r="F262" s="31" t="s">
        <v>160</v>
      </c>
      <c r="G262" s="38">
        <v>7.63</v>
      </c>
    </row>
    <row r="263" spans="1:7" x14ac:dyDescent="0.35">
      <c r="A263" s="19" t="s">
        <v>17</v>
      </c>
      <c r="B263" s="19"/>
      <c r="C263" s="37">
        <v>45899</v>
      </c>
      <c r="D263" s="31" t="s">
        <v>458</v>
      </c>
      <c r="E263" s="31" t="s">
        <v>134</v>
      </c>
      <c r="F263" s="31" t="s">
        <v>160</v>
      </c>
      <c r="G263" s="38">
        <v>0</v>
      </c>
    </row>
    <row r="264" spans="1:7" x14ac:dyDescent="0.35">
      <c r="A264" s="19" t="s">
        <v>17</v>
      </c>
      <c r="B264" s="19"/>
      <c r="C264" s="37">
        <v>45899</v>
      </c>
      <c r="D264" s="31" t="s">
        <v>459</v>
      </c>
      <c r="E264" s="31" t="s">
        <v>134</v>
      </c>
      <c r="F264" s="31" t="s">
        <v>160</v>
      </c>
      <c r="G264" s="38">
        <v>0</v>
      </c>
    </row>
    <row r="265" spans="1:7" x14ac:dyDescent="0.35">
      <c r="A265" s="19" t="s">
        <v>17</v>
      </c>
      <c r="B265" s="19"/>
      <c r="C265" s="37">
        <v>45899</v>
      </c>
      <c r="D265" s="31" t="s">
        <v>460</v>
      </c>
      <c r="E265" s="31" t="s">
        <v>134</v>
      </c>
      <c r="F265" s="31" t="s">
        <v>160</v>
      </c>
      <c r="G265" s="38">
        <v>0</v>
      </c>
    </row>
    <row r="266" spans="1:7" x14ac:dyDescent="0.35">
      <c r="A266" s="19" t="s">
        <v>17</v>
      </c>
      <c r="B266" s="19"/>
      <c r="C266" s="37">
        <v>45899</v>
      </c>
      <c r="D266" s="31" t="s">
        <v>461</v>
      </c>
      <c r="E266" s="31" t="s">
        <v>134</v>
      </c>
      <c r="F266" s="31" t="s">
        <v>160</v>
      </c>
      <c r="G266" s="38">
        <v>0</v>
      </c>
    </row>
    <row r="267" spans="1:7" x14ac:dyDescent="0.35">
      <c r="A267" s="19" t="s">
        <v>17</v>
      </c>
      <c r="B267" s="19"/>
      <c r="C267" s="37">
        <v>45899</v>
      </c>
      <c r="D267" s="31" t="s">
        <v>462</v>
      </c>
      <c r="E267" s="31" t="s">
        <v>134</v>
      </c>
      <c r="F267" s="31" t="s">
        <v>160</v>
      </c>
      <c r="G267" s="38">
        <v>0</v>
      </c>
    </row>
    <row r="268" spans="1:7" x14ac:dyDescent="0.35">
      <c r="A268" s="19" t="s">
        <v>17</v>
      </c>
      <c r="B268" s="19"/>
      <c r="C268" s="37">
        <v>45899</v>
      </c>
      <c r="D268" s="31" t="s">
        <v>463</v>
      </c>
      <c r="E268" s="31" t="s">
        <v>464</v>
      </c>
      <c r="F268" s="31" t="s">
        <v>160</v>
      </c>
      <c r="G268" s="38">
        <v>0</v>
      </c>
    </row>
    <row r="269" spans="1:7" x14ac:dyDescent="0.35">
      <c r="A269" s="19" t="s">
        <v>17</v>
      </c>
      <c r="B269" s="19"/>
      <c r="C269" s="37">
        <v>45899</v>
      </c>
      <c r="D269" s="31" t="s">
        <v>465</v>
      </c>
      <c r="E269" s="31" t="s">
        <v>284</v>
      </c>
      <c r="F269" s="31" t="s">
        <v>160</v>
      </c>
      <c r="G269" s="38">
        <v>0</v>
      </c>
    </row>
    <row r="270" spans="1:7" x14ac:dyDescent="0.35">
      <c r="A270" s="19" t="s">
        <v>17</v>
      </c>
      <c r="B270" s="19"/>
      <c r="C270" s="37">
        <v>45899</v>
      </c>
      <c r="D270" s="31" t="s">
        <v>466</v>
      </c>
      <c r="E270" s="31" t="s">
        <v>284</v>
      </c>
      <c r="F270" s="31" t="s">
        <v>160</v>
      </c>
      <c r="G270" s="38">
        <v>0</v>
      </c>
    </row>
    <row r="271" spans="1:7" x14ac:dyDescent="0.35">
      <c r="A271" s="19" t="s">
        <v>17</v>
      </c>
      <c r="B271" s="19"/>
      <c r="C271" s="37">
        <v>45899</v>
      </c>
      <c r="D271" s="31" t="s">
        <v>467</v>
      </c>
      <c r="E271" s="31" t="s">
        <v>284</v>
      </c>
      <c r="F271" s="31" t="s">
        <v>160</v>
      </c>
      <c r="G271" s="38">
        <v>0</v>
      </c>
    </row>
    <row r="272" spans="1:7" x14ac:dyDescent="0.35">
      <c r="A272" s="19" t="s">
        <v>17</v>
      </c>
      <c r="B272" s="19"/>
      <c r="C272" s="37">
        <v>45899</v>
      </c>
      <c r="D272" s="31" t="s">
        <v>468</v>
      </c>
      <c r="E272" s="31" t="s">
        <v>284</v>
      </c>
      <c r="F272" s="31" t="s">
        <v>160</v>
      </c>
      <c r="G272" s="38">
        <v>0</v>
      </c>
    </row>
    <row r="273" spans="1:7" x14ac:dyDescent="0.35">
      <c r="A273" s="19" t="s">
        <v>17</v>
      </c>
      <c r="B273" s="19"/>
      <c r="C273" s="37">
        <v>45899</v>
      </c>
      <c r="D273" s="31" t="s">
        <v>469</v>
      </c>
      <c r="E273" s="31" t="s">
        <v>284</v>
      </c>
      <c r="F273" s="31" t="s">
        <v>160</v>
      </c>
      <c r="G273" s="38">
        <v>0</v>
      </c>
    </row>
    <row r="274" spans="1:7" x14ac:dyDescent="0.35">
      <c r="A274" s="19" t="s">
        <v>17</v>
      </c>
      <c r="B274" s="19"/>
      <c r="C274" s="37">
        <v>45899</v>
      </c>
      <c r="D274" s="31" t="s">
        <v>470</v>
      </c>
      <c r="E274" s="31" t="s">
        <v>471</v>
      </c>
      <c r="F274" s="31" t="s">
        <v>160</v>
      </c>
      <c r="G274" s="38">
        <v>0</v>
      </c>
    </row>
    <row r="275" spans="1:7" x14ac:dyDescent="0.35">
      <c r="A275" s="19" t="s">
        <v>17</v>
      </c>
      <c r="B275" s="19"/>
      <c r="C275" s="37">
        <v>45899</v>
      </c>
      <c r="D275" s="31" t="s">
        <v>472</v>
      </c>
      <c r="E275" s="31" t="s">
        <v>471</v>
      </c>
      <c r="F275" s="31" t="s">
        <v>160</v>
      </c>
      <c r="G275" s="38">
        <v>0</v>
      </c>
    </row>
    <row r="276" spans="1:7" x14ac:dyDescent="0.35">
      <c r="A276" s="19" t="s">
        <v>17</v>
      </c>
      <c r="B276" s="19"/>
      <c r="C276" s="37">
        <v>45899</v>
      </c>
      <c r="D276" s="31" t="s">
        <v>473</v>
      </c>
      <c r="E276" s="31" t="s">
        <v>471</v>
      </c>
      <c r="F276" s="31" t="s">
        <v>160</v>
      </c>
      <c r="G276" s="38">
        <v>0</v>
      </c>
    </row>
    <row r="277" spans="1:7" x14ac:dyDescent="0.35">
      <c r="A277" s="19" t="s">
        <v>17</v>
      </c>
      <c r="B277" s="19"/>
      <c r="C277" s="37">
        <v>45899</v>
      </c>
      <c r="D277" s="31" t="s">
        <v>474</v>
      </c>
      <c r="E277" s="31" t="s">
        <v>475</v>
      </c>
      <c r="F277" s="31" t="s">
        <v>160</v>
      </c>
      <c r="G277" s="38">
        <v>0</v>
      </c>
    </row>
    <row r="278" spans="1:7" x14ac:dyDescent="0.35">
      <c r="A278" s="19" t="s">
        <v>17</v>
      </c>
      <c r="B278" s="19"/>
      <c r="C278" s="37">
        <v>45899</v>
      </c>
      <c r="D278" s="31" t="s">
        <v>476</v>
      </c>
      <c r="E278" s="31" t="s">
        <v>477</v>
      </c>
      <c r="F278" s="31" t="s">
        <v>160</v>
      </c>
      <c r="G278" s="38">
        <v>0</v>
      </c>
    </row>
    <row r="279" spans="1:7" x14ac:dyDescent="0.35">
      <c r="A279" s="19" t="s">
        <v>17</v>
      </c>
      <c r="B279" s="19"/>
      <c r="C279" s="37">
        <v>45899</v>
      </c>
      <c r="D279" s="31" t="s">
        <v>478</v>
      </c>
      <c r="E279" s="31" t="s">
        <v>284</v>
      </c>
      <c r="F279" s="31" t="s">
        <v>160</v>
      </c>
      <c r="G279" s="38">
        <v>0</v>
      </c>
    </row>
    <row r="280" spans="1:7" x14ac:dyDescent="0.35">
      <c r="A280" s="19" t="s">
        <v>17</v>
      </c>
      <c r="B280" s="19"/>
      <c r="C280" s="37">
        <v>45899</v>
      </c>
      <c r="D280" s="31" t="s">
        <v>479</v>
      </c>
      <c r="E280" s="31" t="s">
        <v>477</v>
      </c>
      <c r="F280" s="31" t="s">
        <v>160</v>
      </c>
      <c r="G280" s="38">
        <v>0</v>
      </c>
    </row>
    <row r="281" spans="1:7" x14ac:dyDescent="0.35">
      <c r="A281" s="19" t="s">
        <v>17</v>
      </c>
      <c r="B281" s="19"/>
      <c r="C281" s="37">
        <v>45899</v>
      </c>
      <c r="D281" s="31" t="s">
        <v>480</v>
      </c>
      <c r="E281" s="31" t="s">
        <v>148</v>
      </c>
      <c r="F281" s="31" t="s">
        <v>160</v>
      </c>
      <c r="G281" s="38">
        <v>0</v>
      </c>
    </row>
    <row r="282" spans="1:7" x14ac:dyDescent="0.35">
      <c r="A282" s="19" t="s">
        <v>17</v>
      </c>
      <c r="B282" s="19"/>
      <c r="C282" s="37">
        <v>45899</v>
      </c>
      <c r="D282" s="31" t="s">
        <v>481</v>
      </c>
      <c r="E282" s="31" t="s">
        <v>148</v>
      </c>
      <c r="F282" s="31" t="s">
        <v>160</v>
      </c>
      <c r="G282" s="38">
        <v>0</v>
      </c>
    </row>
    <row r="283" spans="1:7" x14ac:dyDescent="0.35">
      <c r="A283" s="19" t="s">
        <v>17</v>
      </c>
      <c r="B283" s="19"/>
      <c r="C283" s="37">
        <v>45899</v>
      </c>
      <c r="D283" s="31" t="s">
        <v>482</v>
      </c>
      <c r="E283" s="31" t="s">
        <v>148</v>
      </c>
      <c r="F283" s="31" t="s">
        <v>160</v>
      </c>
      <c r="G283" s="38">
        <v>0</v>
      </c>
    </row>
    <row r="284" spans="1:7" x14ac:dyDescent="0.35">
      <c r="A284" s="19" t="s">
        <v>17</v>
      </c>
      <c r="B284" s="19"/>
      <c r="C284" s="37">
        <v>45899</v>
      </c>
      <c r="D284" s="31" t="s">
        <v>483</v>
      </c>
      <c r="E284" s="31" t="s">
        <v>337</v>
      </c>
      <c r="F284" s="31" t="s">
        <v>160</v>
      </c>
      <c r="G284" s="38">
        <v>107465.38</v>
      </c>
    </row>
    <row r="285" spans="1:7" x14ac:dyDescent="0.35">
      <c r="A285" s="19" t="s">
        <v>17</v>
      </c>
      <c r="B285" s="19"/>
      <c r="C285" s="37">
        <v>45899</v>
      </c>
      <c r="D285" s="31" t="s">
        <v>484</v>
      </c>
      <c r="E285" s="31" t="s">
        <v>485</v>
      </c>
      <c r="F285" s="31" t="s">
        <v>160</v>
      </c>
      <c r="G285" s="38">
        <v>0</v>
      </c>
    </row>
    <row r="286" spans="1:7" x14ac:dyDescent="0.35">
      <c r="A286" s="19" t="s">
        <v>17</v>
      </c>
      <c r="B286" s="19"/>
      <c r="C286" s="37">
        <v>45899</v>
      </c>
      <c r="D286" s="31" t="s">
        <v>486</v>
      </c>
      <c r="E286" s="31" t="s">
        <v>55</v>
      </c>
      <c r="F286" s="31" t="s">
        <v>160</v>
      </c>
      <c r="G286" s="38">
        <v>571.46</v>
      </c>
    </row>
    <row r="287" spans="1:7" x14ac:dyDescent="0.35">
      <c r="A287" s="19" t="s">
        <v>17</v>
      </c>
      <c r="B287" s="19"/>
      <c r="C287" s="37">
        <v>45899</v>
      </c>
      <c r="D287" s="31" t="s">
        <v>487</v>
      </c>
      <c r="E287" s="31" t="s">
        <v>55</v>
      </c>
      <c r="F287" s="31" t="s">
        <v>160</v>
      </c>
      <c r="G287" s="38">
        <v>0</v>
      </c>
    </row>
    <row r="288" spans="1:7" x14ac:dyDescent="0.35">
      <c r="A288" s="19" t="s">
        <v>17</v>
      </c>
      <c r="B288" s="19"/>
      <c r="C288" s="37">
        <v>45899</v>
      </c>
      <c r="D288" s="31" t="s">
        <v>488</v>
      </c>
      <c r="E288" s="31" t="s">
        <v>55</v>
      </c>
      <c r="F288" s="31" t="s">
        <v>160</v>
      </c>
      <c r="G288" s="38">
        <v>1700.81</v>
      </c>
    </row>
    <row r="289" spans="1:7" x14ac:dyDescent="0.35">
      <c r="A289" s="19" t="s">
        <v>17</v>
      </c>
      <c r="B289" s="19"/>
      <c r="C289" s="37">
        <v>45899</v>
      </c>
      <c r="D289" s="31" t="s">
        <v>489</v>
      </c>
      <c r="E289" s="31" t="s">
        <v>55</v>
      </c>
      <c r="F289" s="31" t="s">
        <v>160</v>
      </c>
      <c r="G289" s="38">
        <v>0</v>
      </c>
    </row>
    <row r="290" spans="1:7" x14ac:dyDescent="0.35">
      <c r="A290" s="19" t="s">
        <v>17</v>
      </c>
      <c r="B290" s="19"/>
      <c r="C290" s="37">
        <v>45899</v>
      </c>
      <c r="D290" s="31" t="s">
        <v>490</v>
      </c>
      <c r="E290" s="31" t="s">
        <v>55</v>
      </c>
      <c r="F290" s="31" t="s">
        <v>160</v>
      </c>
      <c r="G290" s="38">
        <v>5696.98</v>
      </c>
    </row>
    <row r="291" spans="1:7" x14ac:dyDescent="0.35">
      <c r="A291" s="19" t="s">
        <v>17</v>
      </c>
      <c r="B291" s="19"/>
      <c r="C291" s="37">
        <v>45899</v>
      </c>
      <c r="D291" s="31" t="s">
        <v>491</v>
      </c>
      <c r="E291" s="31" t="s">
        <v>55</v>
      </c>
      <c r="F291" s="31" t="s">
        <v>160</v>
      </c>
      <c r="G291" s="38">
        <v>0</v>
      </c>
    </row>
    <row r="292" spans="1:7" x14ac:dyDescent="0.35">
      <c r="A292" s="19" t="s">
        <v>17</v>
      </c>
      <c r="B292" s="19"/>
      <c r="C292" s="37">
        <v>45899</v>
      </c>
      <c r="D292" s="31" t="s">
        <v>492</v>
      </c>
      <c r="E292" s="31" t="s">
        <v>55</v>
      </c>
      <c r="F292" s="31" t="s">
        <v>160</v>
      </c>
      <c r="G292" s="38">
        <v>0</v>
      </c>
    </row>
    <row r="293" spans="1:7" x14ac:dyDescent="0.35">
      <c r="A293" s="19" t="s">
        <v>17</v>
      </c>
      <c r="B293" s="19"/>
      <c r="C293" s="37">
        <v>45899</v>
      </c>
      <c r="D293" s="31" t="s">
        <v>493</v>
      </c>
      <c r="E293" s="31" t="s">
        <v>55</v>
      </c>
      <c r="F293" s="31" t="s">
        <v>160</v>
      </c>
      <c r="G293" s="38">
        <v>13261.26</v>
      </c>
    </row>
    <row r="294" spans="1:7" x14ac:dyDescent="0.35">
      <c r="A294" s="19" t="s">
        <v>17</v>
      </c>
      <c r="B294" s="19"/>
      <c r="C294" s="37">
        <v>45899</v>
      </c>
      <c r="D294" s="31" t="s">
        <v>494</v>
      </c>
      <c r="E294" s="31" t="s">
        <v>55</v>
      </c>
      <c r="F294" s="31" t="s">
        <v>160</v>
      </c>
      <c r="G294" s="38">
        <v>11728.64</v>
      </c>
    </row>
    <row r="295" spans="1:7" x14ac:dyDescent="0.35">
      <c r="A295" s="19" t="s">
        <v>17</v>
      </c>
      <c r="B295" s="19"/>
      <c r="C295" s="37">
        <v>45899</v>
      </c>
      <c r="D295" s="31" t="s">
        <v>495</v>
      </c>
      <c r="E295" s="31" t="s">
        <v>55</v>
      </c>
      <c r="F295" s="31" t="s">
        <v>160</v>
      </c>
      <c r="G295" s="38">
        <v>0</v>
      </c>
    </row>
    <row r="296" spans="1:7" x14ac:dyDescent="0.35">
      <c r="A296" s="19" t="s">
        <v>17</v>
      </c>
      <c r="B296" s="19"/>
      <c r="C296" s="37">
        <v>45899</v>
      </c>
      <c r="D296" s="31" t="s">
        <v>496</v>
      </c>
      <c r="E296" s="31" t="s">
        <v>55</v>
      </c>
      <c r="F296" s="31" t="s">
        <v>160</v>
      </c>
      <c r="G296" s="38">
        <v>1480.01</v>
      </c>
    </row>
    <row r="297" spans="1:7" x14ac:dyDescent="0.35">
      <c r="A297" s="19" t="s">
        <v>17</v>
      </c>
      <c r="B297" s="19"/>
      <c r="C297" s="37">
        <v>45899</v>
      </c>
      <c r="D297" s="31" t="s">
        <v>497</v>
      </c>
      <c r="E297" s="31" t="s">
        <v>55</v>
      </c>
      <c r="F297" s="31" t="s">
        <v>160</v>
      </c>
      <c r="G297" s="38">
        <v>0</v>
      </c>
    </row>
    <row r="298" spans="1:7" x14ac:dyDescent="0.35">
      <c r="A298" s="19" t="s">
        <v>17</v>
      </c>
      <c r="B298" s="19"/>
      <c r="C298" s="37">
        <v>45899</v>
      </c>
      <c r="D298" s="31" t="s">
        <v>498</v>
      </c>
      <c r="E298" s="31" t="s">
        <v>55</v>
      </c>
      <c r="F298" s="31" t="s">
        <v>160</v>
      </c>
      <c r="G298" s="38">
        <v>29501.14</v>
      </c>
    </row>
    <row r="299" spans="1:7" x14ac:dyDescent="0.35">
      <c r="A299" s="19" t="s">
        <v>17</v>
      </c>
      <c r="B299" s="19"/>
      <c r="C299" s="37">
        <v>45899</v>
      </c>
      <c r="D299" s="31" t="s">
        <v>499</v>
      </c>
      <c r="E299" s="31" t="s">
        <v>55</v>
      </c>
      <c r="F299" s="31" t="s">
        <v>160</v>
      </c>
      <c r="G299" s="38">
        <v>0</v>
      </c>
    </row>
    <row r="300" spans="1:7" x14ac:dyDescent="0.35">
      <c r="A300" s="19" t="s">
        <v>17</v>
      </c>
      <c r="B300" s="19"/>
      <c r="C300" s="37">
        <v>45899</v>
      </c>
      <c r="D300" s="31" t="s">
        <v>500</v>
      </c>
      <c r="E300" s="31" t="s">
        <v>55</v>
      </c>
      <c r="F300" s="31" t="s">
        <v>160</v>
      </c>
      <c r="G300" s="38">
        <v>16583</v>
      </c>
    </row>
    <row r="301" spans="1:7" x14ac:dyDescent="0.35">
      <c r="A301" s="19" t="s">
        <v>17</v>
      </c>
      <c r="B301" s="19"/>
      <c r="C301" s="37">
        <v>45899</v>
      </c>
      <c r="D301" s="31" t="s">
        <v>501</v>
      </c>
      <c r="E301" s="31" t="s">
        <v>55</v>
      </c>
      <c r="F301" s="31" t="s">
        <v>160</v>
      </c>
      <c r="G301" s="38">
        <v>14094.32</v>
      </c>
    </row>
    <row r="302" spans="1:7" x14ac:dyDescent="0.35">
      <c r="A302" s="19" t="s">
        <v>17</v>
      </c>
      <c r="B302" s="19"/>
      <c r="C302" s="37">
        <v>45899</v>
      </c>
      <c r="D302" s="31" t="s">
        <v>502</v>
      </c>
      <c r="E302" s="31" t="s">
        <v>55</v>
      </c>
      <c r="F302" s="31" t="s">
        <v>160</v>
      </c>
      <c r="G302" s="38">
        <v>0</v>
      </c>
    </row>
    <row r="303" spans="1:7" x14ac:dyDescent="0.35">
      <c r="A303" s="19" t="s">
        <v>17</v>
      </c>
      <c r="B303" s="19"/>
      <c r="C303" s="37">
        <v>45899</v>
      </c>
      <c r="D303" s="31" t="s">
        <v>503</v>
      </c>
      <c r="E303" s="31" t="s">
        <v>55</v>
      </c>
      <c r="F303" s="31" t="s">
        <v>160</v>
      </c>
      <c r="G303" s="38">
        <v>0</v>
      </c>
    </row>
    <row r="304" spans="1:7" x14ac:dyDescent="0.35">
      <c r="A304" s="19" t="s">
        <v>17</v>
      </c>
      <c r="B304" s="19"/>
      <c r="C304" s="37">
        <v>45899</v>
      </c>
      <c r="D304" s="31" t="s">
        <v>504</v>
      </c>
      <c r="E304" s="31" t="s">
        <v>55</v>
      </c>
      <c r="F304" s="31" t="s">
        <v>160</v>
      </c>
      <c r="G304" s="38">
        <v>1597.8899999999999</v>
      </c>
    </row>
    <row r="305" spans="1:7" x14ac:dyDescent="0.35">
      <c r="A305" s="19" t="s">
        <v>17</v>
      </c>
      <c r="B305" s="19"/>
      <c r="C305" s="37">
        <v>45899</v>
      </c>
      <c r="D305" s="31" t="s">
        <v>505</v>
      </c>
      <c r="E305" s="31" t="s">
        <v>55</v>
      </c>
      <c r="F305" s="31" t="s">
        <v>160</v>
      </c>
      <c r="G305" s="38">
        <v>0</v>
      </c>
    </row>
    <row r="306" spans="1:7" x14ac:dyDescent="0.35">
      <c r="A306" s="19" t="s">
        <v>17</v>
      </c>
      <c r="B306" s="19"/>
      <c r="C306" s="37">
        <v>45899</v>
      </c>
      <c r="D306" s="31">
        <v>35818</v>
      </c>
      <c r="E306" s="31" t="s">
        <v>370</v>
      </c>
      <c r="F306" s="31" t="s">
        <v>160</v>
      </c>
      <c r="G306" s="38">
        <v>0</v>
      </c>
    </row>
    <row r="307" spans="1:7" x14ac:dyDescent="0.35">
      <c r="A307" s="19" t="s">
        <v>17</v>
      </c>
      <c r="B307" s="19"/>
      <c r="C307" s="37">
        <v>45899</v>
      </c>
      <c r="D307" s="31" t="s">
        <v>506</v>
      </c>
      <c r="E307" s="31" t="s">
        <v>370</v>
      </c>
      <c r="F307" s="31" t="s">
        <v>160</v>
      </c>
      <c r="G307" s="38">
        <v>0</v>
      </c>
    </row>
    <row r="308" spans="1:7" x14ac:dyDescent="0.35">
      <c r="A308" s="19" t="s">
        <v>17</v>
      </c>
      <c r="B308" s="19"/>
      <c r="C308" s="37">
        <v>45899</v>
      </c>
      <c r="D308" s="31" t="s">
        <v>507</v>
      </c>
      <c r="E308" s="31" t="s">
        <v>508</v>
      </c>
      <c r="F308" s="31" t="s">
        <v>160</v>
      </c>
      <c r="G308" s="38">
        <v>0</v>
      </c>
    </row>
    <row r="309" spans="1:7" x14ac:dyDescent="0.35">
      <c r="A309" s="19" t="s">
        <v>17</v>
      </c>
      <c r="B309" s="19"/>
      <c r="C309" s="37">
        <v>45899</v>
      </c>
      <c r="D309" s="31" t="s">
        <v>509</v>
      </c>
      <c r="E309" s="31" t="s">
        <v>508</v>
      </c>
      <c r="F309" s="31" t="s">
        <v>160</v>
      </c>
      <c r="G309" s="38">
        <v>0</v>
      </c>
    </row>
    <row r="310" spans="1:7" x14ac:dyDescent="0.35">
      <c r="A310" s="19" t="s">
        <v>17</v>
      </c>
      <c r="B310" s="19"/>
      <c r="C310" s="37">
        <v>45899</v>
      </c>
      <c r="D310" s="31" t="s">
        <v>510</v>
      </c>
      <c r="E310" s="31" t="s">
        <v>508</v>
      </c>
      <c r="F310" s="31" t="s">
        <v>160</v>
      </c>
      <c r="G310" s="38">
        <v>0</v>
      </c>
    </row>
    <row r="311" spans="1:7" x14ac:dyDescent="0.35">
      <c r="A311" s="19" t="s">
        <v>17</v>
      </c>
      <c r="B311" s="19"/>
      <c r="C311" s="37">
        <v>45899</v>
      </c>
      <c r="D311" s="31" t="s">
        <v>511</v>
      </c>
      <c r="E311" s="31" t="s">
        <v>508</v>
      </c>
      <c r="F311" s="31" t="s">
        <v>160</v>
      </c>
      <c r="G311" s="38">
        <v>0</v>
      </c>
    </row>
    <row r="312" spans="1:7" x14ac:dyDescent="0.35">
      <c r="A312" s="19" t="s">
        <v>17</v>
      </c>
      <c r="B312" s="19"/>
      <c r="C312" s="37">
        <v>45899</v>
      </c>
      <c r="D312" s="31" t="s">
        <v>512</v>
      </c>
      <c r="E312" s="31" t="s">
        <v>508</v>
      </c>
      <c r="F312" s="31" t="s">
        <v>160</v>
      </c>
      <c r="G312" s="38">
        <v>0</v>
      </c>
    </row>
    <row r="313" spans="1:7" x14ac:dyDescent="0.35">
      <c r="A313" s="19" t="s">
        <v>17</v>
      </c>
      <c r="B313" s="19"/>
      <c r="C313" s="37">
        <v>45899</v>
      </c>
      <c r="D313" s="31" t="s">
        <v>513</v>
      </c>
      <c r="E313" s="31" t="s">
        <v>508</v>
      </c>
      <c r="F313" s="31" t="s">
        <v>160</v>
      </c>
      <c r="G313" s="38">
        <v>0</v>
      </c>
    </row>
    <row r="314" spans="1:7" x14ac:dyDescent="0.35">
      <c r="A314" s="19" t="s">
        <v>17</v>
      </c>
      <c r="B314" s="19"/>
      <c r="C314" s="37">
        <v>45899</v>
      </c>
      <c r="D314" s="31" t="s">
        <v>514</v>
      </c>
      <c r="E314" s="31" t="s">
        <v>515</v>
      </c>
      <c r="F314" s="31" t="s">
        <v>160</v>
      </c>
      <c r="G314" s="38">
        <v>0</v>
      </c>
    </row>
    <row r="315" spans="1:7" x14ac:dyDescent="0.35">
      <c r="A315" s="19" t="s">
        <v>17</v>
      </c>
      <c r="B315" s="19"/>
      <c r="C315" s="37">
        <v>45899</v>
      </c>
      <c r="D315" s="31" t="s">
        <v>516</v>
      </c>
      <c r="E315" s="31" t="s">
        <v>515</v>
      </c>
      <c r="F315" s="31" t="s">
        <v>160</v>
      </c>
      <c r="G315" s="38">
        <v>0</v>
      </c>
    </row>
    <row r="316" spans="1:7" x14ac:dyDescent="0.35">
      <c r="A316" s="19" t="s">
        <v>17</v>
      </c>
      <c r="B316" s="19"/>
      <c r="C316" s="37">
        <v>45899</v>
      </c>
      <c r="D316" s="31" t="s">
        <v>517</v>
      </c>
      <c r="E316" s="31" t="s">
        <v>391</v>
      </c>
      <c r="F316" s="31" t="s">
        <v>160</v>
      </c>
      <c r="G316" s="38">
        <v>0</v>
      </c>
    </row>
    <row r="317" spans="1:7" x14ac:dyDescent="0.35">
      <c r="A317" s="19" t="s">
        <v>17</v>
      </c>
      <c r="B317" s="19"/>
      <c r="C317" s="37">
        <v>45899</v>
      </c>
      <c r="D317" s="31" t="s">
        <v>518</v>
      </c>
      <c r="E317" s="31" t="s">
        <v>391</v>
      </c>
      <c r="F317" s="31" t="s">
        <v>160</v>
      </c>
      <c r="G317" s="38">
        <v>0</v>
      </c>
    </row>
    <row r="318" spans="1:7" x14ac:dyDescent="0.35">
      <c r="A318" s="19" t="s">
        <v>17</v>
      </c>
      <c r="B318" s="19"/>
      <c r="C318" s="37">
        <v>45899</v>
      </c>
      <c r="D318" s="31" t="s">
        <v>519</v>
      </c>
      <c r="E318" s="31" t="s">
        <v>391</v>
      </c>
      <c r="F318" s="31" t="s">
        <v>160</v>
      </c>
      <c r="G318" s="38">
        <v>0</v>
      </c>
    </row>
    <row r="319" spans="1:7" x14ac:dyDescent="0.35">
      <c r="A319" s="19" t="s">
        <v>17</v>
      </c>
      <c r="B319" s="19"/>
      <c r="C319" s="37">
        <v>45899</v>
      </c>
      <c r="D319" s="31" t="s">
        <v>520</v>
      </c>
      <c r="E319" s="31" t="s">
        <v>391</v>
      </c>
      <c r="F319" s="31" t="s">
        <v>160</v>
      </c>
      <c r="G319" s="38">
        <v>0</v>
      </c>
    </row>
    <row r="320" spans="1:7" x14ac:dyDescent="0.35">
      <c r="A320" s="19" t="s">
        <v>17</v>
      </c>
      <c r="B320" s="19"/>
      <c r="C320" s="37">
        <v>45899</v>
      </c>
      <c r="D320" s="31" t="s">
        <v>521</v>
      </c>
      <c r="E320" s="31" t="s">
        <v>391</v>
      </c>
      <c r="F320" s="31" t="s">
        <v>160</v>
      </c>
      <c r="G320" s="38">
        <v>0</v>
      </c>
    </row>
    <row r="321" spans="1:7" x14ac:dyDescent="0.35">
      <c r="A321" s="19" t="s">
        <v>17</v>
      </c>
      <c r="B321" s="19"/>
      <c r="C321" s="37">
        <v>45899</v>
      </c>
      <c r="D321" s="31" t="s">
        <v>522</v>
      </c>
      <c r="E321" s="31" t="s">
        <v>391</v>
      </c>
      <c r="F321" s="31" t="s">
        <v>160</v>
      </c>
      <c r="G321" s="38">
        <v>0</v>
      </c>
    </row>
    <row r="322" spans="1:7" x14ac:dyDescent="0.35">
      <c r="A322" s="19" t="s">
        <v>17</v>
      </c>
      <c r="B322" s="19"/>
      <c r="C322" s="37">
        <v>45899</v>
      </c>
      <c r="D322" s="31" t="s">
        <v>523</v>
      </c>
      <c r="E322" s="31" t="s">
        <v>391</v>
      </c>
      <c r="F322" s="31" t="s">
        <v>160</v>
      </c>
      <c r="G322" s="38">
        <v>0</v>
      </c>
    </row>
    <row r="323" spans="1:7" x14ac:dyDescent="0.35">
      <c r="A323" s="19" t="s">
        <v>17</v>
      </c>
      <c r="B323" s="19"/>
      <c r="C323" s="37">
        <v>45899</v>
      </c>
      <c r="D323" s="31" t="s">
        <v>524</v>
      </c>
      <c r="E323" s="31" t="s">
        <v>525</v>
      </c>
      <c r="F323" s="31" t="s">
        <v>160</v>
      </c>
      <c r="G323" s="38">
        <v>0</v>
      </c>
    </row>
    <row r="324" spans="1:7" x14ac:dyDescent="0.35">
      <c r="A324" s="19" t="s">
        <v>17</v>
      </c>
      <c r="B324" s="19"/>
      <c r="C324" s="37">
        <v>45899</v>
      </c>
      <c r="D324" s="31" t="s">
        <v>526</v>
      </c>
      <c r="E324" s="31" t="s">
        <v>242</v>
      </c>
      <c r="F324" s="31" t="s">
        <v>160</v>
      </c>
      <c r="G324" s="38">
        <v>0</v>
      </c>
    </row>
    <row r="325" spans="1:7" x14ac:dyDescent="0.35">
      <c r="A325" s="19" t="s">
        <v>17</v>
      </c>
      <c r="B325" s="19"/>
      <c r="C325" s="37">
        <v>45899</v>
      </c>
      <c r="D325" s="31" t="s">
        <v>527</v>
      </c>
      <c r="E325" s="31" t="s">
        <v>242</v>
      </c>
      <c r="F325" s="31" t="s">
        <v>160</v>
      </c>
      <c r="G325" s="38">
        <v>0</v>
      </c>
    </row>
    <row r="326" spans="1:7" x14ac:dyDescent="0.35">
      <c r="A326" s="19" t="s">
        <v>17</v>
      </c>
      <c r="B326" s="19"/>
      <c r="C326" s="37">
        <v>45899</v>
      </c>
      <c r="D326" s="31" t="s">
        <v>528</v>
      </c>
      <c r="E326" s="31" t="s">
        <v>529</v>
      </c>
      <c r="F326" s="31" t="s">
        <v>160</v>
      </c>
      <c r="G326" s="38">
        <v>0</v>
      </c>
    </row>
    <row r="327" spans="1:7" x14ac:dyDescent="0.35">
      <c r="A327" s="19" t="s">
        <v>17</v>
      </c>
      <c r="B327" s="19"/>
      <c r="C327" s="37">
        <v>45899</v>
      </c>
      <c r="D327" s="31" t="s">
        <v>530</v>
      </c>
      <c r="E327" s="31" t="s">
        <v>529</v>
      </c>
      <c r="F327" s="31" t="s">
        <v>160</v>
      </c>
      <c r="G327" s="38">
        <v>0</v>
      </c>
    </row>
    <row r="328" spans="1:7" x14ac:dyDescent="0.35">
      <c r="A328" s="19" t="s">
        <v>17</v>
      </c>
      <c r="B328" s="19"/>
      <c r="C328" s="37">
        <v>45899</v>
      </c>
      <c r="D328" s="31" t="s">
        <v>531</v>
      </c>
      <c r="E328" s="31" t="s">
        <v>529</v>
      </c>
      <c r="F328" s="31" t="s">
        <v>160</v>
      </c>
      <c r="G328" s="38">
        <v>0</v>
      </c>
    </row>
    <row r="329" spans="1:7" x14ac:dyDescent="0.35">
      <c r="A329" s="19" t="s">
        <v>17</v>
      </c>
      <c r="B329" s="19"/>
      <c r="C329" s="37">
        <v>45899</v>
      </c>
      <c r="D329" s="31" t="s">
        <v>532</v>
      </c>
      <c r="E329" s="31" t="s">
        <v>412</v>
      </c>
      <c r="F329" s="31" t="s">
        <v>160</v>
      </c>
      <c r="G329" s="38">
        <v>0</v>
      </c>
    </row>
    <row r="330" spans="1:7" x14ac:dyDescent="0.35">
      <c r="A330" s="19" t="s">
        <v>17</v>
      </c>
      <c r="B330" s="19"/>
      <c r="C330" s="37">
        <v>45899</v>
      </c>
      <c r="D330" s="31" t="s">
        <v>533</v>
      </c>
      <c r="E330" s="31" t="s">
        <v>412</v>
      </c>
      <c r="F330" s="31" t="s">
        <v>160</v>
      </c>
      <c r="G330" s="38">
        <v>0</v>
      </c>
    </row>
    <row r="331" spans="1:7" x14ac:dyDescent="0.35">
      <c r="A331" s="19" t="s">
        <v>17</v>
      </c>
      <c r="B331" s="19"/>
      <c r="C331" s="37">
        <v>45899</v>
      </c>
      <c r="D331" s="31" t="s">
        <v>534</v>
      </c>
      <c r="E331" s="31" t="s">
        <v>242</v>
      </c>
      <c r="F331" s="31" t="s">
        <v>160</v>
      </c>
      <c r="G331" s="38">
        <v>0</v>
      </c>
    </row>
    <row r="332" spans="1:7" x14ac:dyDescent="0.35">
      <c r="A332" s="19" t="s">
        <v>17</v>
      </c>
      <c r="B332" s="19"/>
      <c r="C332" s="37">
        <v>45899</v>
      </c>
      <c r="D332" s="31" t="s">
        <v>535</v>
      </c>
      <c r="E332" s="31" t="s">
        <v>536</v>
      </c>
      <c r="F332" s="31" t="s">
        <v>160</v>
      </c>
      <c r="G332" s="38">
        <v>0</v>
      </c>
    </row>
    <row r="333" spans="1:7" x14ac:dyDescent="0.35">
      <c r="A333" s="19" t="s">
        <v>17</v>
      </c>
      <c r="B333" s="19"/>
      <c r="C333" s="37">
        <v>45899</v>
      </c>
      <c r="D333" s="31" t="s">
        <v>537</v>
      </c>
      <c r="E333" s="31" t="s">
        <v>536</v>
      </c>
      <c r="F333" s="31" t="s">
        <v>160</v>
      </c>
      <c r="G333" s="38">
        <v>0</v>
      </c>
    </row>
    <row r="334" spans="1:7" x14ac:dyDescent="0.35">
      <c r="A334" s="19" t="s">
        <v>17</v>
      </c>
      <c r="B334" s="19"/>
      <c r="C334" s="37">
        <v>45899</v>
      </c>
      <c r="D334" s="31" t="s">
        <v>538</v>
      </c>
      <c r="E334" s="31" t="s">
        <v>536</v>
      </c>
      <c r="F334" s="31" t="s">
        <v>160</v>
      </c>
      <c r="G334" s="38">
        <v>0</v>
      </c>
    </row>
    <row r="335" spans="1:7" x14ac:dyDescent="0.35">
      <c r="A335" s="19" t="s">
        <v>17</v>
      </c>
      <c r="B335" s="19"/>
      <c r="C335" s="37">
        <v>45899</v>
      </c>
      <c r="D335" s="31" t="s">
        <v>539</v>
      </c>
      <c r="E335" s="31" t="s">
        <v>536</v>
      </c>
      <c r="F335" s="31" t="s">
        <v>160</v>
      </c>
      <c r="G335" s="38">
        <v>0</v>
      </c>
    </row>
    <row r="336" spans="1:7" x14ac:dyDescent="0.35">
      <c r="A336" s="19" t="s">
        <v>17</v>
      </c>
      <c r="B336" s="19"/>
      <c r="C336" s="37">
        <v>45899</v>
      </c>
      <c r="D336" s="31" t="s">
        <v>540</v>
      </c>
      <c r="E336" s="31" t="s">
        <v>541</v>
      </c>
      <c r="F336" s="31" t="s">
        <v>160</v>
      </c>
      <c r="G336" s="38">
        <v>0</v>
      </c>
    </row>
    <row r="337" spans="1:7" x14ac:dyDescent="0.35">
      <c r="A337" s="19" t="s">
        <v>17</v>
      </c>
      <c r="B337" s="19"/>
      <c r="C337" s="37">
        <v>45899</v>
      </c>
      <c r="D337" s="31" t="s">
        <v>542</v>
      </c>
      <c r="E337" s="31" t="s">
        <v>50</v>
      </c>
      <c r="F337" s="31" t="s">
        <v>160</v>
      </c>
      <c r="G337" s="38">
        <v>0</v>
      </c>
    </row>
    <row r="338" spans="1:7" x14ac:dyDescent="0.35">
      <c r="A338" s="19" t="s">
        <v>17</v>
      </c>
      <c r="B338" s="19"/>
      <c r="C338" s="37">
        <v>45899</v>
      </c>
      <c r="D338" s="31" t="s">
        <v>543</v>
      </c>
      <c r="E338" s="31" t="s">
        <v>50</v>
      </c>
      <c r="F338" s="31" t="s">
        <v>160</v>
      </c>
      <c r="G338" s="38">
        <v>0</v>
      </c>
    </row>
    <row r="339" spans="1:7" x14ac:dyDescent="0.35">
      <c r="A339" s="19" t="s">
        <v>17</v>
      </c>
      <c r="B339" s="19"/>
      <c r="C339" s="37">
        <v>45899</v>
      </c>
      <c r="D339" s="31" t="s">
        <v>544</v>
      </c>
      <c r="E339" s="31" t="s">
        <v>50</v>
      </c>
      <c r="F339" s="31" t="s">
        <v>160</v>
      </c>
      <c r="G339" s="38">
        <v>0</v>
      </c>
    </row>
    <row r="340" spans="1:7" x14ac:dyDescent="0.35">
      <c r="A340" s="19" t="s">
        <v>17</v>
      </c>
      <c r="B340" s="19"/>
      <c r="C340" s="37">
        <v>45899</v>
      </c>
      <c r="D340" s="31" t="s">
        <v>545</v>
      </c>
      <c r="E340" s="31" t="s">
        <v>50</v>
      </c>
      <c r="F340" s="31" t="s">
        <v>160</v>
      </c>
      <c r="G340" s="38">
        <v>0</v>
      </c>
    </row>
    <row r="341" spans="1:7" x14ac:dyDescent="0.35">
      <c r="A341" s="19" t="s">
        <v>17</v>
      </c>
      <c r="B341" s="19"/>
      <c r="C341" s="37">
        <v>45899</v>
      </c>
      <c r="D341" s="31" t="s">
        <v>546</v>
      </c>
      <c r="E341" s="31" t="s">
        <v>547</v>
      </c>
      <c r="F341" s="31" t="s">
        <v>160</v>
      </c>
      <c r="G341" s="38">
        <v>0</v>
      </c>
    </row>
    <row r="342" spans="1:7" x14ac:dyDescent="0.35">
      <c r="A342" s="19" t="s">
        <v>17</v>
      </c>
      <c r="B342" s="19"/>
      <c r="C342" s="37">
        <v>45899</v>
      </c>
      <c r="D342" s="31" t="s">
        <v>548</v>
      </c>
      <c r="E342" s="31" t="s">
        <v>549</v>
      </c>
      <c r="F342" s="31" t="s">
        <v>160</v>
      </c>
      <c r="G342" s="38">
        <v>5.48</v>
      </c>
    </row>
    <row r="343" spans="1:7" x14ac:dyDescent="0.35">
      <c r="A343" s="19" t="s">
        <v>17</v>
      </c>
      <c r="B343" s="19"/>
      <c r="C343" s="37">
        <v>45899</v>
      </c>
      <c r="D343" s="31" t="s">
        <v>550</v>
      </c>
      <c r="E343" s="31" t="s">
        <v>80</v>
      </c>
      <c r="F343" s="31" t="s">
        <v>160</v>
      </c>
      <c r="G343" s="38">
        <v>0</v>
      </c>
    </row>
    <row r="344" spans="1:7" x14ac:dyDescent="0.35">
      <c r="A344" s="19" t="s">
        <v>17</v>
      </c>
      <c r="B344" s="19"/>
      <c r="C344" s="37">
        <v>45899</v>
      </c>
      <c r="D344" s="31" t="s">
        <v>551</v>
      </c>
      <c r="E344" s="31" t="s">
        <v>80</v>
      </c>
      <c r="F344" s="31" t="s">
        <v>160</v>
      </c>
      <c r="G344" s="38">
        <v>0</v>
      </c>
    </row>
    <row r="345" spans="1:7" x14ac:dyDescent="0.35">
      <c r="A345" s="19" t="s">
        <v>17</v>
      </c>
      <c r="B345" s="19"/>
      <c r="C345" s="37">
        <v>45899</v>
      </c>
      <c r="D345" s="31" t="s">
        <v>552</v>
      </c>
      <c r="E345" s="31" t="s">
        <v>171</v>
      </c>
      <c r="F345" s="31" t="s">
        <v>160</v>
      </c>
      <c r="G345" s="38">
        <v>0</v>
      </c>
    </row>
    <row r="346" spans="1:7" x14ac:dyDescent="0.35">
      <c r="A346" s="19" t="s">
        <v>17</v>
      </c>
      <c r="B346" s="19"/>
      <c r="C346" s="37">
        <v>45899</v>
      </c>
      <c r="D346" s="31" t="s">
        <v>553</v>
      </c>
      <c r="E346" s="31" t="s">
        <v>171</v>
      </c>
      <c r="F346" s="31" t="s">
        <v>160</v>
      </c>
      <c r="G346" s="38">
        <v>0</v>
      </c>
    </row>
    <row r="347" spans="1:7" x14ac:dyDescent="0.35">
      <c r="A347" s="19" t="s">
        <v>17</v>
      </c>
      <c r="B347" s="19"/>
      <c r="C347" s="37">
        <v>45899</v>
      </c>
      <c r="D347" s="31" t="s">
        <v>554</v>
      </c>
      <c r="E347" s="31" t="s">
        <v>171</v>
      </c>
      <c r="F347" s="31" t="s">
        <v>160</v>
      </c>
      <c r="G347" s="38">
        <v>0</v>
      </c>
    </row>
    <row r="348" spans="1:7" x14ac:dyDescent="0.35">
      <c r="A348" s="19" t="s">
        <v>17</v>
      </c>
      <c r="B348" s="19"/>
      <c r="C348" s="37">
        <v>45899</v>
      </c>
      <c r="D348" s="31" t="s">
        <v>555</v>
      </c>
      <c r="E348" s="31" t="s">
        <v>171</v>
      </c>
      <c r="F348" s="31" t="s">
        <v>160</v>
      </c>
      <c r="G348" s="38">
        <v>0</v>
      </c>
    </row>
    <row r="349" spans="1:7" x14ac:dyDescent="0.35">
      <c r="A349" s="19" t="s">
        <v>17</v>
      </c>
      <c r="B349" s="19"/>
      <c r="C349" s="37">
        <v>45899</v>
      </c>
      <c r="D349" s="31" t="s">
        <v>556</v>
      </c>
      <c r="E349" s="31" t="s">
        <v>171</v>
      </c>
      <c r="F349" s="31" t="s">
        <v>160</v>
      </c>
      <c r="G349" s="38">
        <v>0</v>
      </c>
    </row>
    <row r="350" spans="1:7" x14ac:dyDescent="0.35">
      <c r="A350" s="19" t="s">
        <v>17</v>
      </c>
      <c r="B350" s="19"/>
      <c r="C350" s="37">
        <v>45899</v>
      </c>
      <c r="D350" s="31" t="s">
        <v>557</v>
      </c>
      <c r="E350" s="31" t="s">
        <v>171</v>
      </c>
      <c r="F350" s="31" t="s">
        <v>160</v>
      </c>
      <c r="G350" s="38">
        <v>0</v>
      </c>
    </row>
    <row r="351" spans="1:7" x14ac:dyDescent="0.35">
      <c r="A351" s="19" t="s">
        <v>17</v>
      </c>
      <c r="B351" s="19"/>
      <c r="C351" s="37">
        <v>45899</v>
      </c>
      <c r="D351" s="31" t="s">
        <v>558</v>
      </c>
      <c r="E351" s="31" t="s">
        <v>559</v>
      </c>
      <c r="F351" s="31" t="s">
        <v>160</v>
      </c>
      <c r="G351" s="38">
        <v>0</v>
      </c>
    </row>
    <row r="352" spans="1:7" x14ac:dyDescent="0.35">
      <c r="A352" s="19" t="s">
        <v>17</v>
      </c>
      <c r="B352" s="19"/>
      <c r="C352" s="37">
        <v>45899</v>
      </c>
      <c r="D352" s="31" t="s">
        <v>560</v>
      </c>
      <c r="E352" s="31" t="s">
        <v>559</v>
      </c>
      <c r="F352" s="31" t="s">
        <v>160</v>
      </c>
      <c r="G352" s="38">
        <v>0</v>
      </c>
    </row>
    <row r="353" spans="1:7" x14ac:dyDescent="0.35">
      <c r="A353" s="19" t="s">
        <v>17</v>
      </c>
      <c r="B353" s="19"/>
      <c r="C353" s="37">
        <v>45899</v>
      </c>
      <c r="D353" s="31" t="s">
        <v>561</v>
      </c>
      <c r="E353" s="31" t="s">
        <v>559</v>
      </c>
      <c r="F353" s="31" t="s">
        <v>160</v>
      </c>
      <c r="G353" s="38">
        <v>0</v>
      </c>
    </row>
    <row r="354" spans="1:7" x14ac:dyDescent="0.35">
      <c r="A354" s="19" t="s">
        <v>17</v>
      </c>
      <c r="B354" s="19"/>
      <c r="C354" s="37">
        <v>45899</v>
      </c>
      <c r="D354" s="31" t="s">
        <v>562</v>
      </c>
      <c r="E354" s="31" t="s">
        <v>559</v>
      </c>
      <c r="F354" s="31" t="s">
        <v>160</v>
      </c>
      <c r="G354" s="38">
        <v>0</v>
      </c>
    </row>
    <row r="355" spans="1:7" x14ac:dyDescent="0.35">
      <c r="A355" s="19" t="s">
        <v>17</v>
      </c>
      <c r="B355" s="19"/>
      <c r="C355" s="37">
        <v>45899</v>
      </c>
      <c r="D355" s="31" t="s">
        <v>563</v>
      </c>
      <c r="E355" s="31" t="s">
        <v>559</v>
      </c>
      <c r="F355" s="31" t="s">
        <v>160</v>
      </c>
      <c r="G355" s="38">
        <v>0</v>
      </c>
    </row>
    <row r="356" spans="1:7" x14ac:dyDescent="0.35">
      <c r="A356" s="19" t="s">
        <v>17</v>
      </c>
      <c r="B356" s="19"/>
      <c r="C356" s="37">
        <v>45899</v>
      </c>
      <c r="D356" s="31" t="s">
        <v>564</v>
      </c>
      <c r="E356" s="31" t="s">
        <v>559</v>
      </c>
      <c r="F356" s="31" t="s">
        <v>160</v>
      </c>
      <c r="G356" s="38">
        <v>0</v>
      </c>
    </row>
    <row r="357" spans="1:7" x14ac:dyDescent="0.35">
      <c r="A357" s="19" t="s">
        <v>17</v>
      </c>
      <c r="B357" s="19"/>
      <c r="C357" s="37">
        <v>45899</v>
      </c>
      <c r="D357" s="31" t="s">
        <v>565</v>
      </c>
      <c r="E357" s="31" t="s">
        <v>566</v>
      </c>
      <c r="F357" s="31" t="s">
        <v>160</v>
      </c>
      <c r="G357" s="38">
        <v>0</v>
      </c>
    </row>
    <row r="358" spans="1:7" x14ac:dyDescent="0.35">
      <c r="A358" s="19" t="s">
        <v>17</v>
      </c>
      <c r="B358" s="19"/>
      <c r="C358" s="37">
        <v>45899</v>
      </c>
      <c r="D358" s="31" t="s">
        <v>567</v>
      </c>
      <c r="E358" s="31" t="s">
        <v>566</v>
      </c>
      <c r="F358" s="31" t="s">
        <v>160</v>
      </c>
      <c r="G358" s="38">
        <v>0</v>
      </c>
    </row>
    <row r="359" spans="1:7" x14ac:dyDescent="0.35">
      <c r="A359" s="19" t="s">
        <v>17</v>
      </c>
      <c r="B359" s="19"/>
      <c r="C359" s="37">
        <v>45899</v>
      </c>
      <c r="D359" s="31" t="s">
        <v>568</v>
      </c>
      <c r="E359" s="31" t="s">
        <v>566</v>
      </c>
      <c r="F359" s="31" t="s">
        <v>160</v>
      </c>
      <c r="G359" s="38">
        <v>0</v>
      </c>
    </row>
    <row r="360" spans="1:7" x14ac:dyDescent="0.35">
      <c r="A360" s="19" t="s">
        <v>17</v>
      </c>
      <c r="B360" s="19"/>
      <c r="C360" s="37">
        <v>45899</v>
      </c>
      <c r="D360" s="31" t="s">
        <v>569</v>
      </c>
      <c r="E360" s="31" t="s">
        <v>570</v>
      </c>
      <c r="F360" s="31" t="s">
        <v>160</v>
      </c>
      <c r="G360" s="38">
        <v>0</v>
      </c>
    </row>
    <row r="361" spans="1:7" x14ac:dyDescent="0.35">
      <c r="A361" s="19" t="s">
        <v>17</v>
      </c>
      <c r="B361" s="19"/>
      <c r="C361" s="37">
        <v>45899</v>
      </c>
      <c r="D361" s="31" t="s">
        <v>571</v>
      </c>
      <c r="E361" s="31" t="s">
        <v>570</v>
      </c>
      <c r="F361" s="31" t="s">
        <v>160</v>
      </c>
      <c r="G361" s="38">
        <v>0</v>
      </c>
    </row>
    <row r="362" spans="1:7" x14ac:dyDescent="0.35">
      <c r="A362" s="19" t="s">
        <v>17</v>
      </c>
      <c r="B362" s="19"/>
      <c r="C362" s="37">
        <v>45899</v>
      </c>
      <c r="D362" s="31" t="s">
        <v>572</v>
      </c>
      <c r="E362" s="31" t="s">
        <v>221</v>
      </c>
      <c r="F362" s="31" t="s">
        <v>160</v>
      </c>
      <c r="G362" s="38">
        <v>0</v>
      </c>
    </row>
    <row r="363" spans="1:7" x14ac:dyDescent="0.35">
      <c r="A363" s="19" t="s">
        <v>17</v>
      </c>
      <c r="B363" s="19"/>
      <c r="C363" s="37">
        <v>45899</v>
      </c>
      <c r="D363" s="31" t="s">
        <v>573</v>
      </c>
      <c r="E363" s="31" t="s">
        <v>574</v>
      </c>
      <c r="F363" s="31" t="s">
        <v>160</v>
      </c>
      <c r="G363" s="38">
        <v>0</v>
      </c>
    </row>
    <row r="364" spans="1:7" x14ac:dyDescent="0.35">
      <c r="A364" s="19" t="s">
        <v>17</v>
      </c>
      <c r="B364" s="19"/>
      <c r="C364" s="37">
        <v>45899</v>
      </c>
      <c r="D364" s="31" t="s">
        <v>575</v>
      </c>
      <c r="E364" s="31" t="s">
        <v>574</v>
      </c>
      <c r="F364" s="31" t="s">
        <v>160</v>
      </c>
      <c r="G364" s="38">
        <v>0</v>
      </c>
    </row>
    <row r="365" spans="1:7" x14ac:dyDescent="0.35">
      <c r="A365" s="19" t="s">
        <v>17</v>
      </c>
      <c r="B365" s="19"/>
      <c r="C365" s="37">
        <v>45899</v>
      </c>
      <c r="D365" s="31" t="s">
        <v>576</v>
      </c>
      <c r="E365" s="31" t="s">
        <v>574</v>
      </c>
      <c r="F365" s="31" t="s">
        <v>160</v>
      </c>
      <c r="G365" s="38">
        <v>0</v>
      </c>
    </row>
    <row r="366" spans="1:7" x14ac:dyDescent="0.35">
      <c r="A366" s="19" t="s">
        <v>17</v>
      </c>
      <c r="B366" s="19"/>
      <c r="C366" s="37">
        <v>45899</v>
      </c>
      <c r="D366" s="31" t="s">
        <v>577</v>
      </c>
      <c r="E366" s="31" t="s">
        <v>48</v>
      </c>
      <c r="F366" s="31" t="s">
        <v>160</v>
      </c>
      <c r="G366" s="38">
        <v>0</v>
      </c>
    </row>
    <row r="367" spans="1:7" x14ac:dyDescent="0.35">
      <c r="A367" s="19" t="s">
        <v>17</v>
      </c>
      <c r="B367" s="19"/>
      <c r="C367" s="37">
        <v>45899</v>
      </c>
      <c r="D367" s="31" t="s">
        <v>578</v>
      </c>
      <c r="E367" s="31" t="s">
        <v>48</v>
      </c>
      <c r="F367" s="31" t="s">
        <v>160</v>
      </c>
      <c r="G367" s="38">
        <v>0</v>
      </c>
    </row>
    <row r="368" spans="1:7" x14ac:dyDescent="0.35">
      <c r="A368" s="19" t="s">
        <v>17</v>
      </c>
      <c r="B368" s="19"/>
      <c r="C368" s="37">
        <v>45899</v>
      </c>
      <c r="D368" s="31" t="s">
        <v>579</v>
      </c>
      <c r="E368" s="31" t="s">
        <v>559</v>
      </c>
      <c r="F368" s="31" t="s">
        <v>160</v>
      </c>
      <c r="G368" s="38">
        <v>0</v>
      </c>
    </row>
    <row r="369" spans="1:7" x14ac:dyDescent="0.35">
      <c r="A369" s="19" t="s">
        <v>17</v>
      </c>
      <c r="B369" s="19"/>
      <c r="C369" s="37">
        <v>45899</v>
      </c>
      <c r="D369" s="31" t="s">
        <v>580</v>
      </c>
      <c r="E369" s="31" t="s">
        <v>581</v>
      </c>
      <c r="F369" s="31" t="s">
        <v>160</v>
      </c>
      <c r="G369" s="38">
        <v>0</v>
      </c>
    </row>
    <row r="370" spans="1:7" x14ac:dyDescent="0.35">
      <c r="A370" s="19" t="s">
        <v>17</v>
      </c>
      <c r="B370" s="19"/>
      <c r="C370" s="37">
        <v>45899</v>
      </c>
      <c r="D370" s="31" t="s">
        <v>582</v>
      </c>
      <c r="E370" s="31" t="s">
        <v>581</v>
      </c>
      <c r="F370" s="31" t="s">
        <v>160</v>
      </c>
      <c r="G370" s="38">
        <v>0</v>
      </c>
    </row>
    <row r="371" spans="1:7" x14ac:dyDescent="0.35">
      <c r="A371" s="19" t="s">
        <v>17</v>
      </c>
      <c r="B371" s="19"/>
      <c r="C371" s="37">
        <v>45899</v>
      </c>
      <c r="D371" s="31" t="s">
        <v>583</v>
      </c>
      <c r="E371" s="31" t="s">
        <v>581</v>
      </c>
      <c r="F371" s="31" t="s">
        <v>160</v>
      </c>
      <c r="G371" s="38">
        <v>0</v>
      </c>
    </row>
    <row r="372" spans="1:7" x14ac:dyDescent="0.35">
      <c r="A372" s="19" t="s">
        <v>17</v>
      </c>
      <c r="B372" s="19"/>
      <c r="C372" s="37">
        <v>45899</v>
      </c>
      <c r="D372" s="31" t="s">
        <v>584</v>
      </c>
      <c r="E372" s="31" t="s">
        <v>581</v>
      </c>
      <c r="F372" s="31" t="s">
        <v>160</v>
      </c>
      <c r="G372" s="38">
        <v>0</v>
      </c>
    </row>
    <row r="373" spans="1:7" x14ac:dyDescent="0.35">
      <c r="A373" s="19" t="s">
        <v>17</v>
      </c>
      <c r="B373" s="19"/>
      <c r="C373" s="37">
        <v>45899</v>
      </c>
      <c r="D373" s="31" t="s">
        <v>585</v>
      </c>
      <c r="E373" s="31" t="s">
        <v>581</v>
      </c>
      <c r="F373" s="31" t="s">
        <v>160</v>
      </c>
      <c r="G373" s="38">
        <v>0</v>
      </c>
    </row>
    <row r="374" spans="1:7" x14ac:dyDescent="0.35">
      <c r="A374" s="19" t="s">
        <v>17</v>
      </c>
      <c r="B374" s="19"/>
      <c r="C374" s="37">
        <v>45899</v>
      </c>
      <c r="D374" s="31">
        <v>36512</v>
      </c>
      <c r="E374" s="31" t="s">
        <v>586</v>
      </c>
      <c r="F374" s="31" t="s">
        <v>160</v>
      </c>
      <c r="G374" s="38">
        <v>11839.48</v>
      </c>
    </row>
    <row r="375" spans="1:7" x14ac:dyDescent="0.35">
      <c r="A375" s="19" t="s">
        <v>17</v>
      </c>
      <c r="B375" s="19"/>
      <c r="C375" s="37">
        <v>45899</v>
      </c>
      <c r="D375" s="31" t="s">
        <v>587</v>
      </c>
      <c r="E375" s="31" t="s">
        <v>541</v>
      </c>
      <c r="F375" s="31" t="s">
        <v>160</v>
      </c>
      <c r="G375" s="38">
        <v>0</v>
      </c>
    </row>
    <row r="376" spans="1:7" x14ac:dyDescent="0.35">
      <c r="A376" s="19" t="s">
        <v>17</v>
      </c>
      <c r="B376" s="19"/>
      <c r="C376" s="37">
        <v>45899</v>
      </c>
      <c r="D376" s="31" t="s">
        <v>588</v>
      </c>
      <c r="E376" s="31" t="s">
        <v>91</v>
      </c>
      <c r="F376" s="31" t="s">
        <v>160</v>
      </c>
      <c r="G376" s="38">
        <v>0</v>
      </c>
    </row>
    <row r="377" spans="1:7" x14ac:dyDescent="0.35">
      <c r="A377" s="19" t="s">
        <v>17</v>
      </c>
      <c r="B377" s="19"/>
      <c r="C377" s="37">
        <v>45899</v>
      </c>
      <c r="D377" s="31" t="s">
        <v>589</v>
      </c>
      <c r="E377" s="31" t="s">
        <v>91</v>
      </c>
      <c r="F377" s="31" t="s">
        <v>160</v>
      </c>
      <c r="G377" s="38">
        <v>0</v>
      </c>
    </row>
    <row r="378" spans="1:7" x14ac:dyDescent="0.35">
      <c r="A378" s="19" t="s">
        <v>17</v>
      </c>
      <c r="B378" s="19"/>
      <c r="C378" s="37">
        <v>45899</v>
      </c>
      <c r="D378" s="31" t="s">
        <v>590</v>
      </c>
      <c r="E378" s="31" t="s">
        <v>91</v>
      </c>
      <c r="F378" s="31" t="s">
        <v>160</v>
      </c>
      <c r="G378" s="38">
        <v>0</v>
      </c>
    </row>
    <row r="379" spans="1:7" x14ac:dyDescent="0.35">
      <c r="A379" s="19" t="s">
        <v>17</v>
      </c>
      <c r="B379" s="19"/>
      <c r="C379" s="37">
        <v>45899</v>
      </c>
      <c r="D379" s="31" t="s">
        <v>591</v>
      </c>
      <c r="E379" s="31" t="s">
        <v>91</v>
      </c>
      <c r="F379" s="31" t="s">
        <v>160</v>
      </c>
      <c r="G379" s="38">
        <v>0</v>
      </c>
    </row>
    <row r="380" spans="1:7" x14ac:dyDescent="0.35">
      <c r="A380" s="19" t="s">
        <v>17</v>
      </c>
      <c r="B380" s="19"/>
      <c r="C380" s="37">
        <v>45899</v>
      </c>
      <c r="D380" s="31" t="s">
        <v>592</v>
      </c>
      <c r="E380" s="31" t="s">
        <v>91</v>
      </c>
      <c r="F380" s="31" t="s">
        <v>160</v>
      </c>
      <c r="G380" s="38">
        <v>0</v>
      </c>
    </row>
    <row r="381" spans="1:7" x14ac:dyDescent="0.35">
      <c r="A381" s="19" t="s">
        <v>17</v>
      </c>
      <c r="B381" s="19"/>
      <c r="C381" s="37">
        <v>45899</v>
      </c>
      <c r="D381" s="31" t="s">
        <v>593</v>
      </c>
      <c r="E381" s="31" t="s">
        <v>91</v>
      </c>
      <c r="F381" s="31" t="s">
        <v>160</v>
      </c>
      <c r="G381" s="38">
        <v>0</v>
      </c>
    </row>
    <row r="382" spans="1:7" x14ac:dyDescent="0.35">
      <c r="A382" s="19" t="s">
        <v>17</v>
      </c>
      <c r="B382" s="19"/>
      <c r="C382" s="37">
        <v>45899</v>
      </c>
      <c r="D382" s="31" t="s">
        <v>594</v>
      </c>
      <c r="E382" s="31" t="s">
        <v>91</v>
      </c>
      <c r="F382" s="31" t="s">
        <v>160</v>
      </c>
      <c r="G382" s="38">
        <v>0</v>
      </c>
    </row>
    <row r="383" spans="1:7" x14ac:dyDescent="0.35">
      <c r="A383" s="19" t="s">
        <v>17</v>
      </c>
      <c r="B383" s="19"/>
      <c r="C383" s="37">
        <v>45899</v>
      </c>
      <c r="D383" s="31" t="s">
        <v>595</v>
      </c>
      <c r="E383" s="31" t="s">
        <v>91</v>
      </c>
      <c r="F383" s="31" t="s">
        <v>160</v>
      </c>
      <c r="G383" s="38">
        <v>0</v>
      </c>
    </row>
    <row r="384" spans="1:7" x14ac:dyDescent="0.35">
      <c r="A384" s="19" t="s">
        <v>17</v>
      </c>
      <c r="B384" s="19"/>
      <c r="C384" s="37">
        <v>45899</v>
      </c>
      <c r="D384" s="31" t="s">
        <v>596</v>
      </c>
      <c r="E384" s="31" t="s">
        <v>597</v>
      </c>
      <c r="F384" s="31" t="s">
        <v>160</v>
      </c>
      <c r="G384" s="38">
        <v>0</v>
      </c>
    </row>
    <row r="385" spans="1:7" x14ac:dyDescent="0.35">
      <c r="A385" s="19" t="s">
        <v>17</v>
      </c>
      <c r="B385" s="19"/>
      <c r="C385" s="37">
        <v>45899</v>
      </c>
      <c r="D385" s="31" t="s">
        <v>598</v>
      </c>
      <c r="E385" s="31" t="s">
        <v>597</v>
      </c>
      <c r="F385" s="31" t="s">
        <v>160</v>
      </c>
      <c r="G385" s="38">
        <v>0</v>
      </c>
    </row>
    <row r="386" spans="1:7" x14ac:dyDescent="0.35">
      <c r="A386" s="19" t="s">
        <v>17</v>
      </c>
      <c r="B386" s="19"/>
      <c r="C386" s="37">
        <v>45899</v>
      </c>
      <c r="D386" s="31" t="s">
        <v>599</v>
      </c>
      <c r="E386" s="31" t="s">
        <v>597</v>
      </c>
      <c r="F386" s="31" t="s">
        <v>160</v>
      </c>
      <c r="G386" s="38">
        <v>0</v>
      </c>
    </row>
    <row r="387" spans="1:7" x14ac:dyDescent="0.35">
      <c r="A387" s="19" t="s">
        <v>17</v>
      </c>
      <c r="B387" s="19"/>
      <c r="C387" s="37">
        <v>45899</v>
      </c>
      <c r="D387" s="31" t="s">
        <v>600</v>
      </c>
      <c r="E387" s="31" t="s">
        <v>176</v>
      </c>
      <c r="F387" s="31" t="s">
        <v>160</v>
      </c>
      <c r="G387" s="38">
        <v>0</v>
      </c>
    </row>
    <row r="388" spans="1:7" x14ac:dyDescent="0.35">
      <c r="A388" s="19" t="s">
        <v>17</v>
      </c>
      <c r="B388" s="19"/>
      <c r="C388" s="37">
        <v>45899</v>
      </c>
      <c r="D388" s="31" t="s">
        <v>601</v>
      </c>
      <c r="E388" s="31" t="s">
        <v>176</v>
      </c>
      <c r="F388" s="31" t="s">
        <v>160</v>
      </c>
      <c r="G388" s="38">
        <v>0</v>
      </c>
    </row>
    <row r="389" spans="1:7" x14ac:dyDescent="0.35">
      <c r="A389" s="19" t="s">
        <v>17</v>
      </c>
      <c r="B389" s="19"/>
      <c r="C389" s="37">
        <v>45899</v>
      </c>
      <c r="D389" s="31" t="s">
        <v>602</v>
      </c>
      <c r="E389" s="31" t="s">
        <v>176</v>
      </c>
      <c r="F389" s="31" t="s">
        <v>160</v>
      </c>
      <c r="G389" s="38">
        <v>0</v>
      </c>
    </row>
    <row r="390" spans="1:7" x14ac:dyDescent="0.35">
      <c r="A390" s="19" t="s">
        <v>17</v>
      </c>
      <c r="B390" s="19"/>
      <c r="C390" s="37">
        <v>45899</v>
      </c>
      <c r="D390" s="31" t="s">
        <v>603</v>
      </c>
      <c r="E390" s="31" t="s">
        <v>176</v>
      </c>
      <c r="F390" s="31" t="s">
        <v>160</v>
      </c>
      <c r="G390" s="38">
        <v>0</v>
      </c>
    </row>
    <row r="391" spans="1:7" x14ac:dyDescent="0.35">
      <c r="A391" s="19" t="s">
        <v>17</v>
      </c>
      <c r="B391" s="19"/>
      <c r="C391" s="37">
        <v>45899</v>
      </c>
      <c r="D391" s="31" t="s">
        <v>604</v>
      </c>
      <c r="E391" s="31" t="s">
        <v>605</v>
      </c>
      <c r="F391" s="31" t="s">
        <v>160</v>
      </c>
      <c r="G391" s="38">
        <v>0</v>
      </c>
    </row>
    <row r="392" spans="1:7" x14ac:dyDescent="0.35">
      <c r="A392" s="19" t="s">
        <v>17</v>
      </c>
      <c r="B392" s="19"/>
      <c r="C392" s="37">
        <v>45899</v>
      </c>
      <c r="D392" s="31" t="s">
        <v>606</v>
      </c>
      <c r="E392" s="31" t="s">
        <v>605</v>
      </c>
      <c r="F392" s="31" t="s">
        <v>160</v>
      </c>
      <c r="G392" s="38">
        <v>0</v>
      </c>
    </row>
    <row r="393" spans="1:7" x14ac:dyDescent="0.35">
      <c r="A393" s="19" t="s">
        <v>17</v>
      </c>
      <c r="B393" s="19"/>
      <c r="C393" s="37">
        <v>45899</v>
      </c>
      <c r="D393" s="31" t="s">
        <v>607</v>
      </c>
      <c r="E393" s="31" t="s">
        <v>57</v>
      </c>
      <c r="F393" s="31" t="s">
        <v>160</v>
      </c>
      <c r="G393" s="38">
        <v>0</v>
      </c>
    </row>
    <row r="394" spans="1:7" x14ac:dyDescent="0.35">
      <c r="A394" s="19" t="s">
        <v>17</v>
      </c>
      <c r="B394" s="19"/>
      <c r="C394" s="37">
        <v>45899</v>
      </c>
      <c r="D394" s="31" t="s">
        <v>608</v>
      </c>
      <c r="E394" s="31" t="s">
        <v>57</v>
      </c>
      <c r="F394" s="31" t="s">
        <v>160</v>
      </c>
      <c r="G394" s="38">
        <v>0</v>
      </c>
    </row>
    <row r="395" spans="1:7" x14ac:dyDescent="0.35">
      <c r="A395" s="19" t="s">
        <v>17</v>
      </c>
      <c r="B395" s="19"/>
      <c r="C395" s="37">
        <v>45899</v>
      </c>
      <c r="D395" s="31" t="s">
        <v>609</v>
      </c>
      <c r="E395" s="31" t="s">
        <v>57</v>
      </c>
      <c r="F395" s="31" t="s">
        <v>160</v>
      </c>
      <c r="G395" s="38">
        <v>0</v>
      </c>
    </row>
    <row r="396" spans="1:7" x14ac:dyDescent="0.35">
      <c r="A396" s="19" t="s">
        <v>17</v>
      </c>
      <c r="B396" s="19"/>
      <c r="C396" s="37">
        <v>45899</v>
      </c>
      <c r="D396" s="31" t="s">
        <v>610</v>
      </c>
      <c r="E396" s="31" t="s">
        <v>57</v>
      </c>
      <c r="F396" s="31" t="s">
        <v>160</v>
      </c>
      <c r="G396" s="38">
        <v>0</v>
      </c>
    </row>
    <row r="397" spans="1:7" x14ac:dyDescent="0.35">
      <c r="A397" s="19" t="s">
        <v>17</v>
      </c>
      <c r="B397" s="19"/>
      <c r="C397" s="37">
        <v>45899</v>
      </c>
      <c r="D397" s="31" t="s">
        <v>611</v>
      </c>
      <c r="E397" s="31" t="s">
        <v>57</v>
      </c>
      <c r="F397" s="31" t="s">
        <v>160</v>
      </c>
      <c r="G397" s="38">
        <v>0</v>
      </c>
    </row>
    <row r="398" spans="1:7" x14ac:dyDescent="0.35">
      <c r="A398" s="19" t="s">
        <v>17</v>
      </c>
      <c r="B398" s="19"/>
      <c r="C398" s="37">
        <v>45899</v>
      </c>
      <c r="D398" s="31" t="s">
        <v>612</v>
      </c>
      <c r="E398" s="31" t="s">
        <v>57</v>
      </c>
      <c r="F398" s="31" t="s">
        <v>160</v>
      </c>
      <c r="G398" s="38">
        <v>0</v>
      </c>
    </row>
    <row r="399" spans="1:7" x14ac:dyDescent="0.35">
      <c r="A399" s="19" t="s">
        <v>17</v>
      </c>
      <c r="B399" s="19"/>
      <c r="C399" s="37">
        <v>45899</v>
      </c>
      <c r="D399" s="31" t="s">
        <v>613</v>
      </c>
      <c r="E399" s="31" t="s">
        <v>57</v>
      </c>
      <c r="F399" s="31" t="s">
        <v>160</v>
      </c>
      <c r="G399" s="38">
        <v>0</v>
      </c>
    </row>
    <row r="400" spans="1:7" x14ac:dyDescent="0.35">
      <c r="A400" s="19" t="s">
        <v>17</v>
      </c>
      <c r="B400" s="19"/>
      <c r="C400" s="37">
        <v>45899</v>
      </c>
      <c r="D400" s="31" t="s">
        <v>614</v>
      </c>
      <c r="E400" s="31" t="s">
        <v>57</v>
      </c>
      <c r="F400" s="31" t="s">
        <v>160</v>
      </c>
      <c r="G400" s="38">
        <v>0</v>
      </c>
    </row>
    <row r="401" spans="1:7" x14ac:dyDescent="0.35">
      <c r="A401" s="19" t="s">
        <v>17</v>
      </c>
      <c r="B401" s="19"/>
      <c r="C401" s="37">
        <v>45899</v>
      </c>
      <c r="D401" s="31" t="s">
        <v>615</v>
      </c>
      <c r="E401" s="31" t="s">
        <v>57</v>
      </c>
      <c r="F401" s="31" t="s">
        <v>160</v>
      </c>
      <c r="G401" s="38">
        <v>0</v>
      </c>
    </row>
    <row r="402" spans="1:7" x14ac:dyDescent="0.35">
      <c r="A402" s="19" t="s">
        <v>17</v>
      </c>
      <c r="B402" s="19"/>
      <c r="C402" s="37">
        <v>45899</v>
      </c>
      <c r="D402" s="31" t="s">
        <v>616</v>
      </c>
      <c r="E402" s="31" t="s">
        <v>57</v>
      </c>
      <c r="F402" s="31" t="s">
        <v>160</v>
      </c>
      <c r="G402" s="38">
        <v>0</v>
      </c>
    </row>
    <row r="403" spans="1:7" x14ac:dyDescent="0.35">
      <c r="A403" s="19" t="s">
        <v>17</v>
      </c>
      <c r="B403" s="19"/>
      <c r="C403" s="37">
        <v>45899</v>
      </c>
      <c r="D403" s="31" t="s">
        <v>617</v>
      </c>
      <c r="E403" s="31" t="s">
        <v>57</v>
      </c>
      <c r="F403" s="31" t="s">
        <v>160</v>
      </c>
      <c r="G403" s="38">
        <v>0</v>
      </c>
    </row>
    <row r="404" spans="1:7" x14ac:dyDescent="0.35">
      <c r="A404" s="19" t="s">
        <v>17</v>
      </c>
      <c r="B404" s="19"/>
      <c r="C404" s="37">
        <v>45899</v>
      </c>
      <c r="D404" s="31" t="s">
        <v>618</v>
      </c>
      <c r="E404" s="31" t="s">
        <v>57</v>
      </c>
      <c r="F404" s="31" t="s">
        <v>160</v>
      </c>
      <c r="G404" s="38">
        <v>0.56000000000000005</v>
      </c>
    </row>
    <row r="405" spans="1:7" x14ac:dyDescent="0.35">
      <c r="A405" s="19" t="s">
        <v>17</v>
      </c>
      <c r="B405" s="19"/>
      <c r="C405" s="37">
        <v>45899</v>
      </c>
      <c r="D405" s="31" t="s">
        <v>619</v>
      </c>
      <c r="E405" s="31" t="s">
        <v>57</v>
      </c>
      <c r="F405" s="31" t="s">
        <v>160</v>
      </c>
      <c r="G405" s="38">
        <v>0</v>
      </c>
    </row>
    <row r="406" spans="1:7" x14ac:dyDescent="0.35">
      <c r="A406" s="19" t="s">
        <v>17</v>
      </c>
      <c r="B406" s="19"/>
      <c r="C406" s="37">
        <v>45899</v>
      </c>
      <c r="D406" s="31" t="s">
        <v>620</v>
      </c>
      <c r="E406" s="31" t="s">
        <v>128</v>
      </c>
      <c r="F406" s="31" t="s">
        <v>160</v>
      </c>
      <c r="G406" s="38">
        <v>0</v>
      </c>
    </row>
    <row r="407" spans="1:7" x14ac:dyDescent="0.35">
      <c r="A407" s="19" t="s">
        <v>17</v>
      </c>
      <c r="B407" s="19"/>
      <c r="C407" s="37">
        <v>45899</v>
      </c>
      <c r="D407" s="31" t="s">
        <v>621</v>
      </c>
      <c r="E407" s="31" t="s">
        <v>128</v>
      </c>
      <c r="F407" s="31" t="s">
        <v>160</v>
      </c>
      <c r="G407" s="38">
        <v>0</v>
      </c>
    </row>
    <row r="408" spans="1:7" x14ac:dyDescent="0.35">
      <c r="A408" s="19" t="s">
        <v>17</v>
      </c>
      <c r="B408" s="19"/>
      <c r="C408" s="37">
        <v>45899</v>
      </c>
      <c r="D408" s="31" t="s">
        <v>622</v>
      </c>
      <c r="E408" s="31" t="s">
        <v>128</v>
      </c>
      <c r="F408" s="31" t="s">
        <v>160</v>
      </c>
      <c r="G408" s="38">
        <v>0</v>
      </c>
    </row>
    <row r="409" spans="1:7" x14ac:dyDescent="0.35">
      <c r="A409" s="19" t="s">
        <v>17</v>
      </c>
      <c r="B409" s="19"/>
      <c r="C409" s="37">
        <v>45899</v>
      </c>
      <c r="D409" s="31" t="s">
        <v>623</v>
      </c>
      <c r="E409" s="31" t="s">
        <v>128</v>
      </c>
      <c r="F409" s="31" t="s">
        <v>160</v>
      </c>
      <c r="G409" s="38">
        <v>0</v>
      </c>
    </row>
    <row r="410" spans="1:7" x14ac:dyDescent="0.35">
      <c r="A410" s="19" t="s">
        <v>17</v>
      </c>
      <c r="B410" s="19"/>
      <c r="C410" s="37">
        <v>45899</v>
      </c>
      <c r="D410" s="31" t="s">
        <v>624</v>
      </c>
      <c r="E410" s="31" t="s">
        <v>128</v>
      </c>
      <c r="F410" s="31" t="s">
        <v>160</v>
      </c>
      <c r="G410" s="38">
        <v>0</v>
      </c>
    </row>
    <row r="411" spans="1:7" x14ac:dyDescent="0.35">
      <c r="A411" s="19" t="s">
        <v>17</v>
      </c>
      <c r="B411" s="19"/>
      <c r="C411" s="37">
        <v>45899</v>
      </c>
      <c r="D411" s="31" t="s">
        <v>625</v>
      </c>
      <c r="E411" s="31" t="s">
        <v>626</v>
      </c>
      <c r="F411" s="31" t="s">
        <v>160</v>
      </c>
      <c r="G411" s="38">
        <v>48.79</v>
      </c>
    </row>
    <row r="412" spans="1:7" x14ac:dyDescent="0.35">
      <c r="A412" s="19" t="s">
        <v>17</v>
      </c>
      <c r="B412" s="19"/>
      <c r="C412" s="37">
        <v>45899</v>
      </c>
      <c r="D412" s="31" t="s">
        <v>627</v>
      </c>
      <c r="E412" s="31" t="s">
        <v>626</v>
      </c>
      <c r="F412" s="31" t="s">
        <v>160</v>
      </c>
      <c r="G412" s="38">
        <v>8.92</v>
      </c>
    </row>
    <row r="413" spans="1:7" x14ac:dyDescent="0.35">
      <c r="A413" s="19" t="s">
        <v>17</v>
      </c>
      <c r="B413" s="19"/>
      <c r="C413" s="37">
        <v>45899</v>
      </c>
      <c r="D413" s="31" t="s">
        <v>628</v>
      </c>
      <c r="E413" s="31" t="s">
        <v>82</v>
      </c>
      <c r="F413" s="31" t="s">
        <v>160</v>
      </c>
      <c r="G413" s="38">
        <v>0</v>
      </c>
    </row>
    <row r="414" spans="1:7" x14ac:dyDescent="0.35">
      <c r="A414" s="19" t="s">
        <v>17</v>
      </c>
      <c r="B414" s="19"/>
      <c r="C414" s="37">
        <v>45899</v>
      </c>
      <c r="D414" s="31" t="s">
        <v>629</v>
      </c>
      <c r="E414" s="31" t="s">
        <v>82</v>
      </c>
      <c r="F414" s="31" t="s">
        <v>160</v>
      </c>
      <c r="G414" s="38">
        <v>0</v>
      </c>
    </row>
    <row r="415" spans="1:7" x14ac:dyDescent="0.35">
      <c r="A415" s="19" t="s">
        <v>17</v>
      </c>
      <c r="B415" s="19"/>
      <c r="C415" s="37">
        <v>45899</v>
      </c>
      <c r="D415" s="31" t="s">
        <v>630</v>
      </c>
      <c r="E415" s="31" t="s">
        <v>82</v>
      </c>
      <c r="F415" s="31" t="s">
        <v>160</v>
      </c>
      <c r="G415" s="38">
        <v>0</v>
      </c>
    </row>
    <row r="416" spans="1:7" x14ac:dyDescent="0.35">
      <c r="A416" s="19" t="s">
        <v>17</v>
      </c>
      <c r="B416" s="19"/>
      <c r="C416" s="37">
        <v>45899</v>
      </c>
      <c r="D416" s="31" t="s">
        <v>631</v>
      </c>
      <c r="E416" s="31" t="s">
        <v>233</v>
      </c>
      <c r="F416" s="31" t="s">
        <v>160</v>
      </c>
      <c r="G416" s="38">
        <v>0</v>
      </c>
    </row>
    <row r="417" spans="1:7" x14ac:dyDescent="0.35">
      <c r="A417" s="19" t="s">
        <v>17</v>
      </c>
      <c r="B417" s="19"/>
      <c r="C417" s="37">
        <v>45899</v>
      </c>
      <c r="D417" s="31" t="s">
        <v>632</v>
      </c>
      <c r="E417" s="31" t="s">
        <v>233</v>
      </c>
      <c r="F417" s="31" t="s">
        <v>160</v>
      </c>
      <c r="G417" s="38">
        <v>0</v>
      </c>
    </row>
    <row r="418" spans="1:7" x14ac:dyDescent="0.35">
      <c r="A418" s="19" t="s">
        <v>17</v>
      </c>
      <c r="B418" s="19"/>
      <c r="C418" s="37">
        <v>45899</v>
      </c>
      <c r="D418" s="31" t="s">
        <v>633</v>
      </c>
      <c r="E418" s="31" t="s">
        <v>233</v>
      </c>
      <c r="F418" s="31" t="s">
        <v>160</v>
      </c>
      <c r="G418" s="38">
        <v>0</v>
      </c>
    </row>
    <row r="419" spans="1:7" x14ac:dyDescent="0.35">
      <c r="A419" s="19" t="s">
        <v>17</v>
      </c>
      <c r="B419" s="19"/>
      <c r="C419" s="37">
        <v>45899</v>
      </c>
      <c r="D419" s="31" t="s">
        <v>634</v>
      </c>
      <c r="E419" s="31" t="s">
        <v>635</v>
      </c>
      <c r="F419" s="31" t="s">
        <v>160</v>
      </c>
      <c r="G419" s="38">
        <v>0</v>
      </c>
    </row>
    <row r="420" spans="1:7" x14ac:dyDescent="0.35">
      <c r="A420" s="19" t="s">
        <v>17</v>
      </c>
      <c r="B420" s="19"/>
      <c r="C420" s="37">
        <v>45899</v>
      </c>
      <c r="D420" s="31" t="s">
        <v>636</v>
      </c>
      <c r="E420" s="31" t="s">
        <v>635</v>
      </c>
      <c r="F420" s="31" t="s">
        <v>160</v>
      </c>
      <c r="G420" s="38">
        <v>0</v>
      </c>
    </row>
    <row r="421" spans="1:7" x14ac:dyDescent="0.35">
      <c r="A421" s="19" t="s">
        <v>17</v>
      </c>
      <c r="B421" s="19"/>
      <c r="C421" s="37">
        <v>45899</v>
      </c>
      <c r="D421" s="31" t="s">
        <v>637</v>
      </c>
      <c r="E421" s="31" t="s">
        <v>635</v>
      </c>
      <c r="F421" s="31" t="s">
        <v>160</v>
      </c>
      <c r="G421" s="38">
        <v>0</v>
      </c>
    </row>
    <row r="422" spans="1:7" x14ac:dyDescent="0.35">
      <c r="A422" s="19" t="s">
        <v>17</v>
      </c>
      <c r="B422" s="19"/>
      <c r="C422" s="37">
        <v>45899</v>
      </c>
      <c r="D422" s="31" t="s">
        <v>638</v>
      </c>
      <c r="E422" s="31" t="s">
        <v>635</v>
      </c>
      <c r="F422" s="31" t="s">
        <v>160</v>
      </c>
      <c r="G422" s="38">
        <v>0</v>
      </c>
    </row>
    <row r="423" spans="1:7" x14ac:dyDescent="0.35">
      <c r="A423" s="19" t="s">
        <v>17</v>
      </c>
      <c r="B423" s="19"/>
      <c r="C423" s="37">
        <v>45899</v>
      </c>
      <c r="D423" s="31" t="s">
        <v>639</v>
      </c>
      <c r="E423" s="31" t="s">
        <v>235</v>
      </c>
      <c r="F423" s="31" t="s">
        <v>160</v>
      </c>
      <c r="G423" s="38">
        <v>600</v>
      </c>
    </row>
    <row r="424" spans="1:7" x14ac:dyDescent="0.35">
      <c r="A424" s="19" t="s">
        <v>17</v>
      </c>
      <c r="B424" s="19"/>
      <c r="C424" s="37">
        <v>45899</v>
      </c>
      <c r="D424" s="31" t="s">
        <v>640</v>
      </c>
      <c r="E424" s="31" t="s">
        <v>235</v>
      </c>
      <c r="F424" s="31" t="s">
        <v>160</v>
      </c>
      <c r="G424" s="38">
        <v>0</v>
      </c>
    </row>
    <row r="425" spans="1:7" x14ac:dyDescent="0.35">
      <c r="A425" s="19" t="s">
        <v>17</v>
      </c>
      <c r="B425" s="19"/>
      <c r="C425" s="37">
        <v>45899</v>
      </c>
      <c r="D425" s="31" t="s">
        <v>641</v>
      </c>
      <c r="E425" s="31" t="s">
        <v>235</v>
      </c>
      <c r="F425" s="31" t="s">
        <v>160</v>
      </c>
      <c r="G425" s="38">
        <v>0</v>
      </c>
    </row>
    <row r="426" spans="1:7" x14ac:dyDescent="0.35">
      <c r="A426" s="19" t="s">
        <v>17</v>
      </c>
      <c r="B426" s="19"/>
      <c r="C426" s="37">
        <v>45899</v>
      </c>
      <c r="D426" s="31" t="s">
        <v>642</v>
      </c>
      <c r="E426" s="31" t="s">
        <v>235</v>
      </c>
      <c r="F426" s="31" t="s">
        <v>160</v>
      </c>
      <c r="G426" s="38">
        <v>0</v>
      </c>
    </row>
    <row r="427" spans="1:7" x14ac:dyDescent="0.35">
      <c r="A427" s="19" t="s">
        <v>17</v>
      </c>
      <c r="B427" s="19"/>
      <c r="C427" s="37">
        <v>45899</v>
      </c>
      <c r="D427" s="31" t="s">
        <v>643</v>
      </c>
      <c r="E427" s="31" t="s">
        <v>235</v>
      </c>
      <c r="F427" s="31" t="s">
        <v>160</v>
      </c>
      <c r="G427" s="38">
        <v>0</v>
      </c>
    </row>
    <row r="428" spans="1:7" x14ac:dyDescent="0.35">
      <c r="A428" s="19" t="s">
        <v>17</v>
      </c>
      <c r="B428" s="19"/>
      <c r="C428" s="37">
        <v>45899</v>
      </c>
      <c r="D428" s="31" t="s">
        <v>644</v>
      </c>
      <c r="E428" s="31" t="s">
        <v>235</v>
      </c>
      <c r="F428" s="31" t="s">
        <v>160</v>
      </c>
      <c r="G428" s="38">
        <v>0</v>
      </c>
    </row>
    <row r="429" spans="1:7" x14ac:dyDescent="0.35">
      <c r="A429" s="19" t="s">
        <v>17</v>
      </c>
      <c r="B429" s="19"/>
      <c r="C429" s="37">
        <v>45899</v>
      </c>
      <c r="D429" s="31" t="s">
        <v>645</v>
      </c>
      <c r="E429" s="31" t="s">
        <v>235</v>
      </c>
      <c r="F429" s="31" t="s">
        <v>160</v>
      </c>
      <c r="G429" s="38">
        <v>0</v>
      </c>
    </row>
    <row r="430" spans="1:7" x14ac:dyDescent="0.35">
      <c r="A430" s="19" t="s">
        <v>17</v>
      </c>
      <c r="B430" s="19"/>
      <c r="C430" s="37">
        <v>45899</v>
      </c>
      <c r="D430" s="31" t="s">
        <v>646</v>
      </c>
      <c r="E430" s="31" t="s">
        <v>235</v>
      </c>
      <c r="F430" s="31" t="s">
        <v>160</v>
      </c>
      <c r="G430" s="38">
        <v>0</v>
      </c>
    </row>
    <row r="431" spans="1:7" x14ac:dyDescent="0.35">
      <c r="A431" s="19" t="s">
        <v>17</v>
      </c>
      <c r="B431" s="19"/>
      <c r="C431" s="37">
        <v>45899</v>
      </c>
      <c r="D431" s="31" t="s">
        <v>647</v>
      </c>
      <c r="E431" s="31" t="s">
        <v>235</v>
      </c>
      <c r="F431" s="31" t="s">
        <v>160</v>
      </c>
      <c r="G431" s="38">
        <v>0</v>
      </c>
    </row>
    <row r="432" spans="1:7" x14ac:dyDescent="0.35">
      <c r="A432" s="19" t="s">
        <v>17</v>
      </c>
      <c r="B432" s="19"/>
      <c r="C432" s="37">
        <v>45899</v>
      </c>
      <c r="D432" s="31" t="s">
        <v>648</v>
      </c>
      <c r="E432" s="31" t="s">
        <v>235</v>
      </c>
      <c r="F432" s="31" t="s">
        <v>160</v>
      </c>
      <c r="G432" s="38">
        <v>0</v>
      </c>
    </row>
    <row r="433" spans="1:7" x14ac:dyDescent="0.35">
      <c r="A433" s="19" t="s">
        <v>17</v>
      </c>
      <c r="B433" s="19"/>
      <c r="C433" s="37">
        <v>45899</v>
      </c>
      <c r="D433" s="31" t="s">
        <v>649</v>
      </c>
      <c r="E433" s="31" t="s">
        <v>131</v>
      </c>
      <c r="F433" s="31" t="s">
        <v>160</v>
      </c>
      <c r="G433" s="38">
        <v>0</v>
      </c>
    </row>
    <row r="434" spans="1:7" x14ac:dyDescent="0.35">
      <c r="A434" s="19" t="s">
        <v>17</v>
      </c>
      <c r="B434" s="19"/>
      <c r="C434" s="37">
        <v>45899</v>
      </c>
      <c r="D434" s="31" t="s">
        <v>650</v>
      </c>
      <c r="E434" s="31" t="s">
        <v>651</v>
      </c>
      <c r="F434" s="31" t="s">
        <v>160</v>
      </c>
      <c r="G434" s="38">
        <v>0</v>
      </c>
    </row>
    <row r="435" spans="1:7" x14ac:dyDescent="0.35">
      <c r="A435" s="19" t="s">
        <v>17</v>
      </c>
      <c r="B435" s="19"/>
      <c r="C435" s="37">
        <v>45899</v>
      </c>
      <c r="D435" s="31" t="s">
        <v>652</v>
      </c>
      <c r="E435" s="31" t="s">
        <v>57</v>
      </c>
      <c r="F435" s="31" t="s">
        <v>160</v>
      </c>
      <c r="G435" s="38">
        <v>0</v>
      </c>
    </row>
    <row r="436" spans="1:7" x14ac:dyDescent="0.35">
      <c r="A436" s="19" t="s">
        <v>17</v>
      </c>
      <c r="B436" s="19"/>
      <c r="C436" s="37">
        <v>45899</v>
      </c>
      <c r="D436" s="31" t="s">
        <v>653</v>
      </c>
      <c r="E436" s="31" t="s">
        <v>131</v>
      </c>
      <c r="F436" s="31" t="s">
        <v>160</v>
      </c>
      <c r="G436" s="38">
        <v>0</v>
      </c>
    </row>
    <row r="437" spans="1:7" x14ac:dyDescent="0.35">
      <c r="A437" s="19" t="s">
        <v>17</v>
      </c>
      <c r="B437" s="19"/>
      <c r="C437" s="37">
        <v>45899</v>
      </c>
      <c r="D437" s="31" t="s">
        <v>654</v>
      </c>
      <c r="E437" s="31" t="s">
        <v>655</v>
      </c>
      <c r="F437" s="31" t="s">
        <v>160</v>
      </c>
      <c r="G437" s="38">
        <v>0</v>
      </c>
    </row>
    <row r="438" spans="1:7" x14ac:dyDescent="0.35">
      <c r="A438" s="19" t="s">
        <v>17</v>
      </c>
      <c r="B438" s="19"/>
      <c r="C438" s="37">
        <v>45899</v>
      </c>
      <c r="D438" s="31" t="s">
        <v>656</v>
      </c>
      <c r="E438" s="31" t="s">
        <v>464</v>
      </c>
      <c r="F438" s="31" t="s">
        <v>160</v>
      </c>
      <c r="G438" s="38">
        <v>0</v>
      </c>
    </row>
    <row r="439" spans="1:7" x14ac:dyDescent="0.35">
      <c r="A439" s="19" t="s">
        <v>17</v>
      </c>
      <c r="B439" s="19"/>
      <c r="C439" s="37">
        <v>45899</v>
      </c>
      <c r="D439" s="31" t="s">
        <v>657</v>
      </c>
      <c r="E439" s="31" t="s">
        <v>145</v>
      </c>
      <c r="F439" s="31" t="s">
        <v>160</v>
      </c>
      <c r="G439" s="38">
        <v>0</v>
      </c>
    </row>
    <row r="440" spans="1:7" x14ac:dyDescent="0.35">
      <c r="A440" s="19" t="s">
        <v>17</v>
      </c>
      <c r="B440" s="19"/>
      <c r="C440" s="37">
        <v>45899</v>
      </c>
      <c r="D440" s="31" t="s">
        <v>658</v>
      </c>
      <c r="E440" s="31" t="s">
        <v>145</v>
      </c>
      <c r="F440" s="31" t="s">
        <v>160</v>
      </c>
      <c r="G440" s="38">
        <v>0</v>
      </c>
    </row>
    <row r="441" spans="1:7" x14ac:dyDescent="0.35">
      <c r="A441" s="19" t="s">
        <v>17</v>
      </c>
      <c r="B441" s="19"/>
      <c r="C441" s="37">
        <v>45899</v>
      </c>
      <c r="D441" s="31" t="s">
        <v>659</v>
      </c>
      <c r="E441" s="31" t="s">
        <v>145</v>
      </c>
      <c r="F441" s="31" t="s">
        <v>160</v>
      </c>
      <c r="G441" s="38">
        <v>0</v>
      </c>
    </row>
    <row r="442" spans="1:7" x14ac:dyDescent="0.35">
      <c r="A442" s="19" t="s">
        <v>17</v>
      </c>
      <c r="B442" s="19"/>
      <c r="C442" s="37">
        <v>45899</v>
      </c>
      <c r="D442" s="31" t="s">
        <v>660</v>
      </c>
      <c r="E442" s="31" t="s">
        <v>145</v>
      </c>
      <c r="F442" s="31" t="s">
        <v>160</v>
      </c>
      <c r="G442" s="38">
        <v>0</v>
      </c>
    </row>
    <row r="443" spans="1:7" x14ac:dyDescent="0.35">
      <c r="A443" s="19" t="s">
        <v>17</v>
      </c>
      <c r="B443" s="19"/>
      <c r="C443" s="37">
        <v>45899</v>
      </c>
      <c r="D443" s="31" t="s">
        <v>661</v>
      </c>
      <c r="E443" s="31" t="s">
        <v>145</v>
      </c>
      <c r="F443" s="31" t="s">
        <v>160</v>
      </c>
      <c r="G443" s="38">
        <v>0</v>
      </c>
    </row>
    <row r="444" spans="1:7" x14ac:dyDescent="0.35">
      <c r="A444" s="19" t="s">
        <v>17</v>
      </c>
      <c r="B444" s="19"/>
      <c r="C444" s="37">
        <v>45899</v>
      </c>
      <c r="D444" s="31" t="s">
        <v>662</v>
      </c>
      <c r="E444" s="31" t="s">
        <v>145</v>
      </c>
      <c r="F444" s="31" t="s">
        <v>160</v>
      </c>
      <c r="G444" s="38">
        <v>0</v>
      </c>
    </row>
    <row r="445" spans="1:7" x14ac:dyDescent="0.35">
      <c r="A445" s="19" t="s">
        <v>17</v>
      </c>
      <c r="B445" s="19"/>
      <c r="C445" s="37">
        <v>45899</v>
      </c>
      <c r="D445" s="31" t="s">
        <v>663</v>
      </c>
      <c r="E445" s="31" t="s">
        <v>84</v>
      </c>
      <c r="F445" s="31" t="s">
        <v>160</v>
      </c>
      <c r="G445" s="38">
        <v>0</v>
      </c>
    </row>
    <row r="446" spans="1:7" x14ac:dyDescent="0.35">
      <c r="A446" s="19" t="s">
        <v>17</v>
      </c>
      <c r="B446" s="19"/>
      <c r="C446" s="37">
        <v>45899</v>
      </c>
      <c r="D446" s="31" t="s">
        <v>664</v>
      </c>
      <c r="E446" s="31" t="s">
        <v>84</v>
      </c>
      <c r="F446" s="31" t="s">
        <v>160</v>
      </c>
      <c r="G446" s="38">
        <v>0</v>
      </c>
    </row>
    <row r="447" spans="1:7" x14ac:dyDescent="0.35">
      <c r="A447" s="19" t="s">
        <v>17</v>
      </c>
      <c r="B447" s="19"/>
      <c r="C447" s="37">
        <v>45899</v>
      </c>
      <c r="D447" s="31" t="s">
        <v>665</v>
      </c>
      <c r="E447" s="31" t="s">
        <v>84</v>
      </c>
      <c r="F447" s="31" t="s">
        <v>160</v>
      </c>
      <c r="G447" s="38">
        <v>0</v>
      </c>
    </row>
    <row r="448" spans="1:7" x14ac:dyDescent="0.35">
      <c r="A448" s="19" t="s">
        <v>17</v>
      </c>
      <c r="B448" s="19"/>
      <c r="C448" s="37">
        <v>45899</v>
      </c>
      <c r="D448" s="31" t="s">
        <v>666</v>
      </c>
      <c r="E448" s="31" t="s">
        <v>84</v>
      </c>
      <c r="F448" s="31" t="s">
        <v>160</v>
      </c>
      <c r="G448" s="38">
        <v>0</v>
      </c>
    </row>
    <row r="449" spans="1:7" x14ac:dyDescent="0.35">
      <c r="A449" s="19" t="s">
        <v>17</v>
      </c>
      <c r="B449" s="19"/>
      <c r="C449" s="37">
        <v>45899</v>
      </c>
      <c r="D449" s="31" t="s">
        <v>667</v>
      </c>
      <c r="E449" s="31" t="s">
        <v>84</v>
      </c>
      <c r="F449" s="31" t="s">
        <v>160</v>
      </c>
      <c r="G449" s="38">
        <v>0</v>
      </c>
    </row>
    <row r="450" spans="1:7" x14ac:dyDescent="0.35">
      <c r="A450" s="19" t="s">
        <v>17</v>
      </c>
      <c r="B450" s="19"/>
      <c r="C450" s="37">
        <v>45899</v>
      </c>
      <c r="D450" s="31" t="s">
        <v>668</v>
      </c>
      <c r="E450" s="31" t="s">
        <v>84</v>
      </c>
      <c r="F450" s="31" t="s">
        <v>160</v>
      </c>
      <c r="G450" s="38">
        <v>0</v>
      </c>
    </row>
    <row r="451" spans="1:7" x14ac:dyDescent="0.35">
      <c r="A451" s="19" t="s">
        <v>17</v>
      </c>
      <c r="B451" s="19"/>
      <c r="C451" s="37">
        <v>45899</v>
      </c>
      <c r="D451" s="31" t="s">
        <v>669</v>
      </c>
      <c r="E451" s="31" t="s">
        <v>670</v>
      </c>
      <c r="F451" s="31" t="s">
        <v>160</v>
      </c>
      <c r="G451" s="38">
        <v>0</v>
      </c>
    </row>
    <row r="452" spans="1:7" x14ac:dyDescent="0.35">
      <c r="A452" s="19" t="s">
        <v>17</v>
      </c>
      <c r="B452" s="19"/>
      <c r="C452" s="37">
        <v>45899</v>
      </c>
      <c r="D452" s="31" t="s">
        <v>671</v>
      </c>
      <c r="E452" s="31" t="s">
        <v>672</v>
      </c>
      <c r="F452" s="31" t="s">
        <v>160</v>
      </c>
      <c r="G452" s="38">
        <v>0</v>
      </c>
    </row>
    <row r="453" spans="1:7" x14ac:dyDescent="0.35">
      <c r="A453" s="19" t="s">
        <v>17</v>
      </c>
      <c r="B453" s="19"/>
      <c r="C453" s="37">
        <v>45899</v>
      </c>
      <c r="D453" s="31" t="s">
        <v>673</v>
      </c>
      <c r="E453" s="31" t="s">
        <v>529</v>
      </c>
      <c r="F453" s="31" t="s">
        <v>160</v>
      </c>
      <c r="G453" s="38">
        <v>0</v>
      </c>
    </row>
    <row r="454" spans="1:7" x14ac:dyDescent="0.35">
      <c r="A454" s="19" t="s">
        <v>17</v>
      </c>
      <c r="B454" s="19"/>
      <c r="C454" s="37">
        <v>45899</v>
      </c>
      <c r="D454" s="31" t="s">
        <v>674</v>
      </c>
      <c r="E454" s="31" t="s">
        <v>225</v>
      </c>
      <c r="F454" s="31" t="s">
        <v>160</v>
      </c>
      <c r="G454" s="38">
        <v>0</v>
      </c>
    </row>
    <row r="455" spans="1:7" x14ac:dyDescent="0.35">
      <c r="A455" s="19" t="s">
        <v>17</v>
      </c>
      <c r="B455" s="19"/>
      <c r="C455" s="37">
        <v>45899</v>
      </c>
      <c r="D455" s="31" t="s">
        <v>675</v>
      </c>
      <c r="E455" s="31" t="s">
        <v>635</v>
      </c>
      <c r="F455" s="31" t="s">
        <v>160</v>
      </c>
      <c r="G455" s="38">
        <v>0</v>
      </c>
    </row>
    <row r="456" spans="1:7" x14ac:dyDescent="0.35">
      <c r="A456" s="19" t="s">
        <v>17</v>
      </c>
      <c r="B456" s="19"/>
      <c r="C456" s="37">
        <v>45899</v>
      </c>
      <c r="D456" s="31" t="s">
        <v>676</v>
      </c>
      <c r="E456" s="31" t="s">
        <v>677</v>
      </c>
      <c r="F456" s="31" t="s">
        <v>160</v>
      </c>
      <c r="G456" s="38">
        <v>0</v>
      </c>
    </row>
    <row r="457" spans="1:7" x14ac:dyDescent="0.35">
      <c r="A457" s="19" t="s">
        <v>17</v>
      </c>
      <c r="B457" s="19"/>
      <c r="C457" s="37">
        <v>45899</v>
      </c>
      <c r="D457" s="31" t="s">
        <v>678</v>
      </c>
      <c r="E457" s="31" t="s">
        <v>677</v>
      </c>
      <c r="F457" s="31" t="s">
        <v>160</v>
      </c>
      <c r="G457" s="38">
        <v>0</v>
      </c>
    </row>
    <row r="458" spans="1:7" x14ac:dyDescent="0.35">
      <c r="A458" s="19" t="s">
        <v>17</v>
      </c>
      <c r="B458" s="19"/>
      <c r="C458" s="37">
        <v>45899</v>
      </c>
      <c r="D458" s="31" t="s">
        <v>679</v>
      </c>
      <c r="E458" s="31" t="s">
        <v>677</v>
      </c>
      <c r="F458" s="31" t="s">
        <v>160</v>
      </c>
      <c r="G458" s="38">
        <v>0</v>
      </c>
    </row>
    <row r="459" spans="1:7" x14ac:dyDescent="0.35">
      <c r="A459" s="19" t="s">
        <v>17</v>
      </c>
      <c r="B459" s="19"/>
      <c r="C459" s="37">
        <v>45899</v>
      </c>
      <c r="D459" s="31" t="s">
        <v>680</v>
      </c>
      <c r="E459" s="31" t="s">
        <v>395</v>
      </c>
      <c r="F459" s="31" t="s">
        <v>160</v>
      </c>
      <c r="G459" s="38">
        <v>0</v>
      </c>
    </row>
    <row r="460" spans="1:7" x14ac:dyDescent="0.35">
      <c r="A460" s="19" t="s">
        <v>17</v>
      </c>
      <c r="B460" s="19"/>
      <c r="C460" s="37">
        <v>45899</v>
      </c>
      <c r="D460" s="31" t="s">
        <v>681</v>
      </c>
      <c r="E460" s="31" t="s">
        <v>682</v>
      </c>
      <c r="F460" s="31" t="s">
        <v>160</v>
      </c>
      <c r="G460" s="38">
        <v>0</v>
      </c>
    </row>
    <row r="461" spans="1:7" x14ac:dyDescent="0.35">
      <c r="A461" s="19" t="s">
        <v>17</v>
      </c>
      <c r="B461" s="19"/>
      <c r="C461" s="37">
        <v>45899</v>
      </c>
      <c r="D461" s="31" t="s">
        <v>683</v>
      </c>
      <c r="E461" s="31" t="s">
        <v>581</v>
      </c>
      <c r="F461" s="31" t="s">
        <v>160</v>
      </c>
      <c r="G461" s="38">
        <v>0</v>
      </c>
    </row>
    <row r="462" spans="1:7" x14ac:dyDescent="0.35">
      <c r="A462" s="19" t="s">
        <v>17</v>
      </c>
      <c r="B462" s="19"/>
      <c r="C462" s="37">
        <v>45899</v>
      </c>
      <c r="D462" s="31" t="s">
        <v>684</v>
      </c>
      <c r="E462" s="31" t="s">
        <v>581</v>
      </c>
      <c r="F462" s="31" t="s">
        <v>160</v>
      </c>
      <c r="G462" s="38">
        <v>0</v>
      </c>
    </row>
    <row r="463" spans="1:7" x14ac:dyDescent="0.35">
      <c r="A463" s="19" t="s">
        <v>17</v>
      </c>
      <c r="B463" s="19"/>
      <c r="C463" s="37">
        <v>45899</v>
      </c>
      <c r="D463" s="31" t="s">
        <v>685</v>
      </c>
      <c r="E463" s="31" t="s">
        <v>581</v>
      </c>
      <c r="F463" s="31" t="s">
        <v>160</v>
      </c>
      <c r="G463" s="38">
        <v>0</v>
      </c>
    </row>
    <row r="464" spans="1:7" x14ac:dyDescent="0.35">
      <c r="A464" s="19" t="s">
        <v>17</v>
      </c>
      <c r="B464" s="19"/>
      <c r="C464" s="37">
        <v>45899</v>
      </c>
      <c r="D464" s="31" t="s">
        <v>686</v>
      </c>
      <c r="E464" s="31" t="s">
        <v>55</v>
      </c>
      <c r="F464" s="31" t="s">
        <v>160</v>
      </c>
      <c r="G464" s="38">
        <v>0</v>
      </c>
    </row>
    <row r="465" spans="1:7" x14ac:dyDescent="0.35">
      <c r="A465" s="19" t="s">
        <v>17</v>
      </c>
      <c r="B465" s="19"/>
      <c r="C465" s="37">
        <v>45899</v>
      </c>
      <c r="D465" s="31" t="s">
        <v>687</v>
      </c>
      <c r="E465" s="31" t="s">
        <v>148</v>
      </c>
      <c r="F465" s="31" t="s">
        <v>160</v>
      </c>
      <c r="G465" s="38">
        <v>0</v>
      </c>
    </row>
    <row r="466" spans="1:7" x14ac:dyDescent="0.35">
      <c r="A466" s="19" t="s">
        <v>17</v>
      </c>
      <c r="B466" s="19"/>
      <c r="C466" s="37">
        <v>45899</v>
      </c>
      <c r="D466" s="31" t="s">
        <v>688</v>
      </c>
      <c r="E466" s="31" t="s">
        <v>148</v>
      </c>
      <c r="F466" s="31" t="s">
        <v>160</v>
      </c>
      <c r="G466" s="38">
        <v>0</v>
      </c>
    </row>
    <row r="467" spans="1:7" x14ac:dyDescent="0.35">
      <c r="A467" s="19" t="s">
        <v>17</v>
      </c>
      <c r="B467" s="19"/>
      <c r="C467" s="37">
        <v>45899</v>
      </c>
      <c r="D467" s="31" t="s">
        <v>689</v>
      </c>
      <c r="E467" s="31" t="s">
        <v>148</v>
      </c>
      <c r="F467" s="31" t="s">
        <v>160</v>
      </c>
      <c r="G467" s="38">
        <v>0</v>
      </c>
    </row>
    <row r="468" spans="1:7" x14ac:dyDescent="0.35">
      <c r="A468" s="19" t="s">
        <v>17</v>
      </c>
      <c r="B468" s="19"/>
      <c r="C468" s="37">
        <v>45899</v>
      </c>
      <c r="D468" s="31" t="s">
        <v>690</v>
      </c>
      <c r="E468" s="31" t="s">
        <v>148</v>
      </c>
      <c r="F468" s="31" t="s">
        <v>160</v>
      </c>
      <c r="G468" s="38">
        <v>0</v>
      </c>
    </row>
    <row r="469" spans="1:7" x14ac:dyDescent="0.35">
      <c r="A469" s="19" t="s">
        <v>17</v>
      </c>
      <c r="B469" s="19"/>
      <c r="C469" s="37">
        <v>45899</v>
      </c>
      <c r="D469" s="31" t="s">
        <v>691</v>
      </c>
      <c r="E469" s="31" t="s">
        <v>148</v>
      </c>
      <c r="F469" s="31" t="s">
        <v>160</v>
      </c>
      <c r="G469" s="38">
        <v>0</v>
      </c>
    </row>
    <row r="470" spans="1:7" x14ac:dyDescent="0.35">
      <c r="A470" s="19" t="s">
        <v>17</v>
      </c>
      <c r="B470" s="19"/>
      <c r="C470" s="37">
        <v>45899</v>
      </c>
      <c r="D470" s="31" t="s">
        <v>692</v>
      </c>
      <c r="E470" s="31" t="s">
        <v>86</v>
      </c>
      <c r="F470" s="31" t="s">
        <v>160</v>
      </c>
      <c r="G470" s="38">
        <v>0</v>
      </c>
    </row>
    <row r="471" spans="1:7" x14ac:dyDescent="0.35">
      <c r="A471" s="19" t="s">
        <v>17</v>
      </c>
      <c r="B471" s="19"/>
      <c r="C471" s="37">
        <v>45899</v>
      </c>
      <c r="D471" s="31" t="s">
        <v>693</v>
      </c>
      <c r="E471" s="31" t="s">
        <v>86</v>
      </c>
      <c r="F471" s="31" t="s">
        <v>160</v>
      </c>
      <c r="G471" s="38">
        <v>0</v>
      </c>
    </row>
    <row r="472" spans="1:7" x14ac:dyDescent="0.35">
      <c r="A472" s="19" t="s">
        <v>17</v>
      </c>
      <c r="B472" s="19"/>
      <c r="C472" s="37">
        <v>45899</v>
      </c>
      <c r="D472" s="31" t="s">
        <v>694</v>
      </c>
      <c r="E472" s="31" t="s">
        <v>86</v>
      </c>
      <c r="F472" s="31" t="s">
        <v>160</v>
      </c>
      <c r="G472" s="38">
        <v>0</v>
      </c>
    </row>
    <row r="473" spans="1:7" x14ac:dyDescent="0.35">
      <c r="A473" s="19" t="s">
        <v>17</v>
      </c>
      <c r="B473" s="19"/>
      <c r="C473" s="37">
        <v>45899</v>
      </c>
      <c r="D473" s="31" t="s">
        <v>695</v>
      </c>
      <c r="E473" s="31" t="s">
        <v>177</v>
      </c>
      <c r="F473" s="31" t="s">
        <v>160</v>
      </c>
      <c r="G473" s="38">
        <v>0</v>
      </c>
    </row>
    <row r="474" spans="1:7" x14ac:dyDescent="0.35">
      <c r="A474" s="19" t="s">
        <v>17</v>
      </c>
      <c r="B474" s="19"/>
      <c r="C474" s="37">
        <v>45899</v>
      </c>
      <c r="D474" s="31" t="s">
        <v>696</v>
      </c>
      <c r="E474" s="31" t="s">
        <v>86</v>
      </c>
      <c r="F474" s="31" t="s">
        <v>160</v>
      </c>
      <c r="G474" s="38">
        <v>1750.43</v>
      </c>
    </row>
    <row r="475" spans="1:7" x14ac:dyDescent="0.35">
      <c r="A475" s="19" t="s">
        <v>17</v>
      </c>
      <c r="B475" s="19"/>
      <c r="C475" s="37">
        <v>45899</v>
      </c>
      <c r="D475" s="31" t="s">
        <v>697</v>
      </c>
      <c r="E475" s="31" t="s">
        <v>86</v>
      </c>
      <c r="F475" s="31" t="s">
        <v>160</v>
      </c>
      <c r="G475" s="38">
        <v>0</v>
      </c>
    </row>
    <row r="476" spans="1:7" x14ac:dyDescent="0.35">
      <c r="A476" s="19" t="s">
        <v>17</v>
      </c>
      <c r="B476" s="19"/>
      <c r="C476" s="37">
        <v>45899</v>
      </c>
      <c r="D476" s="31" t="s">
        <v>698</v>
      </c>
      <c r="E476" s="31" t="s">
        <v>86</v>
      </c>
      <c r="F476" s="31" t="s">
        <v>160</v>
      </c>
      <c r="G476" s="38">
        <v>0</v>
      </c>
    </row>
    <row r="477" spans="1:7" x14ac:dyDescent="0.35">
      <c r="A477" s="19" t="s">
        <v>17</v>
      </c>
      <c r="B477" s="19"/>
      <c r="C477" s="37">
        <v>45899</v>
      </c>
      <c r="D477" s="31" t="s">
        <v>699</v>
      </c>
      <c r="E477" s="31" t="s">
        <v>432</v>
      </c>
      <c r="F477" s="31" t="s">
        <v>160</v>
      </c>
      <c r="G477" s="38">
        <v>0</v>
      </c>
    </row>
    <row r="478" spans="1:7" x14ac:dyDescent="0.35">
      <c r="A478" s="19" t="s">
        <v>17</v>
      </c>
      <c r="B478" s="19"/>
      <c r="C478" s="37">
        <v>45899</v>
      </c>
      <c r="D478" s="31" t="s">
        <v>700</v>
      </c>
      <c r="E478" s="31" t="s">
        <v>701</v>
      </c>
      <c r="F478" s="31" t="s">
        <v>160</v>
      </c>
      <c r="G478" s="38">
        <v>0</v>
      </c>
    </row>
    <row r="479" spans="1:7" x14ac:dyDescent="0.35">
      <c r="A479" s="19" t="s">
        <v>17</v>
      </c>
      <c r="B479" s="19"/>
      <c r="C479" s="37">
        <v>45899</v>
      </c>
      <c r="D479" s="31" t="s">
        <v>702</v>
      </c>
      <c r="E479" s="31" t="s">
        <v>701</v>
      </c>
      <c r="F479" s="31" t="s">
        <v>160</v>
      </c>
      <c r="G479" s="38">
        <v>0</v>
      </c>
    </row>
    <row r="480" spans="1:7" x14ac:dyDescent="0.35">
      <c r="A480" s="19" t="s">
        <v>17</v>
      </c>
      <c r="B480" s="19"/>
      <c r="C480" s="37">
        <v>45899</v>
      </c>
      <c r="D480" s="31" t="s">
        <v>703</v>
      </c>
      <c r="E480" s="31" t="s">
        <v>701</v>
      </c>
      <c r="F480" s="31" t="s">
        <v>160</v>
      </c>
      <c r="G480" s="38">
        <v>0</v>
      </c>
    </row>
    <row r="481" spans="1:7" x14ac:dyDescent="0.35">
      <c r="A481" s="19" t="s">
        <v>17</v>
      </c>
      <c r="B481" s="19"/>
      <c r="C481" s="37">
        <v>45899</v>
      </c>
      <c r="D481" s="31" t="s">
        <v>704</v>
      </c>
      <c r="E481" s="31" t="s">
        <v>475</v>
      </c>
      <c r="F481" s="31" t="s">
        <v>160</v>
      </c>
      <c r="G481" s="38">
        <v>0</v>
      </c>
    </row>
    <row r="482" spans="1:7" x14ac:dyDescent="0.35">
      <c r="A482" s="19" t="s">
        <v>17</v>
      </c>
      <c r="B482" s="19"/>
      <c r="C482" s="37">
        <v>45899</v>
      </c>
      <c r="D482" s="31" t="s">
        <v>705</v>
      </c>
      <c r="E482" s="31" t="s">
        <v>337</v>
      </c>
      <c r="F482" s="31" t="s">
        <v>160</v>
      </c>
      <c r="G482" s="38">
        <v>0</v>
      </c>
    </row>
    <row r="483" spans="1:7" x14ac:dyDescent="0.35">
      <c r="A483" s="19" t="s">
        <v>17</v>
      </c>
      <c r="B483" s="19"/>
      <c r="C483" s="37">
        <v>45899</v>
      </c>
      <c r="D483" s="31" t="s">
        <v>706</v>
      </c>
      <c r="E483" s="31" t="s">
        <v>707</v>
      </c>
      <c r="F483" s="31" t="s">
        <v>160</v>
      </c>
      <c r="G483" s="38">
        <v>3097.55</v>
      </c>
    </row>
    <row r="484" spans="1:7" x14ac:dyDescent="0.35">
      <c r="A484" s="19" t="s">
        <v>17</v>
      </c>
      <c r="B484" s="19"/>
      <c r="C484" s="37">
        <v>45899</v>
      </c>
      <c r="D484" s="31" t="s">
        <v>708</v>
      </c>
      <c r="E484" s="31" t="s">
        <v>597</v>
      </c>
      <c r="F484" s="31" t="s">
        <v>160</v>
      </c>
      <c r="G484" s="38">
        <v>0</v>
      </c>
    </row>
    <row r="485" spans="1:7" x14ac:dyDescent="0.35">
      <c r="A485" s="19" t="s">
        <v>17</v>
      </c>
      <c r="B485" s="19"/>
      <c r="C485" s="37">
        <v>45899</v>
      </c>
      <c r="D485" s="31" t="s">
        <v>709</v>
      </c>
      <c r="E485" s="31" t="s">
        <v>597</v>
      </c>
      <c r="F485" s="31" t="s">
        <v>160</v>
      </c>
      <c r="G485" s="38">
        <v>0</v>
      </c>
    </row>
    <row r="486" spans="1:7" x14ac:dyDescent="0.35">
      <c r="A486" s="19" t="s">
        <v>17</v>
      </c>
      <c r="B486" s="19"/>
      <c r="C486" s="37">
        <v>45899</v>
      </c>
      <c r="D486" s="31" t="s">
        <v>710</v>
      </c>
      <c r="E486" s="31" t="s">
        <v>597</v>
      </c>
      <c r="F486" s="31" t="s">
        <v>160</v>
      </c>
      <c r="G486" s="38">
        <v>0</v>
      </c>
    </row>
    <row r="487" spans="1:7" x14ac:dyDescent="0.35">
      <c r="A487" s="19" t="s">
        <v>17</v>
      </c>
      <c r="B487" s="19"/>
      <c r="C487" s="37">
        <v>45899</v>
      </c>
      <c r="D487" s="31" t="s">
        <v>711</v>
      </c>
      <c r="E487" s="31" t="s">
        <v>597</v>
      </c>
      <c r="F487" s="31" t="s">
        <v>160</v>
      </c>
      <c r="G487" s="38">
        <v>0</v>
      </c>
    </row>
    <row r="488" spans="1:7" x14ac:dyDescent="0.35">
      <c r="A488" s="19" t="s">
        <v>17</v>
      </c>
      <c r="B488" s="19"/>
      <c r="C488" s="37">
        <v>45899</v>
      </c>
      <c r="D488" s="31" t="s">
        <v>712</v>
      </c>
      <c r="E488" s="31" t="s">
        <v>713</v>
      </c>
      <c r="F488" s="31" t="s">
        <v>160</v>
      </c>
      <c r="G488" s="38">
        <v>0</v>
      </c>
    </row>
    <row r="489" spans="1:7" x14ac:dyDescent="0.35">
      <c r="A489" s="19" t="s">
        <v>17</v>
      </c>
      <c r="B489" s="19"/>
      <c r="C489" s="37">
        <v>45899</v>
      </c>
      <c r="D489" s="31" t="s">
        <v>714</v>
      </c>
      <c r="E489" s="31" t="s">
        <v>715</v>
      </c>
      <c r="F489" s="31" t="s">
        <v>160</v>
      </c>
      <c r="G489" s="38">
        <v>0</v>
      </c>
    </row>
    <row r="490" spans="1:7" x14ac:dyDescent="0.35">
      <c r="A490" s="19" t="s">
        <v>17</v>
      </c>
      <c r="B490" s="19"/>
      <c r="C490" s="37">
        <v>45899</v>
      </c>
      <c r="D490" s="31" t="s">
        <v>716</v>
      </c>
      <c r="E490" s="31" t="s">
        <v>715</v>
      </c>
      <c r="F490" s="31" t="s">
        <v>160</v>
      </c>
      <c r="G490" s="38">
        <v>0</v>
      </c>
    </row>
    <row r="491" spans="1:7" x14ac:dyDescent="0.35">
      <c r="A491" s="19" t="s">
        <v>17</v>
      </c>
      <c r="B491" s="19"/>
      <c r="C491" s="37">
        <v>45899</v>
      </c>
      <c r="D491" s="31" t="s">
        <v>717</v>
      </c>
      <c r="E491" s="31" t="s">
        <v>715</v>
      </c>
      <c r="F491" s="31" t="s">
        <v>160</v>
      </c>
      <c r="G491" s="38">
        <v>0</v>
      </c>
    </row>
    <row r="492" spans="1:7" x14ac:dyDescent="0.35">
      <c r="A492" s="19" t="s">
        <v>17</v>
      </c>
      <c r="B492" s="19"/>
      <c r="C492" s="37">
        <v>45899</v>
      </c>
      <c r="D492" s="31" t="s">
        <v>718</v>
      </c>
      <c r="E492" s="31" t="s">
        <v>715</v>
      </c>
      <c r="F492" s="31" t="s">
        <v>160</v>
      </c>
      <c r="G492" s="38">
        <v>0</v>
      </c>
    </row>
    <row r="493" spans="1:7" x14ac:dyDescent="0.35">
      <c r="A493" s="19" t="s">
        <v>17</v>
      </c>
      <c r="B493" s="19"/>
      <c r="C493" s="37">
        <v>45899</v>
      </c>
      <c r="D493" s="31" t="s">
        <v>719</v>
      </c>
      <c r="E493" s="31" t="s">
        <v>701</v>
      </c>
      <c r="F493" s="31" t="s">
        <v>160</v>
      </c>
      <c r="G493" s="38">
        <v>0</v>
      </c>
    </row>
    <row r="494" spans="1:7" x14ac:dyDescent="0.35">
      <c r="A494" s="19" t="s">
        <v>17</v>
      </c>
      <c r="B494" s="19"/>
      <c r="C494" s="37">
        <v>45899</v>
      </c>
      <c r="D494" s="31" t="s">
        <v>720</v>
      </c>
      <c r="E494" s="31" t="s">
        <v>701</v>
      </c>
      <c r="F494" s="31" t="s">
        <v>160</v>
      </c>
      <c r="G494" s="38">
        <v>0</v>
      </c>
    </row>
    <row r="495" spans="1:7" x14ac:dyDescent="0.35">
      <c r="A495" s="19" t="s">
        <v>17</v>
      </c>
      <c r="B495" s="19"/>
      <c r="C495" s="37">
        <v>45899</v>
      </c>
      <c r="D495" s="31" t="s">
        <v>721</v>
      </c>
      <c r="E495" s="31" t="s">
        <v>722</v>
      </c>
      <c r="F495" s="31" t="s">
        <v>160</v>
      </c>
      <c r="G495" s="38">
        <v>622.25</v>
      </c>
    </row>
    <row r="496" spans="1:7" x14ac:dyDescent="0.35">
      <c r="A496" s="19" t="s">
        <v>17</v>
      </c>
      <c r="B496" s="19"/>
      <c r="C496" s="37">
        <v>45899</v>
      </c>
      <c r="D496" s="31" t="s">
        <v>723</v>
      </c>
      <c r="E496" s="31" t="s">
        <v>722</v>
      </c>
      <c r="F496" s="31" t="s">
        <v>160</v>
      </c>
      <c r="G496" s="38">
        <v>0</v>
      </c>
    </row>
    <row r="497" spans="1:7" x14ac:dyDescent="0.35">
      <c r="A497" s="19" t="s">
        <v>17</v>
      </c>
      <c r="B497" s="19"/>
      <c r="C497" s="37">
        <v>45899</v>
      </c>
      <c r="D497" s="31" t="s">
        <v>724</v>
      </c>
      <c r="E497" s="31" t="s">
        <v>725</v>
      </c>
      <c r="F497" s="31" t="s">
        <v>160</v>
      </c>
      <c r="G497" s="38">
        <v>0</v>
      </c>
    </row>
    <row r="498" spans="1:7" x14ac:dyDescent="0.35">
      <c r="A498" s="19" t="s">
        <v>17</v>
      </c>
      <c r="B498" s="19"/>
      <c r="C498" s="37">
        <v>45899</v>
      </c>
      <c r="D498" s="31" t="s">
        <v>726</v>
      </c>
      <c r="E498" s="31" t="s">
        <v>727</v>
      </c>
      <c r="F498" s="31" t="s">
        <v>160</v>
      </c>
      <c r="G498" s="38">
        <v>0</v>
      </c>
    </row>
    <row r="499" spans="1:7" x14ac:dyDescent="0.35">
      <c r="A499" s="19" t="s">
        <v>17</v>
      </c>
      <c r="B499" s="19"/>
      <c r="C499" s="37">
        <v>45899</v>
      </c>
      <c r="D499" s="31" t="s">
        <v>728</v>
      </c>
      <c r="E499" s="31" t="s">
        <v>75</v>
      </c>
      <c r="F499" s="31" t="s">
        <v>160</v>
      </c>
      <c r="G499" s="38">
        <v>0</v>
      </c>
    </row>
    <row r="500" spans="1:7" x14ac:dyDescent="0.35">
      <c r="A500" s="19" t="s">
        <v>17</v>
      </c>
      <c r="B500" s="19"/>
      <c r="C500" s="37">
        <v>45899</v>
      </c>
      <c r="D500" s="31" t="s">
        <v>729</v>
      </c>
      <c r="E500" s="31" t="s">
        <v>75</v>
      </c>
      <c r="F500" s="31" t="s">
        <v>160</v>
      </c>
      <c r="G500" s="38">
        <v>0</v>
      </c>
    </row>
    <row r="501" spans="1:7" x14ac:dyDescent="0.35">
      <c r="A501" s="19" t="s">
        <v>17</v>
      </c>
      <c r="B501" s="19"/>
      <c r="C501" s="37">
        <v>45899</v>
      </c>
      <c r="D501" s="31" t="s">
        <v>730</v>
      </c>
      <c r="E501" s="31" t="s">
        <v>75</v>
      </c>
      <c r="F501" s="31" t="s">
        <v>160</v>
      </c>
      <c r="G501" s="38">
        <v>0</v>
      </c>
    </row>
    <row r="502" spans="1:7" x14ac:dyDescent="0.35">
      <c r="A502" s="19" t="s">
        <v>17</v>
      </c>
      <c r="B502" s="19"/>
      <c r="C502" s="37">
        <v>45899</v>
      </c>
      <c r="D502" s="31" t="s">
        <v>731</v>
      </c>
      <c r="E502" s="31" t="s">
        <v>75</v>
      </c>
      <c r="F502" s="31" t="s">
        <v>160</v>
      </c>
      <c r="G502" s="38">
        <v>0</v>
      </c>
    </row>
    <row r="503" spans="1:7" x14ac:dyDescent="0.35">
      <c r="A503" s="19" t="s">
        <v>17</v>
      </c>
      <c r="B503" s="19"/>
      <c r="C503" s="37">
        <v>45899</v>
      </c>
      <c r="D503" s="31" t="s">
        <v>732</v>
      </c>
      <c r="E503" s="31" t="s">
        <v>75</v>
      </c>
      <c r="F503" s="31" t="s">
        <v>160</v>
      </c>
      <c r="G503" s="38">
        <v>0</v>
      </c>
    </row>
    <row r="504" spans="1:7" x14ac:dyDescent="0.35">
      <c r="A504" s="19" t="s">
        <v>17</v>
      </c>
      <c r="B504" s="19"/>
      <c r="C504" s="37">
        <v>45899</v>
      </c>
      <c r="D504" s="31" t="s">
        <v>733</v>
      </c>
      <c r="E504" s="31" t="s">
        <v>75</v>
      </c>
      <c r="F504" s="31" t="s">
        <v>160</v>
      </c>
      <c r="G504" s="38">
        <v>0</v>
      </c>
    </row>
    <row r="505" spans="1:7" x14ac:dyDescent="0.35">
      <c r="A505" s="19" t="s">
        <v>17</v>
      </c>
      <c r="B505" s="19"/>
      <c r="C505" s="37">
        <v>45899</v>
      </c>
      <c r="D505" s="31" t="s">
        <v>734</v>
      </c>
      <c r="E505" s="31" t="s">
        <v>75</v>
      </c>
      <c r="F505" s="31" t="s">
        <v>160</v>
      </c>
      <c r="G505" s="38">
        <v>0</v>
      </c>
    </row>
    <row r="506" spans="1:7" x14ac:dyDescent="0.35">
      <c r="A506" s="19" t="s">
        <v>17</v>
      </c>
      <c r="B506" s="19"/>
      <c r="C506" s="37">
        <v>45899</v>
      </c>
      <c r="D506" s="31" t="s">
        <v>735</v>
      </c>
      <c r="E506" s="31" t="s">
        <v>75</v>
      </c>
      <c r="F506" s="31" t="s">
        <v>160</v>
      </c>
      <c r="G506" s="38">
        <v>0</v>
      </c>
    </row>
    <row r="507" spans="1:7" x14ac:dyDescent="0.35">
      <c r="A507" s="19" t="s">
        <v>17</v>
      </c>
      <c r="B507" s="19"/>
      <c r="C507" s="37">
        <v>45899</v>
      </c>
      <c r="D507" s="31" t="s">
        <v>736</v>
      </c>
      <c r="E507" s="31" t="s">
        <v>737</v>
      </c>
      <c r="F507" s="31" t="s">
        <v>160</v>
      </c>
      <c r="G507" s="38">
        <v>0</v>
      </c>
    </row>
    <row r="508" spans="1:7" x14ac:dyDescent="0.35">
      <c r="A508" s="19" t="s">
        <v>17</v>
      </c>
      <c r="B508" s="19"/>
      <c r="C508" s="37">
        <v>45899</v>
      </c>
      <c r="D508" s="31" t="s">
        <v>738</v>
      </c>
      <c r="E508" s="31" t="s">
        <v>739</v>
      </c>
      <c r="F508" s="31" t="s">
        <v>160</v>
      </c>
      <c r="G508" s="38">
        <v>0</v>
      </c>
    </row>
    <row r="509" spans="1:7" x14ac:dyDescent="0.35">
      <c r="A509" s="19" t="s">
        <v>17</v>
      </c>
      <c r="B509" s="19"/>
      <c r="C509" s="37">
        <v>45899</v>
      </c>
      <c r="D509" s="31" t="s">
        <v>740</v>
      </c>
      <c r="E509" s="31" t="s">
        <v>741</v>
      </c>
      <c r="F509" s="31" t="s">
        <v>160</v>
      </c>
      <c r="G509" s="38">
        <v>0</v>
      </c>
    </row>
    <row r="510" spans="1:7" x14ac:dyDescent="0.35">
      <c r="A510" s="19" t="s">
        <v>17</v>
      </c>
      <c r="B510" s="19"/>
      <c r="C510" s="37">
        <v>45899</v>
      </c>
      <c r="D510" s="31" t="s">
        <v>742</v>
      </c>
      <c r="E510" s="31" t="s">
        <v>741</v>
      </c>
      <c r="F510" s="31" t="s">
        <v>160</v>
      </c>
      <c r="G510" s="38">
        <v>0</v>
      </c>
    </row>
    <row r="511" spans="1:7" x14ac:dyDescent="0.35">
      <c r="A511" s="19" t="s">
        <v>17</v>
      </c>
      <c r="B511" s="19"/>
      <c r="C511" s="37">
        <v>45899</v>
      </c>
      <c r="D511" s="31" t="s">
        <v>743</v>
      </c>
      <c r="E511" s="31" t="s">
        <v>741</v>
      </c>
      <c r="F511" s="31" t="s">
        <v>160</v>
      </c>
      <c r="G511" s="38">
        <v>0</v>
      </c>
    </row>
    <row r="512" spans="1:7" x14ac:dyDescent="0.35">
      <c r="A512" s="19" t="s">
        <v>17</v>
      </c>
      <c r="B512" s="19"/>
      <c r="C512" s="37">
        <v>45899</v>
      </c>
      <c r="D512" s="31" t="s">
        <v>744</v>
      </c>
      <c r="E512" s="31" t="s">
        <v>741</v>
      </c>
      <c r="F512" s="31" t="s">
        <v>160</v>
      </c>
      <c r="G512" s="38">
        <v>0</v>
      </c>
    </row>
    <row r="513" spans="1:7" x14ac:dyDescent="0.35">
      <c r="A513" s="19" t="s">
        <v>17</v>
      </c>
      <c r="B513" s="19"/>
      <c r="C513" s="37">
        <v>45899</v>
      </c>
      <c r="D513" s="31" t="s">
        <v>745</v>
      </c>
      <c r="E513" s="31" t="s">
        <v>741</v>
      </c>
      <c r="F513" s="31" t="s">
        <v>160</v>
      </c>
      <c r="G513" s="38">
        <v>0</v>
      </c>
    </row>
    <row r="514" spans="1:7" x14ac:dyDescent="0.35">
      <c r="A514" s="19" t="s">
        <v>17</v>
      </c>
      <c r="B514" s="19"/>
      <c r="C514" s="37">
        <v>45899</v>
      </c>
      <c r="D514" s="31" t="s">
        <v>746</v>
      </c>
      <c r="E514" s="31" t="s">
        <v>741</v>
      </c>
      <c r="F514" s="31" t="s">
        <v>160</v>
      </c>
      <c r="G514" s="38">
        <v>0</v>
      </c>
    </row>
    <row r="515" spans="1:7" x14ac:dyDescent="0.35">
      <c r="A515" s="19" t="s">
        <v>17</v>
      </c>
      <c r="B515" s="19"/>
      <c r="C515" s="37">
        <v>45899</v>
      </c>
      <c r="D515" s="31" t="s">
        <v>747</v>
      </c>
      <c r="E515" s="31" t="s">
        <v>741</v>
      </c>
      <c r="F515" s="31" t="s">
        <v>160</v>
      </c>
      <c r="G515" s="38">
        <v>0</v>
      </c>
    </row>
    <row r="516" spans="1:7" x14ac:dyDescent="0.35">
      <c r="A516" s="19" t="s">
        <v>17</v>
      </c>
      <c r="B516" s="19"/>
      <c r="C516" s="37">
        <v>45899</v>
      </c>
      <c r="D516" s="31" t="s">
        <v>748</v>
      </c>
      <c r="E516" s="31" t="s">
        <v>741</v>
      </c>
      <c r="F516" s="31" t="s">
        <v>160</v>
      </c>
      <c r="G516" s="38">
        <v>0</v>
      </c>
    </row>
    <row r="517" spans="1:7" x14ac:dyDescent="0.35">
      <c r="A517" s="19" t="s">
        <v>17</v>
      </c>
      <c r="B517" s="19"/>
      <c r="C517" s="37">
        <v>45899</v>
      </c>
      <c r="D517" s="31">
        <v>37789</v>
      </c>
      <c r="E517" s="31" t="s">
        <v>50</v>
      </c>
      <c r="F517" s="31" t="s">
        <v>160</v>
      </c>
      <c r="G517" s="38">
        <v>0</v>
      </c>
    </row>
    <row r="518" spans="1:7" x14ac:dyDescent="0.35">
      <c r="A518" s="19" t="s">
        <v>17</v>
      </c>
      <c r="B518" s="19"/>
      <c r="C518" s="37">
        <v>45899</v>
      </c>
      <c r="D518" s="31" t="s">
        <v>749</v>
      </c>
      <c r="E518" s="31" t="s">
        <v>682</v>
      </c>
      <c r="F518" s="31" t="s">
        <v>160</v>
      </c>
      <c r="G518" s="38">
        <v>0</v>
      </c>
    </row>
    <row r="519" spans="1:7" x14ac:dyDescent="0.35">
      <c r="A519" s="19" t="s">
        <v>17</v>
      </c>
      <c r="B519" s="19"/>
      <c r="C519" s="37">
        <v>45899</v>
      </c>
      <c r="D519" s="31" t="s">
        <v>750</v>
      </c>
      <c r="E519" s="31" t="s">
        <v>751</v>
      </c>
      <c r="F519" s="31" t="s">
        <v>160</v>
      </c>
      <c r="G519" s="38">
        <v>0</v>
      </c>
    </row>
    <row r="520" spans="1:7" x14ac:dyDescent="0.35">
      <c r="A520" s="19" t="s">
        <v>17</v>
      </c>
      <c r="B520" s="19"/>
      <c r="C520" s="37">
        <v>45899</v>
      </c>
      <c r="D520" s="31" t="s">
        <v>752</v>
      </c>
      <c r="E520" s="31" t="s">
        <v>751</v>
      </c>
      <c r="F520" s="31" t="s">
        <v>160</v>
      </c>
      <c r="G520" s="38">
        <v>0</v>
      </c>
    </row>
    <row r="521" spans="1:7" x14ac:dyDescent="0.35">
      <c r="A521" s="19" t="s">
        <v>17</v>
      </c>
      <c r="B521" s="19"/>
      <c r="C521" s="37">
        <v>45899</v>
      </c>
      <c r="D521" s="31" t="s">
        <v>753</v>
      </c>
      <c r="E521" s="31" t="s">
        <v>754</v>
      </c>
      <c r="F521" s="31" t="s">
        <v>160</v>
      </c>
      <c r="G521" s="38">
        <v>0</v>
      </c>
    </row>
    <row r="522" spans="1:7" x14ac:dyDescent="0.35">
      <c r="A522" s="19" t="s">
        <v>17</v>
      </c>
      <c r="B522" s="19"/>
      <c r="C522" s="37">
        <v>45899</v>
      </c>
      <c r="D522" s="31" t="s">
        <v>755</v>
      </c>
      <c r="E522" s="31" t="s">
        <v>754</v>
      </c>
      <c r="F522" s="31" t="s">
        <v>160</v>
      </c>
      <c r="G522" s="38">
        <v>0</v>
      </c>
    </row>
    <row r="523" spans="1:7" x14ac:dyDescent="0.35">
      <c r="A523" s="19" t="s">
        <v>17</v>
      </c>
      <c r="B523" s="19"/>
      <c r="C523" s="37">
        <v>45899</v>
      </c>
      <c r="D523" s="31" t="s">
        <v>756</v>
      </c>
      <c r="E523" s="31" t="s">
        <v>757</v>
      </c>
      <c r="F523" s="31" t="s">
        <v>160</v>
      </c>
      <c r="G523" s="38">
        <v>0</v>
      </c>
    </row>
    <row r="524" spans="1:7" x14ac:dyDescent="0.35">
      <c r="A524" s="19" t="s">
        <v>17</v>
      </c>
      <c r="B524" s="19"/>
      <c r="C524" s="37">
        <v>45899</v>
      </c>
      <c r="D524" s="31" t="s">
        <v>758</v>
      </c>
      <c r="E524" s="31" t="s">
        <v>757</v>
      </c>
      <c r="F524" s="31" t="s">
        <v>160</v>
      </c>
      <c r="G524" s="38">
        <v>0</v>
      </c>
    </row>
    <row r="525" spans="1:7" x14ac:dyDescent="0.35">
      <c r="A525" s="19" t="s">
        <v>17</v>
      </c>
      <c r="B525" s="19"/>
      <c r="C525" s="37">
        <v>45899</v>
      </c>
      <c r="D525" s="31" t="s">
        <v>759</v>
      </c>
      <c r="E525" s="31" t="s">
        <v>757</v>
      </c>
      <c r="F525" s="31" t="s">
        <v>160</v>
      </c>
      <c r="G525" s="38">
        <v>0</v>
      </c>
    </row>
    <row r="526" spans="1:7" x14ac:dyDescent="0.35">
      <c r="A526" s="19" t="s">
        <v>17</v>
      </c>
      <c r="B526" s="19"/>
      <c r="C526" s="37">
        <v>45899</v>
      </c>
      <c r="D526" s="31" t="s">
        <v>760</v>
      </c>
      <c r="E526" s="31" t="s">
        <v>757</v>
      </c>
      <c r="F526" s="31" t="s">
        <v>160</v>
      </c>
      <c r="G526" s="38">
        <v>0</v>
      </c>
    </row>
    <row r="527" spans="1:7" x14ac:dyDescent="0.35">
      <c r="A527" s="19" t="s">
        <v>17</v>
      </c>
      <c r="B527" s="19"/>
      <c r="C527" s="37">
        <v>45899</v>
      </c>
      <c r="D527" s="31" t="s">
        <v>761</v>
      </c>
      <c r="E527" s="31" t="s">
        <v>757</v>
      </c>
      <c r="F527" s="31" t="s">
        <v>160</v>
      </c>
      <c r="G527" s="38">
        <v>0</v>
      </c>
    </row>
    <row r="528" spans="1:7" x14ac:dyDescent="0.35">
      <c r="A528" s="19" t="s">
        <v>17</v>
      </c>
      <c r="B528" s="19"/>
      <c r="C528" s="37">
        <v>45899</v>
      </c>
      <c r="D528" s="31" t="s">
        <v>762</v>
      </c>
      <c r="E528" s="31" t="s">
        <v>284</v>
      </c>
      <c r="F528" s="31" t="s">
        <v>160</v>
      </c>
      <c r="G528" s="38">
        <v>0</v>
      </c>
    </row>
    <row r="529" spans="1:7" x14ac:dyDescent="0.35">
      <c r="A529" s="19" t="s">
        <v>17</v>
      </c>
      <c r="B529" s="19"/>
      <c r="C529" s="37">
        <v>45899</v>
      </c>
      <c r="D529" s="31" t="s">
        <v>763</v>
      </c>
      <c r="E529" s="31" t="s">
        <v>178</v>
      </c>
      <c r="F529" s="31" t="s">
        <v>160</v>
      </c>
      <c r="G529" s="38">
        <v>0</v>
      </c>
    </row>
    <row r="530" spans="1:7" x14ac:dyDescent="0.35">
      <c r="A530" s="19" t="s">
        <v>17</v>
      </c>
      <c r="B530" s="19"/>
      <c r="C530" s="37">
        <v>45899</v>
      </c>
      <c r="D530" s="31" t="s">
        <v>764</v>
      </c>
      <c r="E530" s="31" t="s">
        <v>178</v>
      </c>
      <c r="F530" s="31" t="s">
        <v>160</v>
      </c>
      <c r="G530" s="38">
        <v>0</v>
      </c>
    </row>
    <row r="531" spans="1:7" x14ac:dyDescent="0.35">
      <c r="A531" s="19" t="s">
        <v>17</v>
      </c>
      <c r="B531" s="19"/>
      <c r="C531" s="37">
        <v>45899</v>
      </c>
      <c r="D531" s="31" t="s">
        <v>765</v>
      </c>
      <c r="E531" s="31" t="s">
        <v>178</v>
      </c>
      <c r="F531" s="31" t="s">
        <v>160</v>
      </c>
      <c r="G531" s="38">
        <v>0</v>
      </c>
    </row>
    <row r="532" spans="1:7" x14ac:dyDescent="0.35">
      <c r="A532" s="19" t="s">
        <v>17</v>
      </c>
      <c r="B532" s="19"/>
      <c r="C532" s="37">
        <v>45899</v>
      </c>
      <c r="D532" s="31" t="s">
        <v>766</v>
      </c>
      <c r="E532" s="31" t="s">
        <v>767</v>
      </c>
      <c r="F532" s="31" t="s">
        <v>160</v>
      </c>
      <c r="G532" s="38">
        <v>0</v>
      </c>
    </row>
    <row r="533" spans="1:7" x14ac:dyDescent="0.35">
      <c r="A533" s="19" t="s">
        <v>17</v>
      </c>
      <c r="B533" s="19"/>
      <c r="C533" s="37">
        <v>45899</v>
      </c>
      <c r="D533" s="31" t="s">
        <v>768</v>
      </c>
      <c r="E533" s="31" t="s">
        <v>767</v>
      </c>
      <c r="F533" s="31" t="s">
        <v>160</v>
      </c>
      <c r="G533" s="38">
        <v>0</v>
      </c>
    </row>
    <row r="534" spans="1:7" x14ac:dyDescent="0.35">
      <c r="A534" s="19" t="s">
        <v>17</v>
      </c>
      <c r="B534" s="19"/>
      <c r="C534" s="37">
        <v>45899</v>
      </c>
      <c r="D534" s="31" t="s">
        <v>769</v>
      </c>
      <c r="E534" s="31" t="s">
        <v>767</v>
      </c>
      <c r="F534" s="31" t="s">
        <v>160</v>
      </c>
      <c r="G534" s="38">
        <v>0</v>
      </c>
    </row>
    <row r="535" spans="1:7" x14ac:dyDescent="0.35">
      <c r="A535" s="19" t="s">
        <v>17</v>
      </c>
      <c r="B535" s="19"/>
      <c r="C535" s="37">
        <v>45899</v>
      </c>
      <c r="D535" s="31" t="s">
        <v>770</v>
      </c>
      <c r="E535" s="31" t="s">
        <v>767</v>
      </c>
      <c r="F535" s="31" t="s">
        <v>160</v>
      </c>
      <c r="G535" s="38">
        <v>0</v>
      </c>
    </row>
    <row r="536" spans="1:7" x14ac:dyDescent="0.35">
      <c r="A536" s="19" t="s">
        <v>17</v>
      </c>
      <c r="B536" s="19"/>
      <c r="C536" s="37">
        <v>45899</v>
      </c>
      <c r="D536" s="31" t="s">
        <v>771</v>
      </c>
      <c r="E536" s="31" t="s">
        <v>767</v>
      </c>
      <c r="F536" s="31" t="s">
        <v>160</v>
      </c>
      <c r="G536" s="38">
        <v>0</v>
      </c>
    </row>
    <row r="537" spans="1:7" x14ac:dyDescent="0.35">
      <c r="A537" s="19" t="s">
        <v>17</v>
      </c>
      <c r="B537" s="19"/>
      <c r="C537" s="37">
        <v>45899</v>
      </c>
      <c r="D537" s="31" t="s">
        <v>772</v>
      </c>
      <c r="E537" s="31" t="s">
        <v>767</v>
      </c>
      <c r="F537" s="31" t="s">
        <v>160</v>
      </c>
      <c r="G537" s="38">
        <v>0</v>
      </c>
    </row>
    <row r="538" spans="1:7" x14ac:dyDescent="0.35">
      <c r="A538" s="19" t="s">
        <v>17</v>
      </c>
      <c r="B538" s="19"/>
      <c r="C538" s="37">
        <v>45899</v>
      </c>
      <c r="D538" s="31" t="s">
        <v>773</v>
      </c>
      <c r="E538" s="31" t="s">
        <v>767</v>
      </c>
      <c r="F538" s="31" t="s">
        <v>160</v>
      </c>
      <c r="G538" s="38">
        <v>0</v>
      </c>
    </row>
    <row r="539" spans="1:7" x14ac:dyDescent="0.35">
      <c r="A539" s="19" t="s">
        <v>17</v>
      </c>
      <c r="B539" s="19"/>
      <c r="C539" s="37">
        <v>45899</v>
      </c>
      <c r="D539" s="31" t="s">
        <v>774</v>
      </c>
      <c r="E539" s="31" t="s">
        <v>775</v>
      </c>
      <c r="F539" s="31" t="s">
        <v>160</v>
      </c>
      <c r="G539" s="38">
        <v>0</v>
      </c>
    </row>
    <row r="540" spans="1:7" x14ac:dyDescent="0.35">
      <c r="A540" s="19" t="s">
        <v>17</v>
      </c>
      <c r="B540" s="19"/>
      <c r="C540" s="37">
        <v>45899</v>
      </c>
      <c r="D540" s="31" t="s">
        <v>776</v>
      </c>
      <c r="E540" s="31" t="s">
        <v>777</v>
      </c>
      <c r="F540" s="31" t="s">
        <v>160</v>
      </c>
      <c r="G540" s="38">
        <v>351.49</v>
      </c>
    </row>
    <row r="541" spans="1:7" x14ac:dyDescent="0.35">
      <c r="A541" s="19" t="s">
        <v>17</v>
      </c>
      <c r="B541" s="19"/>
      <c r="C541" s="37">
        <v>45899</v>
      </c>
      <c r="D541" s="31" t="s">
        <v>778</v>
      </c>
      <c r="E541" s="31" t="s">
        <v>779</v>
      </c>
      <c r="F541" s="31" t="s">
        <v>160</v>
      </c>
      <c r="G541" s="38">
        <v>0</v>
      </c>
    </row>
    <row r="542" spans="1:7" x14ac:dyDescent="0.35">
      <c r="A542" s="19" t="s">
        <v>17</v>
      </c>
      <c r="B542" s="19"/>
      <c r="C542" s="37">
        <v>45899</v>
      </c>
      <c r="D542" s="31" t="s">
        <v>780</v>
      </c>
      <c r="E542" s="31" t="s">
        <v>775</v>
      </c>
      <c r="F542" s="31" t="s">
        <v>160</v>
      </c>
      <c r="G542" s="38">
        <v>0</v>
      </c>
    </row>
    <row r="543" spans="1:7" x14ac:dyDescent="0.35">
      <c r="A543" s="19" t="s">
        <v>17</v>
      </c>
      <c r="B543" s="19"/>
      <c r="C543" s="37">
        <v>45899</v>
      </c>
      <c r="D543" s="31" t="s">
        <v>781</v>
      </c>
      <c r="E543" s="31" t="s">
        <v>775</v>
      </c>
      <c r="F543" s="31" t="s">
        <v>160</v>
      </c>
      <c r="G543" s="38">
        <v>0</v>
      </c>
    </row>
    <row r="544" spans="1:7" x14ac:dyDescent="0.35">
      <c r="A544" s="19" t="s">
        <v>17</v>
      </c>
      <c r="B544" s="19"/>
      <c r="C544" s="37">
        <v>45899</v>
      </c>
      <c r="D544" s="31" t="s">
        <v>782</v>
      </c>
      <c r="E544" s="31" t="s">
        <v>775</v>
      </c>
      <c r="F544" s="31" t="s">
        <v>160</v>
      </c>
      <c r="G544" s="38">
        <v>0</v>
      </c>
    </row>
    <row r="545" spans="1:7" x14ac:dyDescent="0.35">
      <c r="A545" s="19" t="s">
        <v>17</v>
      </c>
      <c r="B545" s="19"/>
      <c r="C545" s="37">
        <v>45899</v>
      </c>
      <c r="D545" s="31" t="s">
        <v>783</v>
      </c>
      <c r="E545" s="31" t="s">
        <v>115</v>
      </c>
      <c r="F545" s="31" t="s">
        <v>160</v>
      </c>
      <c r="G545" s="38">
        <v>0</v>
      </c>
    </row>
    <row r="546" spans="1:7" x14ac:dyDescent="0.35">
      <c r="A546" s="19" t="s">
        <v>17</v>
      </c>
      <c r="B546" s="19"/>
      <c r="C546" s="37">
        <v>45899</v>
      </c>
      <c r="D546" s="31" t="s">
        <v>784</v>
      </c>
      <c r="E546" s="31" t="s">
        <v>115</v>
      </c>
      <c r="F546" s="31" t="s">
        <v>160</v>
      </c>
      <c r="G546" s="38">
        <v>0</v>
      </c>
    </row>
    <row r="547" spans="1:7" x14ac:dyDescent="0.35">
      <c r="A547" s="19" t="s">
        <v>17</v>
      </c>
      <c r="B547" s="19"/>
      <c r="C547" s="37">
        <v>45899</v>
      </c>
      <c r="D547" s="31" t="s">
        <v>785</v>
      </c>
      <c r="E547" s="31" t="s">
        <v>115</v>
      </c>
      <c r="F547" s="31" t="s">
        <v>160</v>
      </c>
      <c r="G547" s="38">
        <v>0</v>
      </c>
    </row>
    <row r="548" spans="1:7" x14ac:dyDescent="0.35">
      <c r="A548" s="19" t="s">
        <v>17</v>
      </c>
      <c r="B548" s="19"/>
      <c r="C548" s="37">
        <v>45899</v>
      </c>
      <c r="D548" s="31" t="s">
        <v>786</v>
      </c>
      <c r="E548" s="31" t="s">
        <v>787</v>
      </c>
      <c r="F548" s="31" t="s">
        <v>160</v>
      </c>
      <c r="G548" s="38">
        <v>0</v>
      </c>
    </row>
    <row r="549" spans="1:7" x14ac:dyDescent="0.35">
      <c r="A549" s="19" t="s">
        <v>17</v>
      </c>
      <c r="B549" s="19"/>
      <c r="C549" s="37">
        <v>45899</v>
      </c>
      <c r="D549" s="31" t="s">
        <v>788</v>
      </c>
      <c r="E549" s="31" t="s">
        <v>787</v>
      </c>
      <c r="F549" s="31" t="s">
        <v>160</v>
      </c>
      <c r="G549" s="38">
        <v>0</v>
      </c>
    </row>
    <row r="550" spans="1:7" x14ac:dyDescent="0.35">
      <c r="A550" s="19" t="s">
        <v>17</v>
      </c>
      <c r="B550" s="19"/>
      <c r="C550" s="37">
        <v>45899</v>
      </c>
      <c r="D550" s="31" t="s">
        <v>789</v>
      </c>
      <c r="E550" s="31" t="s">
        <v>787</v>
      </c>
      <c r="F550" s="31" t="s">
        <v>160</v>
      </c>
      <c r="G550" s="38">
        <v>0</v>
      </c>
    </row>
    <row r="551" spans="1:7" x14ac:dyDescent="0.35">
      <c r="A551" s="19" t="s">
        <v>17</v>
      </c>
      <c r="B551" s="19"/>
      <c r="C551" s="37">
        <v>45899</v>
      </c>
      <c r="D551" s="31" t="s">
        <v>790</v>
      </c>
      <c r="E551" s="31" t="s">
        <v>791</v>
      </c>
      <c r="F551" s="31" t="s">
        <v>160</v>
      </c>
      <c r="G551" s="38">
        <v>0</v>
      </c>
    </row>
    <row r="552" spans="1:7" x14ac:dyDescent="0.35">
      <c r="A552" s="19" t="s">
        <v>17</v>
      </c>
      <c r="B552" s="19"/>
      <c r="C552" s="37">
        <v>45899</v>
      </c>
      <c r="D552" s="31">
        <v>38034</v>
      </c>
      <c r="E552" s="31" t="s">
        <v>792</v>
      </c>
      <c r="F552" s="31" t="s">
        <v>160</v>
      </c>
      <c r="G552" s="38">
        <v>2645</v>
      </c>
    </row>
    <row r="553" spans="1:7" x14ac:dyDescent="0.35">
      <c r="A553" s="19" t="s">
        <v>17</v>
      </c>
      <c r="B553" s="19"/>
      <c r="C553" s="37">
        <v>45899</v>
      </c>
      <c r="D553" s="31" t="s">
        <v>793</v>
      </c>
      <c r="E553" s="31" t="s">
        <v>777</v>
      </c>
      <c r="F553" s="31" t="s">
        <v>160</v>
      </c>
      <c r="G553" s="38">
        <v>0</v>
      </c>
    </row>
    <row r="554" spans="1:7" x14ac:dyDescent="0.35">
      <c r="A554" s="19" t="s">
        <v>17</v>
      </c>
      <c r="B554" s="19"/>
      <c r="C554" s="37">
        <v>45899</v>
      </c>
      <c r="D554" s="31" t="s">
        <v>794</v>
      </c>
      <c r="E554" s="31" t="s">
        <v>107</v>
      </c>
      <c r="F554" s="31" t="s">
        <v>160</v>
      </c>
      <c r="G554" s="38">
        <v>0</v>
      </c>
    </row>
    <row r="555" spans="1:7" x14ac:dyDescent="0.35">
      <c r="A555" s="19" t="s">
        <v>17</v>
      </c>
      <c r="B555" s="19"/>
      <c r="C555" s="37">
        <v>45899</v>
      </c>
      <c r="D555" s="31" t="s">
        <v>795</v>
      </c>
      <c r="E555" s="31" t="s">
        <v>107</v>
      </c>
      <c r="F555" s="31" t="s">
        <v>160</v>
      </c>
      <c r="G555" s="38">
        <v>0</v>
      </c>
    </row>
    <row r="556" spans="1:7" x14ac:dyDescent="0.35">
      <c r="A556" s="19" t="s">
        <v>17</v>
      </c>
      <c r="B556" s="19"/>
      <c r="C556" s="37">
        <v>45899</v>
      </c>
      <c r="D556" s="31" t="s">
        <v>796</v>
      </c>
      <c r="E556" s="31" t="s">
        <v>597</v>
      </c>
      <c r="F556" s="31" t="s">
        <v>160</v>
      </c>
      <c r="G556" s="38">
        <v>0</v>
      </c>
    </row>
    <row r="557" spans="1:7" x14ac:dyDescent="0.35">
      <c r="A557" s="19" t="s">
        <v>17</v>
      </c>
      <c r="B557" s="19"/>
      <c r="C557" s="37">
        <v>45899</v>
      </c>
      <c r="D557" s="31" t="s">
        <v>797</v>
      </c>
      <c r="E557" s="31" t="s">
        <v>597</v>
      </c>
      <c r="F557" s="31" t="s">
        <v>160</v>
      </c>
      <c r="G557" s="38">
        <v>0</v>
      </c>
    </row>
    <row r="558" spans="1:7" x14ac:dyDescent="0.35">
      <c r="A558" s="19" t="s">
        <v>17</v>
      </c>
      <c r="B558" s="19"/>
      <c r="C558" s="37">
        <v>45899</v>
      </c>
      <c r="D558" s="31">
        <v>38051</v>
      </c>
      <c r="E558" s="31" t="s">
        <v>682</v>
      </c>
      <c r="F558" s="31" t="s">
        <v>160</v>
      </c>
      <c r="G558" s="38">
        <v>54331.65</v>
      </c>
    </row>
    <row r="559" spans="1:7" x14ac:dyDescent="0.35">
      <c r="A559" s="19" t="s">
        <v>17</v>
      </c>
      <c r="B559" s="19"/>
      <c r="C559" s="37">
        <v>45899</v>
      </c>
      <c r="D559" s="31" t="s">
        <v>798</v>
      </c>
      <c r="E559" s="31" t="s">
        <v>799</v>
      </c>
      <c r="F559" s="31" t="s">
        <v>160</v>
      </c>
      <c r="G559" s="38">
        <v>0</v>
      </c>
    </row>
    <row r="560" spans="1:7" x14ac:dyDescent="0.35">
      <c r="A560" s="19" t="s">
        <v>17</v>
      </c>
      <c r="B560" s="19"/>
      <c r="C560" s="37">
        <v>45899</v>
      </c>
      <c r="D560" s="31" t="s">
        <v>800</v>
      </c>
      <c r="E560" s="31" t="s">
        <v>799</v>
      </c>
      <c r="F560" s="31" t="s">
        <v>160</v>
      </c>
      <c r="G560" s="38">
        <v>0</v>
      </c>
    </row>
    <row r="561" spans="1:7" x14ac:dyDescent="0.35">
      <c r="A561" s="19" t="s">
        <v>17</v>
      </c>
      <c r="B561" s="19"/>
      <c r="C561" s="37">
        <v>45899</v>
      </c>
      <c r="D561" s="31" t="s">
        <v>801</v>
      </c>
      <c r="E561" s="31" t="s">
        <v>799</v>
      </c>
      <c r="F561" s="31" t="s">
        <v>160</v>
      </c>
      <c r="G561" s="38">
        <v>0</v>
      </c>
    </row>
    <row r="562" spans="1:7" x14ac:dyDescent="0.35">
      <c r="A562" s="19" t="s">
        <v>17</v>
      </c>
      <c r="B562" s="19"/>
      <c r="C562" s="37">
        <v>45899</v>
      </c>
      <c r="D562" s="31" t="s">
        <v>802</v>
      </c>
      <c r="E562" s="31" t="s">
        <v>799</v>
      </c>
      <c r="F562" s="31" t="s">
        <v>160</v>
      </c>
      <c r="G562" s="38">
        <v>0</v>
      </c>
    </row>
    <row r="563" spans="1:7" x14ac:dyDescent="0.35">
      <c r="A563" s="19" t="s">
        <v>17</v>
      </c>
      <c r="B563" s="19"/>
      <c r="C563" s="37">
        <v>45899</v>
      </c>
      <c r="D563" s="31" t="s">
        <v>803</v>
      </c>
      <c r="E563" s="31" t="s">
        <v>804</v>
      </c>
      <c r="F563" s="31" t="s">
        <v>160</v>
      </c>
      <c r="G563" s="38">
        <v>0</v>
      </c>
    </row>
    <row r="564" spans="1:7" x14ac:dyDescent="0.35">
      <c r="A564" s="19" t="s">
        <v>17</v>
      </c>
      <c r="B564" s="19"/>
      <c r="C564" s="37">
        <v>45899</v>
      </c>
      <c r="D564" s="31" t="s">
        <v>805</v>
      </c>
      <c r="E564" s="31" t="s">
        <v>804</v>
      </c>
      <c r="F564" s="31" t="s">
        <v>160</v>
      </c>
      <c r="G564" s="38">
        <v>0</v>
      </c>
    </row>
    <row r="565" spans="1:7" x14ac:dyDescent="0.35">
      <c r="A565" s="19" t="s">
        <v>17</v>
      </c>
      <c r="B565" s="19"/>
      <c r="C565" s="37">
        <v>45899</v>
      </c>
      <c r="D565" s="31" t="s">
        <v>806</v>
      </c>
      <c r="E565" s="31" t="s">
        <v>807</v>
      </c>
      <c r="F565" s="31" t="s">
        <v>160</v>
      </c>
      <c r="G565" s="38">
        <v>0</v>
      </c>
    </row>
    <row r="566" spans="1:7" x14ac:dyDescent="0.35">
      <c r="A566" s="19" t="s">
        <v>17</v>
      </c>
      <c r="B566" s="19"/>
      <c r="C566" s="37">
        <v>45899</v>
      </c>
      <c r="D566" s="31" t="s">
        <v>808</v>
      </c>
      <c r="E566" s="31" t="s">
        <v>670</v>
      </c>
      <c r="F566" s="31" t="s">
        <v>160</v>
      </c>
      <c r="G566" s="38">
        <v>0</v>
      </c>
    </row>
    <row r="567" spans="1:7" x14ac:dyDescent="0.35">
      <c r="A567" s="19" t="s">
        <v>17</v>
      </c>
      <c r="B567" s="19"/>
      <c r="C567" s="37">
        <v>45899</v>
      </c>
      <c r="D567" s="31" t="s">
        <v>809</v>
      </c>
      <c r="E567" s="31" t="s">
        <v>810</v>
      </c>
      <c r="F567" s="31" t="s">
        <v>160</v>
      </c>
      <c r="G567" s="38">
        <v>0</v>
      </c>
    </row>
    <row r="568" spans="1:7" x14ac:dyDescent="0.35">
      <c r="A568" s="19" t="s">
        <v>17</v>
      </c>
      <c r="B568" s="19"/>
      <c r="C568" s="37">
        <v>45899</v>
      </c>
      <c r="D568" s="31" t="s">
        <v>811</v>
      </c>
      <c r="E568" s="31" t="s">
        <v>810</v>
      </c>
      <c r="F568" s="31" t="s">
        <v>160</v>
      </c>
      <c r="G568" s="38">
        <v>0</v>
      </c>
    </row>
    <row r="569" spans="1:7" x14ac:dyDescent="0.35">
      <c r="A569" s="19" t="s">
        <v>17</v>
      </c>
      <c r="B569" s="19"/>
      <c r="C569" s="37">
        <v>45899</v>
      </c>
      <c r="D569" s="31" t="s">
        <v>812</v>
      </c>
      <c r="E569" s="31" t="s">
        <v>810</v>
      </c>
      <c r="F569" s="31" t="s">
        <v>160</v>
      </c>
      <c r="G569" s="38">
        <v>0</v>
      </c>
    </row>
    <row r="570" spans="1:7" x14ac:dyDescent="0.35">
      <c r="A570" s="19" t="s">
        <v>17</v>
      </c>
      <c r="B570" s="19"/>
      <c r="C570" s="37">
        <v>45899</v>
      </c>
      <c r="D570" s="31" t="s">
        <v>813</v>
      </c>
      <c r="E570" s="31" t="s">
        <v>810</v>
      </c>
      <c r="F570" s="31" t="s">
        <v>160</v>
      </c>
      <c r="G570" s="38">
        <v>0</v>
      </c>
    </row>
    <row r="571" spans="1:7" x14ac:dyDescent="0.35">
      <c r="A571" s="19" t="s">
        <v>17</v>
      </c>
      <c r="B571" s="19"/>
      <c r="C571" s="37">
        <v>45899</v>
      </c>
      <c r="D571" s="31" t="s">
        <v>814</v>
      </c>
      <c r="E571" s="31" t="s">
        <v>810</v>
      </c>
      <c r="F571" s="31" t="s">
        <v>160</v>
      </c>
      <c r="G571" s="38">
        <v>0</v>
      </c>
    </row>
    <row r="572" spans="1:7" x14ac:dyDescent="0.35">
      <c r="A572" s="19" t="s">
        <v>17</v>
      </c>
      <c r="B572" s="19"/>
      <c r="C572" s="37">
        <v>45899</v>
      </c>
      <c r="D572" s="31" t="s">
        <v>815</v>
      </c>
      <c r="E572" s="31" t="s">
        <v>810</v>
      </c>
      <c r="F572" s="31" t="s">
        <v>160</v>
      </c>
      <c r="G572" s="38">
        <v>0</v>
      </c>
    </row>
    <row r="573" spans="1:7" x14ac:dyDescent="0.35">
      <c r="A573" s="19" t="s">
        <v>17</v>
      </c>
      <c r="B573" s="19"/>
      <c r="C573" s="37">
        <v>45899</v>
      </c>
      <c r="D573" s="31" t="s">
        <v>816</v>
      </c>
      <c r="E573" s="31" t="s">
        <v>810</v>
      </c>
      <c r="F573" s="31" t="s">
        <v>160</v>
      </c>
      <c r="G573" s="38">
        <v>0</v>
      </c>
    </row>
    <row r="574" spans="1:7" x14ac:dyDescent="0.35">
      <c r="A574" s="19" t="s">
        <v>17</v>
      </c>
      <c r="B574" s="19"/>
      <c r="C574" s="37">
        <v>45899</v>
      </c>
      <c r="D574" s="31" t="s">
        <v>817</v>
      </c>
      <c r="E574" s="31" t="s">
        <v>810</v>
      </c>
      <c r="F574" s="31" t="s">
        <v>160</v>
      </c>
      <c r="G574" s="38">
        <v>0</v>
      </c>
    </row>
    <row r="575" spans="1:7" x14ac:dyDescent="0.35">
      <c r="A575" s="19" t="s">
        <v>17</v>
      </c>
      <c r="B575" s="19"/>
      <c r="C575" s="37">
        <v>45899</v>
      </c>
      <c r="D575" s="31" t="s">
        <v>818</v>
      </c>
      <c r="E575" s="31" t="s">
        <v>810</v>
      </c>
      <c r="F575" s="31" t="s">
        <v>160</v>
      </c>
      <c r="G575" s="38">
        <v>0</v>
      </c>
    </row>
    <row r="576" spans="1:7" x14ac:dyDescent="0.35">
      <c r="A576" s="19" t="s">
        <v>17</v>
      </c>
      <c r="B576" s="19"/>
      <c r="C576" s="37">
        <v>45899</v>
      </c>
      <c r="D576" s="31" t="s">
        <v>819</v>
      </c>
      <c r="E576" s="31" t="s">
        <v>559</v>
      </c>
      <c r="F576" s="31" t="s">
        <v>160</v>
      </c>
      <c r="G576" s="38">
        <v>0</v>
      </c>
    </row>
    <row r="577" spans="1:7" x14ac:dyDescent="0.35">
      <c r="A577" s="19" t="s">
        <v>17</v>
      </c>
      <c r="B577" s="19"/>
      <c r="C577" s="37">
        <v>45899</v>
      </c>
      <c r="D577" s="31" t="s">
        <v>820</v>
      </c>
      <c r="E577" s="31" t="s">
        <v>225</v>
      </c>
      <c r="F577" s="31" t="s">
        <v>160</v>
      </c>
      <c r="G577" s="38">
        <v>0</v>
      </c>
    </row>
    <row r="578" spans="1:7" x14ac:dyDescent="0.35">
      <c r="A578" s="19" t="s">
        <v>17</v>
      </c>
      <c r="B578" s="19"/>
      <c r="C578" s="37">
        <v>45899</v>
      </c>
      <c r="D578" s="31" t="s">
        <v>821</v>
      </c>
      <c r="E578" s="31" t="s">
        <v>418</v>
      </c>
      <c r="F578" s="31" t="s">
        <v>160</v>
      </c>
      <c r="G578" s="38">
        <v>0</v>
      </c>
    </row>
    <row r="579" spans="1:7" x14ac:dyDescent="0.35">
      <c r="A579" s="19" t="s">
        <v>17</v>
      </c>
      <c r="B579" s="19"/>
      <c r="C579" s="37">
        <v>45899</v>
      </c>
      <c r="D579" s="31" t="s">
        <v>822</v>
      </c>
      <c r="E579" s="31" t="s">
        <v>823</v>
      </c>
      <c r="F579" s="31" t="s">
        <v>160</v>
      </c>
      <c r="G579" s="38">
        <v>0</v>
      </c>
    </row>
    <row r="580" spans="1:7" x14ac:dyDescent="0.35">
      <c r="A580" s="19" t="s">
        <v>17</v>
      </c>
      <c r="B580" s="19"/>
      <c r="C580" s="37">
        <v>45899</v>
      </c>
      <c r="D580" s="31" t="s">
        <v>824</v>
      </c>
      <c r="E580" s="31" t="s">
        <v>823</v>
      </c>
      <c r="F580" s="31" t="s">
        <v>160</v>
      </c>
      <c r="G580" s="38">
        <v>0</v>
      </c>
    </row>
    <row r="581" spans="1:7" x14ac:dyDescent="0.35">
      <c r="A581" s="19" t="s">
        <v>17</v>
      </c>
      <c r="B581" s="19"/>
      <c r="C581" s="37">
        <v>45899</v>
      </c>
      <c r="D581" s="31" t="s">
        <v>825</v>
      </c>
      <c r="E581" s="31" t="s">
        <v>70</v>
      </c>
      <c r="F581" s="31" t="s">
        <v>160</v>
      </c>
      <c r="G581" s="38">
        <v>37.35</v>
      </c>
    </row>
    <row r="582" spans="1:7" x14ac:dyDescent="0.35">
      <c r="A582" s="19" t="s">
        <v>17</v>
      </c>
      <c r="B582" s="19"/>
      <c r="C582" s="37">
        <v>45899</v>
      </c>
      <c r="D582" s="31" t="s">
        <v>826</v>
      </c>
      <c r="E582" s="31" t="s">
        <v>70</v>
      </c>
      <c r="F582" s="31" t="s">
        <v>160</v>
      </c>
      <c r="G582" s="38">
        <v>1200</v>
      </c>
    </row>
    <row r="583" spans="1:7" x14ac:dyDescent="0.35">
      <c r="A583" s="19" t="s">
        <v>17</v>
      </c>
      <c r="B583" s="19"/>
      <c r="C583" s="37">
        <v>45899</v>
      </c>
      <c r="D583" s="31" t="s">
        <v>827</v>
      </c>
      <c r="E583" s="31" t="s">
        <v>70</v>
      </c>
      <c r="F583" s="31" t="s">
        <v>160</v>
      </c>
      <c r="G583" s="38">
        <v>0</v>
      </c>
    </row>
    <row r="584" spans="1:7" x14ac:dyDescent="0.35">
      <c r="A584" s="19" t="s">
        <v>17</v>
      </c>
      <c r="B584" s="19"/>
      <c r="C584" s="37">
        <v>45899</v>
      </c>
      <c r="D584" s="31" t="s">
        <v>828</v>
      </c>
      <c r="E584" s="31" t="s">
        <v>70</v>
      </c>
      <c r="F584" s="31" t="s">
        <v>160</v>
      </c>
      <c r="G584" s="38">
        <v>0</v>
      </c>
    </row>
    <row r="585" spans="1:7" x14ac:dyDescent="0.35">
      <c r="A585" s="19" t="s">
        <v>17</v>
      </c>
      <c r="B585" s="19"/>
      <c r="C585" s="37">
        <v>45899</v>
      </c>
      <c r="D585" s="31" t="s">
        <v>829</v>
      </c>
      <c r="E585" s="31" t="s">
        <v>70</v>
      </c>
      <c r="F585" s="31" t="s">
        <v>160</v>
      </c>
      <c r="G585" s="38">
        <v>0</v>
      </c>
    </row>
    <row r="586" spans="1:7" x14ac:dyDescent="0.35">
      <c r="A586" s="19" t="s">
        <v>17</v>
      </c>
      <c r="B586" s="19"/>
      <c r="C586" s="37">
        <v>45899</v>
      </c>
      <c r="D586" s="31" t="s">
        <v>830</v>
      </c>
      <c r="E586" s="31" t="s">
        <v>767</v>
      </c>
      <c r="F586" s="31" t="s">
        <v>160</v>
      </c>
      <c r="G586" s="38">
        <v>0</v>
      </c>
    </row>
    <row r="587" spans="1:7" x14ac:dyDescent="0.35">
      <c r="A587" s="19" t="s">
        <v>17</v>
      </c>
      <c r="B587" s="19"/>
      <c r="C587" s="37">
        <v>45899</v>
      </c>
      <c r="D587" s="31">
        <v>38229</v>
      </c>
      <c r="E587" s="31" t="s">
        <v>57</v>
      </c>
      <c r="F587" s="31" t="s">
        <v>160</v>
      </c>
      <c r="G587" s="38">
        <v>0</v>
      </c>
    </row>
    <row r="588" spans="1:7" x14ac:dyDescent="0.35">
      <c r="A588" s="19" t="s">
        <v>17</v>
      </c>
      <c r="B588" s="19"/>
      <c r="C588" s="37">
        <v>45899</v>
      </c>
      <c r="D588" s="31">
        <v>38230</v>
      </c>
      <c r="E588" s="31" t="s">
        <v>831</v>
      </c>
      <c r="F588" s="31" t="s">
        <v>160</v>
      </c>
      <c r="G588" s="38">
        <v>24119</v>
      </c>
    </row>
    <row r="589" spans="1:7" x14ac:dyDescent="0.35">
      <c r="A589" s="19" t="s">
        <v>17</v>
      </c>
      <c r="B589" s="19"/>
      <c r="C589" s="37">
        <v>45899</v>
      </c>
      <c r="D589" s="31" t="s">
        <v>832</v>
      </c>
      <c r="E589" s="31" t="s">
        <v>64</v>
      </c>
      <c r="F589" s="31" t="s">
        <v>160</v>
      </c>
      <c r="G589" s="38">
        <v>0</v>
      </c>
    </row>
    <row r="590" spans="1:7" x14ac:dyDescent="0.35">
      <c r="A590" s="19" t="s">
        <v>17</v>
      </c>
      <c r="B590" s="19"/>
      <c r="C590" s="37">
        <v>45899</v>
      </c>
      <c r="D590" s="31" t="s">
        <v>833</v>
      </c>
      <c r="E590" s="31" t="s">
        <v>64</v>
      </c>
      <c r="F590" s="31" t="s">
        <v>160</v>
      </c>
      <c r="G590" s="38">
        <v>0</v>
      </c>
    </row>
    <row r="591" spans="1:7" x14ac:dyDescent="0.35">
      <c r="A591" s="19" t="s">
        <v>17</v>
      </c>
      <c r="B591" s="19"/>
      <c r="C591" s="37">
        <v>45899</v>
      </c>
      <c r="D591" s="31" t="s">
        <v>834</v>
      </c>
      <c r="E591" s="31" t="s">
        <v>64</v>
      </c>
      <c r="F591" s="31" t="s">
        <v>160</v>
      </c>
      <c r="G591" s="38">
        <v>0</v>
      </c>
    </row>
    <row r="592" spans="1:7" x14ac:dyDescent="0.35">
      <c r="A592" s="19" t="s">
        <v>17</v>
      </c>
      <c r="B592" s="19"/>
      <c r="C592" s="37">
        <v>45899</v>
      </c>
      <c r="D592" s="31" t="s">
        <v>835</v>
      </c>
      <c r="E592" s="31" t="s">
        <v>836</v>
      </c>
      <c r="F592" s="31" t="s">
        <v>160</v>
      </c>
      <c r="G592" s="38">
        <v>0</v>
      </c>
    </row>
    <row r="593" spans="1:7" x14ac:dyDescent="0.35">
      <c r="A593" s="19" t="s">
        <v>17</v>
      </c>
      <c r="B593" s="19"/>
      <c r="C593" s="37">
        <v>45899</v>
      </c>
      <c r="D593" s="31" t="s">
        <v>837</v>
      </c>
      <c r="E593" s="31" t="s">
        <v>177</v>
      </c>
      <c r="F593" s="31" t="s">
        <v>160</v>
      </c>
      <c r="G593" s="38">
        <v>2494.5700000000002</v>
      </c>
    </row>
    <row r="594" spans="1:7" x14ac:dyDescent="0.35">
      <c r="A594" s="19" t="s">
        <v>17</v>
      </c>
      <c r="B594" s="19"/>
      <c r="C594" s="37">
        <v>45899</v>
      </c>
      <c r="D594" s="31" t="s">
        <v>838</v>
      </c>
      <c r="E594" s="31" t="s">
        <v>177</v>
      </c>
      <c r="F594" s="31" t="s">
        <v>160</v>
      </c>
      <c r="G594" s="38">
        <v>4394.0499999999993</v>
      </c>
    </row>
    <row r="595" spans="1:7" x14ac:dyDescent="0.35">
      <c r="A595" s="19" t="s">
        <v>17</v>
      </c>
      <c r="B595" s="19"/>
      <c r="C595" s="37">
        <v>45899</v>
      </c>
      <c r="D595" s="31">
        <v>38254</v>
      </c>
      <c r="E595" s="31" t="s">
        <v>177</v>
      </c>
      <c r="F595" s="31" t="s">
        <v>160</v>
      </c>
      <c r="G595" s="38">
        <v>70206.000000000015</v>
      </c>
    </row>
    <row r="596" spans="1:7" x14ac:dyDescent="0.35">
      <c r="A596" s="19" t="s">
        <v>17</v>
      </c>
      <c r="B596" s="19"/>
      <c r="C596" s="37">
        <v>45899</v>
      </c>
      <c r="D596" s="31" t="s">
        <v>839</v>
      </c>
      <c r="E596" s="31" t="s">
        <v>177</v>
      </c>
      <c r="F596" s="31" t="s">
        <v>160</v>
      </c>
      <c r="G596" s="38">
        <v>268894.41000000003</v>
      </c>
    </row>
    <row r="597" spans="1:7" x14ac:dyDescent="0.35">
      <c r="A597" s="19" t="s">
        <v>17</v>
      </c>
      <c r="B597" s="19"/>
      <c r="C597" s="37">
        <v>45899</v>
      </c>
      <c r="D597" s="31" t="s">
        <v>840</v>
      </c>
      <c r="E597" s="31" t="s">
        <v>177</v>
      </c>
      <c r="F597" s="31" t="s">
        <v>160</v>
      </c>
      <c r="G597" s="38">
        <v>32981.75</v>
      </c>
    </row>
    <row r="598" spans="1:7" x14ac:dyDescent="0.35">
      <c r="A598" s="19" t="s">
        <v>17</v>
      </c>
      <c r="B598" s="19"/>
      <c r="C598" s="37">
        <v>45899</v>
      </c>
      <c r="D598" s="31" t="s">
        <v>841</v>
      </c>
      <c r="E598" s="31" t="s">
        <v>177</v>
      </c>
      <c r="F598" s="31" t="s">
        <v>160</v>
      </c>
      <c r="G598" s="38">
        <v>72633.990000000005</v>
      </c>
    </row>
    <row r="599" spans="1:7" x14ac:dyDescent="0.35">
      <c r="A599" s="19" t="s">
        <v>17</v>
      </c>
      <c r="B599" s="19"/>
      <c r="C599" s="37">
        <v>45899</v>
      </c>
      <c r="D599" s="31" t="s">
        <v>842</v>
      </c>
      <c r="E599" s="31" t="s">
        <v>177</v>
      </c>
      <c r="F599" s="31" t="s">
        <v>160</v>
      </c>
      <c r="G599" s="38">
        <v>0</v>
      </c>
    </row>
    <row r="600" spans="1:7" x14ac:dyDescent="0.35">
      <c r="A600" s="19" t="s">
        <v>17</v>
      </c>
      <c r="B600" s="19"/>
      <c r="C600" s="37">
        <v>45899</v>
      </c>
      <c r="D600" s="31" t="s">
        <v>843</v>
      </c>
      <c r="E600" s="31" t="s">
        <v>177</v>
      </c>
      <c r="F600" s="31" t="s">
        <v>160</v>
      </c>
      <c r="G600" s="38">
        <v>2754.29</v>
      </c>
    </row>
    <row r="601" spans="1:7" x14ac:dyDescent="0.35">
      <c r="A601" s="19" t="s">
        <v>17</v>
      </c>
      <c r="B601" s="19"/>
      <c r="C601" s="37">
        <v>45899</v>
      </c>
      <c r="D601" s="31" t="s">
        <v>844</v>
      </c>
      <c r="E601" s="31" t="s">
        <v>177</v>
      </c>
      <c r="F601" s="31" t="s">
        <v>160</v>
      </c>
      <c r="G601" s="38">
        <v>0</v>
      </c>
    </row>
    <row r="602" spans="1:7" x14ac:dyDescent="0.35">
      <c r="A602" s="19" t="s">
        <v>17</v>
      </c>
      <c r="B602" s="19"/>
      <c r="C602" s="37">
        <v>45899</v>
      </c>
      <c r="D602" s="31">
        <v>38263</v>
      </c>
      <c r="E602" s="31" t="s">
        <v>177</v>
      </c>
      <c r="F602" s="31" t="s">
        <v>160</v>
      </c>
      <c r="G602" s="38">
        <v>1203.22</v>
      </c>
    </row>
    <row r="603" spans="1:7" x14ac:dyDescent="0.35">
      <c r="A603" s="19" t="s">
        <v>17</v>
      </c>
      <c r="B603" s="19"/>
      <c r="C603" s="37">
        <v>45899</v>
      </c>
      <c r="D603" s="31" t="s">
        <v>845</v>
      </c>
      <c r="E603" s="31" t="s">
        <v>177</v>
      </c>
      <c r="F603" s="31" t="s">
        <v>160</v>
      </c>
      <c r="G603" s="38">
        <v>0</v>
      </c>
    </row>
    <row r="604" spans="1:7" x14ac:dyDescent="0.35">
      <c r="A604" s="19" t="s">
        <v>17</v>
      </c>
      <c r="B604" s="19"/>
      <c r="C604" s="37">
        <v>45899</v>
      </c>
      <c r="D604" s="31" t="s">
        <v>846</v>
      </c>
      <c r="E604" s="31" t="s">
        <v>177</v>
      </c>
      <c r="F604" s="31" t="s">
        <v>160</v>
      </c>
      <c r="G604" s="38">
        <v>0</v>
      </c>
    </row>
    <row r="605" spans="1:7" x14ac:dyDescent="0.35">
      <c r="A605" s="19" t="s">
        <v>17</v>
      </c>
      <c r="B605" s="19"/>
      <c r="C605" s="37">
        <v>45899</v>
      </c>
      <c r="D605" s="31">
        <v>38265</v>
      </c>
      <c r="E605" s="31" t="s">
        <v>177</v>
      </c>
      <c r="F605" s="31" t="s">
        <v>160</v>
      </c>
      <c r="G605" s="38">
        <v>21741</v>
      </c>
    </row>
    <row r="606" spans="1:7" x14ac:dyDescent="0.35">
      <c r="A606" s="19" t="s">
        <v>17</v>
      </c>
      <c r="B606" s="19"/>
      <c r="C606" s="37">
        <v>45899</v>
      </c>
      <c r="D606" s="31">
        <v>38266</v>
      </c>
      <c r="E606" s="31" t="s">
        <v>177</v>
      </c>
      <c r="F606" s="31" t="s">
        <v>160</v>
      </c>
      <c r="G606" s="38">
        <v>21848.110000000004</v>
      </c>
    </row>
    <row r="607" spans="1:7" x14ac:dyDescent="0.35">
      <c r="A607" s="19" t="s">
        <v>17</v>
      </c>
      <c r="B607" s="19"/>
      <c r="C607" s="37">
        <v>45899</v>
      </c>
      <c r="D607" s="31" t="s">
        <v>847</v>
      </c>
      <c r="E607" s="31" t="s">
        <v>284</v>
      </c>
      <c r="F607" s="31" t="s">
        <v>160</v>
      </c>
      <c r="G607" s="38">
        <v>0</v>
      </c>
    </row>
    <row r="608" spans="1:7" x14ac:dyDescent="0.35">
      <c r="A608" s="19" t="s">
        <v>17</v>
      </c>
      <c r="B608" s="19"/>
      <c r="C608" s="37">
        <v>45899</v>
      </c>
      <c r="D608" s="31" t="s">
        <v>848</v>
      </c>
      <c r="E608" s="31" t="s">
        <v>284</v>
      </c>
      <c r="F608" s="31" t="s">
        <v>160</v>
      </c>
      <c r="G608" s="38">
        <v>0</v>
      </c>
    </row>
    <row r="609" spans="1:7" x14ac:dyDescent="0.35">
      <c r="A609" s="19" t="s">
        <v>17</v>
      </c>
      <c r="B609" s="19"/>
      <c r="C609" s="37">
        <v>45899</v>
      </c>
      <c r="D609" s="31" t="s">
        <v>849</v>
      </c>
      <c r="E609" s="31" t="s">
        <v>850</v>
      </c>
      <c r="F609" s="31" t="s">
        <v>160</v>
      </c>
      <c r="G609" s="38">
        <v>0</v>
      </c>
    </row>
    <row r="610" spans="1:7" x14ac:dyDescent="0.35">
      <c r="A610" s="19" t="s">
        <v>17</v>
      </c>
      <c r="B610" s="19"/>
      <c r="C610" s="37">
        <v>45899</v>
      </c>
      <c r="D610" s="31" t="s">
        <v>851</v>
      </c>
      <c r="E610" s="31" t="s">
        <v>852</v>
      </c>
      <c r="F610" s="31" t="s">
        <v>160</v>
      </c>
      <c r="G610" s="38">
        <v>0</v>
      </c>
    </row>
    <row r="611" spans="1:7" x14ac:dyDescent="0.35">
      <c r="A611" s="19" t="s">
        <v>17</v>
      </c>
      <c r="B611" s="19"/>
      <c r="C611" s="37">
        <v>45899</v>
      </c>
      <c r="D611" s="31" t="s">
        <v>853</v>
      </c>
      <c r="E611" s="31" t="s">
        <v>741</v>
      </c>
      <c r="F611" s="31" t="s">
        <v>160</v>
      </c>
      <c r="G611" s="38">
        <v>0</v>
      </c>
    </row>
    <row r="612" spans="1:7" x14ac:dyDescent="0.35">
      <c r="A612" s="19" t="s">
        <v>17</v>
      </c>
      <c r="B612" s="19"/>
      <c r="C612" s="37">
        <v>45899</v>
      </c>
      <c r="D612" s="31" t="s">
        <v>854</v>
      </c>
      <c r="E612" s="31" t="s">
        <v>741</v>
      </c>
      <c r="F612" s="31" t="s">
        <v>160</v>
      </c>
      <c r="G612" s="38">
        <v>0</v>
      </c>
    </row>
    <row r="613" spans="1:7" x14ac:dyDescent="0.35">
      <c r="A613" s="19" t="s">
        <v>17</v>
      </c>
      <c r="B613" s="19"/>
      <c r="C613" s="37">
        <v>45899</v>
      </c>
      <c r="D613" s="31" t="s">
        <v>855</v>
      </c>
      <c r="E613" s="31" t="s">
        <v>105</v>
      </c>
      <c r="F613" s="31" t="s">
        <v>160</v>
      </c>
      <c r="G613" s="38">
        <v>0</v>
      </c>
    </row>
    <row r="614" spans="1:7" x14ac:dyDescent="0.35">
      <c r="A614" s="19" t="s">
        <v>17</v>
      </c>
      <c r="B614" s="19"/>
      <c r="C614" s="37">
        <v>45899</v>
      </c>
      <c r="D614" s="31" t="s">
        <v>856</v>
      </c>
      <c r="E614" s="31" t="s">
        <v>105</v>
      </c>
      <c r="F614" s="31" t="s">
        <v>160</v>
      </c>
      <c r="G614" s="38">
        <v>0</v>
      </c>
    </row>
    <row r="615" spans="1:7" x14ac:dyDescent="0.35">
      <c r="A615" s="19" t="s">
        <v>17</v>
      </c>
      <c r="B615" s="19"/>
      <c r="C615" s="37">
        <v>45899</v>
      </c>
      <c r="D615" s="31" t="s">
        <v>857</v>
      </c>
      <c r="E615" s="31" t="s">
        <v>105</v>
      </c>
      <c r="F615" s="31" t="s">
        <v>160</v>
      </c>
      <c r="G615" s="38">
        <v>0</v>
      </c>
    </row>
    <row r="616" spans="1:7" x14ac:dyDescent="0.35">
      <c r="A616" s="19" t="s">
        <v>17</v>
      </c>
      <c r="B616" s="19"/>
      <c r="C616" s="37">
        <v>45899</v>
      </c>
      <c r="D616" s="31" t="s">
        <v>858</v>
      </c>
      <c r="E616" s="31" t="s">
        <v>105</v>
      </c>
      <c r="F616" s="31" t="s">
        <v>160</v>
      </c>
      <c r="G616" s="38">
        <v>0</v>
      </c>
    </row>
    <row r="617" spans="1:7" x14ac:dyDescent="0.35">
      <c r="A617" s="19" t="s">
        <v>17</v>
      </c>
      <c r="B617" s="19"/>
      <c r="C617" s="37">
        <v>45899</v>
      </c>
      <c r="D617" s="31" t="s">
        <v>859</v>
      </c>
      <c r="E617" s="31" t="s">
        <v>570</v>
      </c>
      <c r="F617" s="31" t="s">
        <v>160</v>
      </c>
      <c r="G617" s="38">
        <v>0</v>
      </c>
    </row>
    <row r="618" spans="1:7" x14ac:dyDescent="0.35">
      <c r="A618" s="19" t="s">
        <v>17</v>
      </c>
      <c r="B618" s="19"/>
      <c r="C618" s="37">
        <v>45899</v>
      </c>
      <c r="D618" s="31" t="s">
        <v>860</v>
      </c>
      <c r="E618" s="31" t="s">
        <v>107</v>
      </c>
      <c r="F618" s="31" t="s">
        <v>160</v>
      </c>
      <c r="G618" s="38">
        <v>0</v>
      </c>
    </row>
    <row r="619" spans="1:7" x14ac:dyDescent="0.35">
      <c r="A619" s="19" t="s">
        <v>17</v>
      </c>
      <c r="B619" s="19"/>
      <c r="C619" s="37">
        <v>45899</v>
      </c>
      <c r="D619" s="31" t="s">
        <v>861</v>
      </c>
      <c r="E619" s="31" t="s">
        <v>107</v>
      </c>
      <c r="F619" s="31" t="s">
        <v>160</v>
      </c>
      <c r="G619" s="38">
        <v>0</v>
      </c>
    </row>
    <row r="620" spans="1:7" x14ac:dyDescent="0.35">
      <c r="A620" s="19" t="s">
        <v>17</v>
      </c>
      <c r="B620" s="19"/>
      <c r="C620" s="37">
        <v>45899</v>
      </c>
      <c r="D620" s="31" t="s">
        <v>862</v>
      </c>
      <c r="E620" s="31" t="s">
        <v>107</v>
      </c>
      <c r="F620" s="31" t="s">
        <v>160</v>
      </c>
      <c r="G620" s="38">
        <v>0</v>
      </c>
    </row>
    <row r="621" spans="1:7" x14ac:dyDescent="0.35">
      <c r="A621" s="19" t="s">
        <v>17</v>
      </c>
      <c r="B621" s="19"/>
      <c r="C621" s="37">
        <v>45899</v>
      </c>
      <c r="D621" s="31" t="s">
        <v>863</v>
      </c>
      <c r="E621" s="31" t="s">
        <v>137</v>
      </c>
      <c r="F621" s="31" t="s">
        <v>160</v>
      </c>
      <c r="G621" s="38">
        <v>32435.98</v>
      </c>
    </row>
    <row r="622" spans="1:7" x14ac:dyDescent="0.35">
      <c r="A622" s="19" t="s">
        <v>17</v>
      </c>
      <c r="B622" s="19"/>
      <c r="C622" s="37">
        <v>45899</v>
      </c>
      <c r="D622" s="31" t="s">
        <v>864</v>
      </c>
      <c r="E622" s="31" t="s">
        <v>137</v>
      </c>
      <c r="F622" s="31" t="s">
        <v>160</v>
      </c>
      <c r="G622" s="38">
        <v>0</v>
      </c>
    </row>
    <row r="623" spans="1:7" x14ac:dyDescent="0.35">
      <c r="A623" s="19" t="s">
        <v>17</v>
      </c>
      <c r="B623" s="19"/>
      <c r="C623" s="37">
        <v>45899</v>
      </c>
      <c r="D623" s="31" t="s">
        <v>865</v>
      </c>
      <c r="E623" s="31" t="s">
        <v>137</v>
      </c>
      <c r="F623" s="31" t="s">
        <v>160</v>
      </c>
      <c r="G623" s="38">
        <v>0</v>
      </c>
    </row>
    <row r="624" spans="1:7" x14ac:dyDescent="0.35">
      <c r="A624" s="19" t="s">
        <v>17</v>
      </c>
      <c r="B624" s="19"/>
      <c r="C624" s="37">
        <v>45899</v>
      </c>
      <c r="D624" s="31" t="s">
        <v>866</v>
      </c>
      <c r="E624" s="31" t="s">
        <v>137</v>
      </c>
      <c r="F624" s="31" t="s">
        <v>160</v>
      </c>
      <c r="G624" s="38">
        <v>0</v>
      </c>
    </row>
    <row r="625" spans="1:7" x14ac:dyDescent="0.35">
      <c r="A625" s="19" t="s">
        <v>17</v>
      </c>
      <c r="B625" s="19"/>
      <c r="C625" s="37">
        <v>45899</v>
      </c>
      <c r="D625" s="31" t="s">
        <v>867</v>
      </c>
      <c r="E625" s="31" t="s">
        <v>477</v>
      </c>
      <c r="F625" s="31" t="s">
        <v>160</v>
      </c>
      <c r="G625" s="38">
        <v>0</v>
      </c>
    </row>
    <row r="626" spans="1:7" x14ac:dyDescent="0.35">
      <c r="A626" s="19" t="s">
        <v>17</v>
      </c>
      <c r="B626" s="19"/>
      <c r="C626" s="37">
        <v>45899</v>
      </c>
      <c r="D626" s="31" t="s">
        <v>868</v>
      </c>
      <c r="E626" s="31" t="s">
        <v>148</v>
      </c>
      <c r="F626" s="31" t="s">
        <v>160</v>
      </c>
      <c r="G626" s="38">
        <v>0</v>
      </c>
    </row>
    <row r="627" spans="1:7" x14ac:dyDescent="0.35">
      <c r="A627" s="19" t="s">
        <v>17</v>
      </c>
      <c r="B627" s="19"/>
      <c r="C627" s="37">
        <v>45899</v>
      </c>
      <c r="D627" s="31" t="s">
        <v>869</v>
      </c>
      <c r="E627" s="31" t="s">
        <v>66</v>
      </c>
      <c r="F627" s="31" t="s">
        <v>160</v>
      </c>
      <c r="G627" s="38">
        <v>0</v>
      </c>
    </row>
    <row r="628" spans="1:7" x14ac:dyDescent="0.35">
      <c r="A628" s="19" t="s">
        <v>17</v>
      </c>
      <c r="B628" s="19"/>
      <c r="C628" s="37">
        <v>45899</v>
      </c>
      <c r="D628" s="31" t="s">
        <v>870</v>
      </c>
      <c r="E628" s="31" t="s">
        <v>66</v>
      </c>
      <c r="F628" s="31" t="s">
        <v>160</v>
      </c>
      <c r="G628" s="38">
        <v>0</v>
      </c>
    </row>
    <row r="629" spans="1:7" x14ac:dyDescent="0.35">
      <c r="A629" s="19" t="s">
        <v>17</v>
      </c>
      <c r="B629" s="19"/>
      <c r="C629" s="37">
        <v>45899</v>
      </c>
      <c r="D629" s="31" t="s">
        <v>871</v>
      </c>
      <c r="E629" s="31" t="s">
        <v>872</v>
      </c>
      <c r="F629" s="31" t="s">
        <v>160</v>
      </c>
      <c r="G629" s="38">
        <v>0</v>
      </c>
    </row>
    <row r="630" spans="1:7" x14ac:dyDescent="0.35">
      <c r="A630" s="19" t="s">
        <v>17</v>
      </c>
      <c r="B630" s="19"/>
      <c r="C630" s="37">
        <v>45899</v>
      </c>
      <c r="D630" s="31" t="s">
        <v>873</v>
      </c>
      <c r="E630" s="31" t="s">
        <v>872</v>
      </c>
      <c r="F630" s="31" t="s">
        <v>160</v>
      </c>
      <c r="G630" s="38">
        <v>0</v>
      </c>
    </row>
    <row r="631" spans="1:7" x14ac:dyDescent="0.35">
      <c r="A631" s="19" t="s">
        <v>17</v>
      </c>
      <c r="B631" s="19"/>
      <c r="C631" s="37">
        <v>45899</v>
      </c>
      <c r="D631" s="31" t="s">
        <v>874</v>
      </c>
      <c r="E631" s="31" t="s">
        <v>872</v>
      </c>
      <c r="F631" s="31" t="s">
        <v>160</v>
      </c>
      <c r="G631" s="38">
        <v>0</v>
      </c>
    </row>
    <row r="632" spans="1:7" x14ac:dyDescent="0.35">
      <c r="A632" s="19" t="s">
        <v>17</v>
      </c>
      <c r="B632" s="19"/>
      <c r="C632" s="37">
        <v>45899</v>
      </c>
      <c r="D632" s="31" t="s">
        <v>875</v>
      </c>
      <c r="E632" s="31" t="s">
        <v>872</v>
      </c>
      <c r="F632" s="31" t="s">
        <v>160</v>
      </c>
      <c r="G632" s="38">
        <v>0</v>
      </c>
    </row>
    <row r="633" spans="1:7" x14ac:dyDescent="0.35">
      <c r="A633" s="19" t="s">
        <v>17</v>
      </c>
      <c r="B633" s="19"/>
      <c r="C633" s="37">
        <v>45899</v>
      </c>
      <c r="D633" s="31" t="s">
        <v>876</v>
      </c>
      <c r="E633" s="31" t="s">
        <v>872</v>
      </c>
      <c r="F633" s="31" t="s">
        <v>160</v>
      </c>
      <c r="G633" s="38">
        <v>0</v>
      </c>
    </row>
    <row r="634" spans="1:7" x14ac:dyDescent="0.35">
      <c r="A634" s="19" t="s">
        <v>17</v>
      </c>
      <c r="B634" s="19"/>
      <c r="C634" s="37">
        <v>45899</v>
      </c>
      <c r="D634" s="31" t="s">
        <v>877</v>
      </c>
      <c r="E634" s="31" t="s">
        <v>872</v>
      </c>
      <c r="F634" s="31" t="s">
        <v>160</v>
      </c>
      <c r="G634" s="38">
        <v>0</v>
      </c>
    </row>
    <row r="635" spans="1:7" x14ac:dyDescent="0.35">
      <c r="A635" s="19" t="s">
        <v>17</v>
      </c>
      <c r="B635" s="19"/>
      <c r="C635" s="37">
        <v>45899</v>
      </c>
      <c r="D635" s="31" t="s">
        <v>878</v>
      </c>
      <c r="E635" s="31" t="s">
        <v>879</v>
      </c>
      <c r="F635" s="31" t="s">
        <v>160</v>
      </c>
      <c r="G635" s="38">
        <v>0</v>
      </c>
    </row>
    <row r="636" spans="1:7" x14ac:dyDescent="0.35">
      <c r="A636" s="19" t="s">
        <v>17</v>
      </c>
      <c r="B636" s="19"/>
      <c r="C636" s="37">
        <v>45899</v>
      </c>
      <c r="D636" s="31" t="s">
        <v>880</v>
      </c>
      <c r="E636" s="31" t="s">
        <v>115</v>
      </c>
      <c r="F636" s="31" t="s">
        <v>160</v>
      </c>
      <c r="G636" s="38">
        <v>0</v>
      </c>
    </row>
    <row r="637" spans="1:7" x14ac:dyDescent="0.35">
      <c r="A637" s="19" t="s">
        <v>17</v>
      </c>
      <c r="B637" s="19"/>
      <c r="C637" s="37">
        <v>45899</v>
      </c>
      <c r="D637" s="31" t="s">
        <v>881</v>
      </c>
      <c r="E637" s="31" t="s">
        <v>137</v>
      </c>
      <c r="F637" s="31" t="s">
        <v>160</v>
      </c>
      <c r="G637" s="38">
        <v>0</v>
      </c>
    </row>
    <row r="638" spans="1:7" x14ac:dyDescent="0.35">
      <c r="A638" s="19" t="s">
        <v>17</v>
      </c>
      <c r="B638" s="19"/>
      <c r="C638" s="37">
        <v>45899</v>
      </c>
      <c r="D638" s="31" t="s">
        <v>882</v>
      </c>
      <c r="E638" s="31" t="s">
        <v>883</v>
      </c>
      <c r="F638" s="31" t="s">
        <v>160</v>
      </c>
      <c r="G638" s="38">
        <v>0</v>
      </c>
    </row>
    <row r="639" spans="1:7" x14ac:dyDescent="0.35">
      <c r="A639" s="19" t="s">
        <v>17</v>
      </c>
      <c r="B639" s="19"/>
      <c r="C639" s="37">
        <v>45899</v>
      </c>
      <c r="D639" s="31" t="s">
        <v>884</v>
      </c>
      <c r="E639" s="31" t="s">
        <v>807</v>
      </c>
      <c r="F639" s="31" t="s">
        <v>160</v>
      </c>
      <c r="G639" s="38">
        <v>0</v>
      </c>
    </row>
    <row r="640" spans="1:7" x14ac:dyDescent="0.35">
      <c r="A640" s="19" t="s">
        <v>17</v>
      </c>
      <c r="B640" s="19"/>
      <c r="C640" s="37">
        <v>45899</v>
      </c>
      <c r="D640" s="31">
        <v>38546</v>
      </c>
      <c r="E640" s="31" t="s">
        <v>86</v>
      </c>
      <c r="F640" s="31" t="s">
        <v>160</v>
      </c>
      <c r="G640" s="38">
        <v>42122.14</v>
      </c>
    </row>
    <row r="641" spans="1:7" x14ac:dyDescent="0.35">
      <c r="A641" s="19" t="s">
        <v>17</v>
      </c>
      <c r="B641" s="19"/>
      <c r="C641" s="37">
        <v>45899</v>
      </c>
      <c r="D641" s="31" t="s">
        <v>885</v>
      </c>
      <c r="E641" s="31" t="s">
        <v>886</v>
      </c>
      <c r="F641" s="31" t="s">
        <v>160</v>
      </c>
      <c r="G641" s="38">
        <v>0</v>
      </c>
    </row>
    <row r="642" spans="1:7" x14ac:dyDescent="0.35">
      <c r="A642" s="19" t="s">
        <v>17</v>
      </c>
      <c r="B642" s="19"/>
      <c r="C642" s="37">
        <v>45899</v>
      </c>
      <c r="D642" s="31" t="s">
        <v>887</v>
      </c>
      <c r="E642" s="31" t="s">
        <v>178</v>
      </c>
      <c r="F642" s="31" t="s">
        <v>160</v>
      </c>
      <c r="G642" s="38">
        <v>0</v>
      </c>
    </row>
    <row r="643" spans="1:7" x14ac:dyDescent="0.35">
      <c r="A643" s="19" t="s">
        <v>17</v>
      </c>
      <c r="B643" s="19"/>
      <c r="C643" s="37">
        <v>45899</v>
      </c>
      <c r="D643" s="31" t="s">
        <v>888</v>
      </c>
      <c r="E643" s="31" t="s">
        <v>178</v>
      </c>
      <c r="F643" s="31" t="s">
        <v>160</v>
      </c>
      <c r="G643" s="38">
        <v>0</v>
      </c>
    </row>
    <row r="644" spans="1:7" x14ac:dyDescent="0.35">
      <c r="A644" s="19" t="s">
        <v>17</v>
      </c>
      <c r="B644" s="19"/>
      <c r="C644" s="37">
        <v>45899</v>
      </c>
      <c r="D644" s="31" t="s">
        <v>889</v>
      </c>
      <c r="E644" s="31" t="s">
        <v>178</v>
      </c>
      <c r="F644" s="31" t="s">
        <v>160</v>
      </c>
      <c r="G644" s="38">
        <v>0</v>
      </c>
    </row>
    <row r="645" spans="1:7" x14ac:dyDescent="0.35">
      <c r="A645" s="19" t="s">
        <v>17</v>
      </c>
      <c r="B645" s="19"/>
      <c r="C645" s="37">
        <v>45899</v>
      </c>
      <c r="D645" s="31" t="s">
        <v>890</v>
      </c>
      <c r="E645" s="31" t="s">
        <v>178</v>
      </c>
      <c r="F645" s="31" t="s">
        <v>160</v>
      </c>
      <c r="G645" s="38">
        <v>0</v>
      </c>
    </row>
    <row r="646" spans="1:7" x14ac:dyDescent="0.35">
      <c r="A646" s="19" t="s">
        <v>17</v>
      </c>
      <c r="B646" s="19"/>
      <c r="C646" s="37">
        <v>45899</v>
      </c>
      <c r="D646" s="31" t="s">
        <v>891</v>
      </c>
      <c r="E646" s="31" t="s">
        <v>178</v>
      </c>
      <c r="F646" s="31" t="s">
        <v>160</v>
      </c>
      <c r="G646" s="38">
        <v>0</v>
      </c>
    </row>
    <row r="647" spans="1:7" x14ac:dyDescent="0.35">
      <c r="A647" s="19" t="s">
        <v>17</v>
      </c>
      <c r="B647" s="19"/>
      <c r="C647" s="37">
        <v>45899</v>
      </c>
      <c r="D647" s="31" t="s">
        <v>892</v>
      </c>
      <c r="E647" s="31" t="s">
        <v>701</v>
      </c>
      <c r="F647" s="31" t="s">
        <v>160</v>
      </c>
      <c r="G647" s="38">
        <v>0</v>
      </c>
    </row>
    <row r="648" spans="1:7" x14ac:dyDescent="0.35">
      <c r="A648" s="19" t="s">
        <v>17</v>
      </c>
      <c r="B648" s="19"/>
      <c r="C648" s="37">
        <v>45899</v>
      </c>
      <c r="D648" s="31" t="s">
        <v>893</v>
      </c>
      <c r="E648" s="31" t="s">
        <v>701</v>
      </c>
      <c r="F648" s="31" t="s">
        <v>160</v>
      </c>
      <c r="G648" s="38">
        <v>0</v>
      </c>
    </row>
    <row r="649" spans="1:7" x14ac:dyDescent="0.35">
      <c r="A649" s="19" t="s">
        <v>17</v>
      </c>
      <c r="B649" s="19"/>
      <c r="C649" s="37">
        <v>45899</v>
      </c>
      <c r="D649" s="31" t="s">
        <v>894</v>
      </c>
      <c r="E649" s="31" t="s">
        <v>412</v>
      </c>
      <c r="F649" s="31" t="s">
        <v>160</v>
      </c>
      <c r="G649" s="38">
        <v>0</v>
      </c>
    </row>
    <row r="650" spans="1:7" x14ac:dyDescent="0.35">
      <c r="A650" s="19" t="s">
        <v>17</v>
      </c>
      <c r="B650" s="19"/>
      <c r="C650" s="37">
        <v>45899</v>
      </c>
      <c r="D650" s="31" t="s">
        <v>895</v>
      </c>
      <c r="E650" s="31" t="s">
        <v>896</v>
      </c>
      <c r="F650" s="31" t="s">
        <v>160</v>
      </c>
      <c r="G650" s="38">
        <v>0</v>
      </c>
    </row>
    <row r="651" spans="1:7" x14ac:dyDescent="0.35">
      <c r="A651" s="19" t="s">
        <v>17</v>
      </c>
      <c r="B651" s="19"/>
      <c r="C651" s="37">
        <v>45899</v>
      </c>
      <c r="D651" s="31" t="s">
        <v>897</v>
      </c>
      <c r="E651" s="31" t="s">
        <v>896</v>
      </c>
      <c r="F651" s="31" t="s">
        <v>160</v>
      </c>
      <c r="G651" s="38">
        <v>0</v>
      </c>
    </row>
    <row r="652" spans="1:7" x14ac:dyDescent="0.35">
      <c r="A652" s="19" t="s">
        <v>17</v>
      </c>
      <c r="B652" s="19"/>
      <c r="C652" s="37">
        <v>45899</v>
      </c>
      <c r="D652" s="31" t="s">
        <v>898</v>
      </c>
      <c r="E652" s="31" t="s">
        <v>137</v>
      </c>
      <c r="F652" s="31" t="s">
        <v>160</v>
      </c>
      <c r="G652" s="38">
        <v>0</v>
      </c>
    </row>
    <row r="653" spans="1:7" x14ac:dyDescent="0.35">
      <c r="A653" s="19" t="s">
        <v>17</v>
      </c>
      <c r="B653" s="19"/>
      <c r="C653" s="37">
        <v>45899</v>
      </c>
      <c r="D653" s="31" t="s">
        <v>899</v>
      </c>
      <c r="E653" s="31" t="s">
        <v>137</v>
      </c>
      <c r="F653" s="31" t="s">
        <v>160</v>
      </c>
      <c r="G653" s="38">
        <v>0</v>
      </c>
    </row>
    <row r="654" spans="1:7" x14ac:dyDescent="0.35">
      <c r="A654" s="19" t="s">
        <v>17</v>
      </c>
      <c r="B654" s="19"/>
      <c r="C654" s="37">
        <v>45899</v>
      </c>
      <c r="D654" s="31" t="s">
        <v>900</v>
      </c>
      <c r="E654" s="31" t="s">
        <v>137</v>
      </c>
      <c r="F654" s="31" t="s">
        <v>160</v>
      </c>
      <c r="G654" s="38">
        <v>0</v>
      </c>
    </row>
    <row r="655" spans="1:7" x14ac:dyDescent="0.35">
      <c r="A655" s="19" t="s">
        <v>17</v>
      </c>
      <c r="B655" s="19"/>
      <c r="C655" s="37">
        <v>45899</v>
      </c>
      <c r="D655" s="31" t="s">
        <v>901</v>
      </c>
      <c r="E655" s="31" t="s">
        <v>137</v>
      </c>
      <c r="F655" s="31" t="s">
        <v>160</v>
      </c>
      <c r="G655" s="38">
        <v>0</v>
      </c>
    </row>
    <row r="656" spans="1:7" x14ac:dyDescent="0.35">
      <c r="A656" s="19" t="s">
        <v>17</v>
      </c>
      <c r="B656" s="19"/>
      <c r="C656" s="37">
        <v>45899</v>
      </c>
      <c r="D656" s="31" t="s">
        <v>902</v>
      </c>
      <c r="E656" s="31" t="s">
        <v>903</v>
      </c>
      <c r="F656" s="31" t="s">
        <v>160</v>
      </c>
      <c r="G656" s="38">
        <v>0</v>
      </c>
    </row>
    <row r="657" spans="1:7" x14ac:dyDescent="0.35">
      <c r="A657" s="19" t="s">
        <v>17</v>
      </c>
      <c r="B657" s="19"/>
      <c r="C657" s="37">
        <v>45899</v>
      </c>
      <c r="D657" s="31" t="s">
        <v>904</v>
      </c>
      <c r="E657" s="31" t="s">
        <v>64</v>
      </c>
      <c r="F657" s="31" t="s">
        <v>160</v>
      </c>
      <c r="G657" s="38">
        <v>185760.69000000006</v>
      </c>
    </row>
    <row r="658" spans="1:7" x14ac:dyDescent="0.35">
      <c r="A658" s="19" t="s">
        <v>17</v>
      </c>
      <c r="B658" s="19"/>
      <c r="C658" s="37">
        <v>45899</v>
      </c>
      <c r="D658" s="31">
        <v>38651</v>
      </c>
      <c r="E658" s="31" t="s">
        <v>586</v>
      </c>
      <c r="F658" s="31" t="s">
        <v>160</v>
      </c>
      <c r="G658" s="38">
        <v>6400</v>
      </c>
    </row>
    <row r="659" spans="1:7" x14ac:dyDescent="0.35">
      <c r="A659" s="19" t="s">
        <v>17</v>
      </c>
      <c r="B659" s="19"/>
      <c r="C659" s="37">
        <v>45899</v>
      </c>
      <c r="D659" s="31" t="s">
        <v>905</v>
      </c>
      <c r="E659" s="31" t="s">
        <v>906</v>
      </c>
      <c r="F659" s="31" t="s">
        <v>160</v>
      </c>
      <c r="G659" s="38">
        <v>0</v>
      </c>
    </row>
    <row r="660" spans="1:7" x14ac:dyDescent="0.35">
      <c r="A660" s="19" t="s">
        <v>17</v>
      </c>
      <c r="B660" s="19"/>
      <c r="C660" s="37">
        <v>45899</v>
      </c>
      <c r="D660" s="31" t="s">
        <v>907</v>
      </c>
      <c r="E660" s="31" t="s">
        <v>59</v>
      </c>
      <c r="F660" s="31" t="s">
        <v>160</v>
      </c>
      <c r="G660" s="38">
        <v>55417.46</v>
      </c>
    </row>
    <row r="661" spans="1:7" x14ac:dyDescent="0.35">
      <c r="A661" s="19" t="s">
        <v>17</v>
      </c>
      <c r="B661" s="19"/>
      <c r="C661" s="37">
        <v>45899</v>
      </c>
      <c r="D661" s="31" t="s">
        <v>908</v>
      </c>
      <c r="E661" s="31" t="s">
        <v>59</v>
      </c>
      <c r="F661" s="31" t="s">
        <v>160</v>
      </c>
      <c r="G661" s="38">
        <v>0</v>
      </c>
    </row>
    <row r="662" spans="1:7" x14ac:dyDescent="0.35">
      <c r="A662" s="19" t="s">
        <v>17</v>
      </c>
      <c r="B662" s="19"/>
      <c r="C662" s="37">
        <v>45899</v>
      </c>
      <c r="D662" s="31" t="s">
        <v>909</v>
      </c>
      <c r="E662" s="31" t="s">
        <v>767</v>
      </c>
      <c r="F662" s="31" t="s">
        <v>160</v>
      </c>
      <c r="G662" s="38">
        <v>0</v>
      </c>
    </row>
    <row r="663" spans="1:7" x14ac:dyDescent="0.35">
      <c r="A663" s="19" t="s">
        <v>17</v>
      </c>
      <c r="B663" s="19"/>
      <c r="C663" s="37">
        <v>45899</v>
      </c>
      <c r="D663" s="31" t="s">
        <v>910</v>
      </c>
      <c r="E663" s="31" t="s">
        <v>767</v>
      </c>
      <c r="F663" s="31" t="s">
        <v>160</v>
      </c>
      <c r="G663" s="38">
        <v>0</v>
      </c>
    </row>
    <row r="664" spans="1:7" x14ac:dyDescent="0.35">
      <c r="A664" s="19" t="s">
        <v>17</v>
      </c>
      <c r="B664" s="19"/>
      <c r="C664" s="37">
        <v>45899</v>
      </c>
      <c r="D664" s="31" t="s">
        <v>911</v>
      </c>
      <c r="E664" s="31" t="s">
        <v>66</v>
      </c>
      <c r="F664" s="31" t="s">
        <v>160</v>
      </c>
      <c r="G664" s="38">
        <v>0</v>
      </c>
    </row>
    <row r="665" spans="1:7" x14ac:dyDescent="0.35">
      <c r="A665" s="19" t="s">
        <v>17</v>
      </c>
      <c r="B665" s="19"/>
      <c r="C665" s="37">
        <v>45899</v>
      </c>
      <c r="D665" s="31" t="s">
        <v>912</v>
      </c>
      <c r="E665" s="31" t="s">
        <v>107</v>
      </c>
      <c r="F665" s="31" t="s">
        <v>160</v>
      </c>
      <c r="G665" s="38">
        <v>0</v>
      </c>
    </row>
    <row r="666" spans="1:7" x14ac:dyDescent="0.35">
      <c r="A666" s="19" t="s">
        <v>17</v>
      </c>
      <c r="B666" s="19"/>
      <c r="C666" s="37">
        <v>45899</v>
      </c>
      <c r="D666" s="31" t="s">
        <v>913</v>
      </c>
      <c r="E666" s="31" t="s">
        <v>137</v>
      </c>
      <c r="F666" s="31" t="s">
        <v>160</v>
      </c>
      <c r="G666" s="38">
        <v>0</v>
      </c>
    </row>
    <row r="667" spans="1:7" x14ac:dyDescent="0.35">
      <c r="A667" s="19" t="s">
        <v>17</v>
      </c>
      <c r="B667" s="19"/>
      <c r="C667" s="37">
        <v>45899</v>
      </c>
      <c r="D667" s="31" t="s">
        <v>914</v>
      </c>
      <c r="E667" s="31" t="s">
        <v>915</v>
      </c>
      <c r="F667" s="31" t="s">
        <v>160</v>
      </c>
      <c r="G667" s="38">
        <v>0</v>
      </c>
    </row>
    <row r="668" spans="1:7" x14ac:dyDescent="0.35">
      <c r="A668" s="19" t="s">
        <v>17</v>
      </c>
      <c r="B668" s="19"/>
      <c r="C668" s="37">
        <v>45899</v>
      </c>
      <c r="D668" s="31" t="s">
        <v>916</v>
      </c>
      <c r="E668" s="31" t="s">
        <v>886</v>
      </c>
      <c r="F668" s="31" t="s">
        <v>160</v>
      </c>
      <c r="G668" s="38">
        <v>0</v>
      </c>
    </row>
    <row r="669" spans="1:7" x14ac:dyDescent="0.35">
      <c r="A669" s="19" t="s">
        <v>17</v>
      </c>
      <c r="B669" s="19"/>
      <c r="C669" s="37">
        <v>45899</v>
      </c>
      <c r="D669" s="31">
        <v>38791</v>
      </c>
      <c r="E669" s="31" t="s">
        <v>917</v>
      </c>
      <c r="F669" s="31" t="s">
        <v>160</v>
      </c>
      <c r="G669" s="38">
        <v>3128.97</v>
      </c>
    </row>
    <row r="670" spans="1:7" x14ac:dyDescent="0.35">
      <c r="A670" s="19" t="s">
        <v>17</v>
      </c>
      <c r="B670" s="19"/>
      <c r="C670" s="37">
        <v>45899</v>
      </c>
      <c r="D670" s="31">
        <v>38806</v>
      </c>
      <c r="E670" s="31" t="s">
        <v>918</v>
      </c>
      <c r="F670" s="31" t="s">
        <v>160</v>
      </c>
      <c r="G670" s="38">
        <v>90040</v>
      </c>
    </row>
    <row r="671" spans="1:7" x14ac:dyDescent="0.35">
      <c r="A671" s="19" t="s">
        <v>17</v>
      </c>
      <c r="B671" s="19"/>
      <c r="C671" s="37">
        <v>45899</v>
      </c>
      <c r="D671" s="31">
        <v>38817</v>
      </c>
      <c r="E671" s="31" t="s">
        <v>919</v>
      </c>
      <c r="F671" s="31" t="s">
        <v>160</v>
      </c>
      <c r="G671" s="38">
        <v>3338.15</v>
      </c>
    </row>
    <row r="672" spans="1:7" x14ac:dyDescent="0.35">
      <c r="A672" s="19" t="s">
        <v>17</v>
      </c>
      <c r="B672" s="19"/>
      <c r="C672" s="37">
        <v>45899</v>
      </c>
      <c r="D672" s="31">
        <v>38834</v>
      </c>
      <c r="E672" s="31" t="s">
        <v>920</v>
      </c>
      <c r="F672" s="31" t="s">
        <v>160</v>
      </c>
      <c r="G672" s="38">
        <v>29900</v>
      </c>
    </row>
    <row r="673" spans="1:7" x14ac:dyDescent="0.35">
      <c r="A673" s="19" t="s">
        <v>17</v>
      </c>
      <c r="B673" s="19"/>
      <c r="C673" s="37">
        <v>45899</v>
      </c>
      <c r="D673" s="31">
        <v>38839</v>
      </c>
      <c r="E673" s="31" t="s">
        <v>921</v>
      </c>
      <c r="F673" s="31" t="s">
        <v>160</v>
      </c>
      <c r="G673" s="38">
        <v>1498.38</v>
      </c>
    </row>
    <row r="674" spans="1:7" x14ac:dyDescent="0.35">
      <c r="A674" s="19" t="s">
        <v>17</v>
      </c>
      <c r="B674" s="19"/>
      <c r="C674" s="37">
        <v>45899</v>
      </c>
      <c r="D674" s="31">
        <v>38846</v>
      </c>
      <c r="E674" s="31" t="s">
        <v>922</v>
      </c>
      <c r="F674" s="31" t="s">
        <v>160</v>
      </c>
      <c r="G674" s="38">
        <v>5544.58</v>
      </c>
    </row>
    <row r="675" spans="1:7" x14ac:dyDescent="0.35">
      <c r="A675" s="19" t="s">
        <v>17</v>
      </c>
      <c r="B675" s="19"/>
      <c r="C675" s="37">
        <v>45899</v>
      </c>
      <c r="D675" s="31">
        <v>38850</v>
      </c>
      <c r="E675" s="31" t="s">
        <v>238</v>
      </c>
      <c r="F675" s="31" t="s">
        <v>160</v>
      </c>
      <c r="G675" s="38">
        <v>30081.78</v>
      </c>
    </row>
    <row r="676" spans="1:7" x14ac:dyDescent="0.35">
      <c r="A676" s="19" t="s">
        <v>17</v>
      </c>
      <c r="B676" s="19"/>
      <c r="C676" s="37">
        <v>45899</v>
      </c>
      <c r="D676" s="31">
        <v>38874</v>
      </c>
      <c r="E676" s="31" t="s">
        <v>923</v>
      </c>
      <c r="F676" s="31" t="s">
        <v>160</v>
      </c>
      <c r="G676" s="38">
        <v>705.25</v>
      </c>
    </row>
    <row r="677" spans="1:7" x14ac:dyDescent="0.35">
      <c r="A677" s="19" t="s">
        <v>17</v>
      </c>
      <c r="B677" s="19"/>
      <c r="C677" s="37">
        <v>45899</v>
      </c>
      <c r="D677" s="31">
        <v>38889</v>
      </c>
      <c r="E677" s="31" t="s">
        <v>107</v>
      </c>
      <c r="F677" s="31" t="s">
        <v>160</v>
      </c>
      <c r="G677" s="38">
        <v>2080.0300000000002</v>
      </c>
    </row>
    <row r="678" spans="1:7" x14ac:dyDescent="0.35">
      <c r="A678" s="19" t="s">
        <v>17</v>
      </c>
      <c r="B678" s="19"/>
      <c r="C678" s="37">
        <v>45899</v>
      </c>
      <c r="D678" s="31">
        <v>38953</v>
      </c>
      <c r="E678" s="31" t="s">
        <v>917</v>
      </c>
      <c r="F678" s="31" t="s">
        <v>160</v>
      </c>
      <c r="G678" s="38">
        <v>2254.2799999999997</v>
      </c>
    </row>
    <row r="679" spans="1:7" x14ac:dyDescent="0.35">
      <c r="A679" s="19" t="s">
        <v>17</v>
      </c>
      <c r="B679" s="19"/>
      <c r="C679" s="37">
        <v>45899</v>
      </c>
      <c r="D679" s="31">
        <v>38954</v>
      </c>
      <c r="E679" s="31" t="s">
        <v>924</v>
      </c>
      <c r="F679" s="31" t="s">
        <v>160</v>
      </c>
      <c r="G679" s="38">
        <v>10400</v>
      </c>
    </row>
    <row r="680" spans="1:7" x14ac:dyDescent="0.35">
      <c r="A680" s="19" t="s">
        <v>17</v>
      </c>
      <c r="B680" s="19"/>
      <c r="C680" s="37">
        <v>45899</v>
      </c>
      <c r="D680" s="31">
        <v>38970</v>
      </c>
      <c r="E680" s="31" t="s">
        <v>925</v>
      </c>
      <c r="F680" s="31" t="s">
        <v>160</v>
      </c>
      <c r="G680" s="38">
        <v>127.68</v>
      </c>
    </row>
    <row r="681" spans="1:7" x14ac:dyDescent="0.35">
      <c r="A681" s="19" t="s">
        <v>17</v>
      </c>
      <c r="B681" s="19"/>
      <c r="C681" s="37">
        <v>45899</v>
      </c>
      <c r="D681" s="31">
        <v>38981</v>
      </c>
      <c r="E681" s="31" t="s">
        <v>917</v>
      </c>
      <c r="F681" s="31" t="s">
        <v>160</v>
      </c>
      <c r="G681" s="38">
        <v>793.26</v>
      </c>
    </row>
    <row r="682" spans="1:7" x14ac:dyDescent="0.35">
      <c r="A682" s="19" t="s">
        <v>17</v>
      </c>
      <c r="B682" s="19"/>
      <c r="C682" s="37">
        <v>45899</v>
      </c>
      <c r="D682" s="31">
        <v>38983</v>
      </c>
      <c r="E682" s="31" t="s">
        <v>50</v>
      </c>
      <c r="F682" s="31" t="s">
        <v>160</v>
      </c>
      <c r="G682" s="38">
        <v>23686.73</v>
      </c>
    </row>
    <row r="683" spans="1:7" x14ac:dyDescent="0.35">
      <c r="A683" s="19" t="s">
        <v>17</v>
      </c>
      <c r="B683" s="19"/>
      <c r="C683" s="37">
        <v>45899</v>
      </c>
      <c r="D683" s="31">
        <v>38993</v>
      </c>
      <c r="E683" s="31" t="s">
        <v>55</v>
      </c>
      <c r="F683" s="31" t="s">
        <v>160</v>
      </c>
      <c r="G683" s="38">
        <v>32760</v>
      </c>
    </row>
    <row r="684" spans="1:7" x14ac:dyDescent="0.35">
      <c r="A684" s="19" t="s">
        <v>17</v>
      </c>
      <c r="B684" s="19"/>
      <c r="C684" s="37">
        <v>45899</v>
      </c>
      <c r="D684" s="31">
        <v>38996</v>
      </c>
      <c r="E684" s="31" t="s">
        <v>128</v>
      </c>
      <c r="F684" s="31" t="s">
        <v>160</v>
      </c>
      <c r="G684" s="38">
        <v>1777.5</v>
      </c>
    </row>
    <row r="685" spans="1:7" x14ac:dyDescent="0.35">
      <c r="A685" s="19" t="s">
        <v>17</v>
      </c>
      <c r="B685" s="19"/>
      <c r="C685" s="37">
        <v>45899</v>
      </c>
      <c r="D685" s="31">
        <v>39002</v>
      </c>
      <c r="E685" s="31" t="s">
        <v>926</v>
      </c>
      <c r="F685" s="31" t="s">
        <v>160</v>
      </c>
      <c r="G685" s="38">
        <v>30800</v>
      </c>
    </row>
    <row r="686" spans="1:7" x14ac:dyDescent="0.35">
      <c r="A686" s="19" t="s">
        <v>17</v>
      </c>
      <c r="B686" s="19"/>
      <c r="C686" s="37">
        <v>45899</v>
      </c>
      <c r="D686" s="31">
        <v>39010</v>
      </c>
      <c r="E686" s="31" t="s">
        <v>927</v>
      </c>
      <c r="F686" s="31" t="s">
        <v>160</v>
      </c>
      <c r="G686" s="38">
        <v>709.87</v>
      </c>
    </row>
    <row r="687" spans="1:7" x14ac:dyDescent="0.35">
      <c r="A687" s="19" t="s">
        <v>17</v>
      </c>
      <c r="B687" s="19"/>
      <c r="C687" s="37">
        <v>45899</v>
      </c>
      <c r="D687" s="31" t="s">
        <v>928</v>
      </c>
      <c r="E687" s="31" t="s">
        <v>929</v>
      </c>
      <c r="F687" s="31" t="s">
        <v>160</v>
      </c>
      <c r="G687" s="38">
        <v>0</v>
      </c>
    </row>
    <row r="688" spans="1:7" x14ac:dyDescent="0.35">
      <c r="A688" s="19" t="s">
        <v>17</v>
      </c>
      <c r="B688" s="19"/>
      <c r="C688" s="37">
        <v>45899</v>
      </c>
      <c r="D688" s="31" t="s">
        <v>930</v>
      </c>
      <c r="E688" s="31" t="s">
        <v>137</v>
      </c>
      <c r="F688" s="31" t="s">
        <v>160</v>
      </c>
      <c r="G688" s="38">
        <v>0</v>
      </c>
    </row>
    <row r="689" spans="1:7" x14ac:dyDescent="0.35">
      <c r="A689" s="19" t="s">
        <v>17</v>
      </c>
      <c r="B689" s="19"/>
      <c r="C689" s="37">
        <v>45899</v>
      </c>
      <c r="D689" s="31">
        <v>39090</v>
      </c>
      <c r="E689" s="31" t="s">
        <v>931</v>
      </c>
      <c r="F689" s="31" t="s">
        <v>160</v>
      </c>
      <c r="G689" s="38">
        <v>0</v>
      </c>
    </row>
    <row r="690" spans="1:7" x14ac:dyDescent="0.35">
      <c r="A690" s="19" t="s">
        <v>17</v>
      </c>
      <c r="B690" s="19"/>
      <c r="C690" s="37">
        <v>45899</v>
      </c>
      <c r="D690" s="31">
        <v>39123</v>
      </c>
      <c r="E690" s="31" t="s">
        <v>932</v>
      </c>
      <c r="F690" s="31" t="s">
        <v>160</v>
      </c>
      <c r="G690" s="38">
        <v>0</v>
      </c>
    </row>
    <row r="691" spans="1:7" x14ac:dyDescent="0.35">
      <c r="A691" s="19" t="s">
        <v>17</v>
      </c>
      <c r="B691" s="19"/>
      <c r="C691" s="37">
        <v>45900</v>
      </c>
      <c r="D691" s="31" t="s">
        <v>933</v>
      </c>
      <c r="E691" s="31" t="s">
        <v>53</v>
      </c>
      <c r="F691" s="31" t="s">
        <v>160</v>
      </c>
      <c r="G691" s="38">
        <v>0</v>
      </c>
    </row>
    <row r="692" spans="1:7" x14ac:dyDescent="0.35">
      <c r="A692" s="19" t="s">
        <v>17</v>
      </c>
      <c r="B692" s="19"/>
      <c r="C692" s="37">
        <v>45900</v>
      </c>
      <c r="D692" s="31" t="s">
        <v>934</v>
      </c>
      <c r="E692" s="31" t="s">
        <v>935</v>
      </c>
      <c r="F692" s="31" t="s">
        <v>160</v>
      </c>
      <c r="G692" s="38">
        <v>0</v>
      </c>
    </row>
    <row r="693" spans="1:7" x14ac:dyDescent="0.35">
      <c r="A693" s="19" t="s">
        <v>17</v>
      </c>
      <c r="B693" s="19"/>
      <c r="C693" s="37">
        <v>45900</v>
      </c>
      <c r="D693" s="31" t="s">
        <v>936</v>
      </c>
      <c r="E693" s="31" t="s">
        <v>246</v>
      </c>
      <c r="F693" s="31" t="s">
        <v>160</v>
      </c>
      <c r="G693" s="38">
        <v>1421.79</v>
      </c>
    </row>
    <row r="694" spans="1:7" x14ac:dyDescent="0.35">
      <c r="A694" s="19" t="s">
        <v>17</v>
      </c>
      <c r="B694" s="19"/>
      <c r="C694" s="37">
        <v>45900</v>
      </c>
      <c r="D694" s="31" t="s">
        <v>937</v>
      </c>
      <c r="E694" s="31" t="s">
        <v>253</v>
      </c>
      <c r="F694" s="31" t="s">
        <v>160</v>
      </c>
      <c r="G694" s="38">
        <v>92649.31</v>
      </c>
    </row>
    <row r="695" spans="1:7" x14ac:dyDescent="0.35">
      <c r="A695" s="19" t="s">
        <v>17</v>
      </c>
      <c r="B695" s="19"/>
      <c r="C695" s="37">
        <v>45900</v>
      </c>
      <c r="D695" s="31" t="s">
        <v>938</v>
      </c>
      <c r="E695" s="31" t="s">
        <v>253</v>
      </c>
      <c r="F695" s="31" t="s">
        <v>160</v>
      </c>
      <c r="G695" s="38">
        <v>77496.3</v>
      </c>
    </row>
    <row r="696" spans="1:7" x14ac:dyDescent="0.35">
      <c r="A696" s="19" t="s">
        <v>17</v>
      </c>
      <c r="B696" s="19"/>
      <c r="C696" s="37">
        <v>45900</v>
      </c>
      <c r="D696" s="31" t="s">
        <v>939</v>
      </c>
      <c r="E696" s="31" t="s">
        <v>253</v>
      </c>
      <c r="F696" s="31" t="s">
        <v>160</v>
      </c>
      <c r="G696" s="38">
        <v>158263.4</v>
      </c>
    </row>
    <row r="697" spans="1:7" x14ac:dyDescent="0.35">
      <c r="A697" s="19" t="s">
        <v>17</v>
      </c>
      <c r="B697" s="19"/>
      <c r="C697" s="37">
        <v>45900</v>
      </c>
      <c r="D697" s="31" t="s">
        <v>940</v>
      </c>
      <c r="E697" s="31" t="s">
        <v>253</v>
      </c>
      <c r="F697" s="31" t="s">
        <v>160</v>
      </c>
      <c r="G697" s="38">
        <v>24326.89</v>
      </c>
    </row>
    <row r="698" spans="1:7" x14ac:dyDescent="0.35">
      <c r="A698" s="19" t="s">
        <v>17</v>
      </c>
      <c r="B698" s="19"/>
      <c r="C698" s="37">
        <v>45900</v>
      </c>
      <c r="D698" s="31" t="s">
        <v>941</v>
      </c>
      <c r="E698" s="31" t="s">
        <v>50</v>
      </c>
      <c r="F698" s="31" t="s">
        <v>160</v>
      </c>
      <c r="G698" s="38">
        <v>0</v>
      </c>
    </row>
    <row r="699" spans="1:7" x14ac:dyDescent="0.35">
      <c r="A699" s="19" t="s">
        <v>17</v>
      </c>
      <c r="B699" s="19"/>
      <c r="C699" s="37">
        <v>45900</v>
      </c>
      <c r="D699" s="31">
        <v>32212</v>
      </c>
      <c r="E699" s="31" t="s">
        <v>253</v>
      </c>
      <c r="F699" s="31" t="s">
        <v>160</v>
      </c>
      <c r="G699" s="38">
        <v>0</v>
      </c>
    </row>
    <row r="700" spans="1:7" x14ac:dyDescent="0.35">
      <c r="A700" s="19" t="s">
        <v>17</v>
      </c>
      <c r="B700" s="19"/>
      <c r="C700" s="37">
        <v>45900</v>
      </c>
      <c r="D700" s="31" t="s">
        <v>942</v>
      </c>
      <c r="E700" s="31" t="s">
        <v>253</v>
      </c>
      <c r="F700" s="31" t="s">
        <v>160</v>
      </c>
      <c r="G700" s="38">
        <v>2127.5100000000002</v>
      </c>
    </row>
    <row r="701" spans="1:7" x14ac:dyDescent="0.35">
      <c r="A701" s="19" t="s">
        <v>17</v>
      </c>
      <c r="B701" s="19"/>
      <c r="C701" s="37">
        <v>45900</v>
      </c>
      <c r="D701" s="31" t="s">
        <v>943</v>
      </c>
      <c r="E701" s="31" t="s">
        <v>253</v>
      </c>
      <c r="F701" s="31" t="s">
        <v>160</v>
      </c>
      <c r="G701" s="38">
        <v>32809.47</v>
      </c>
    </row>
    <row r="702" spans="1:7" x14ac:dyDescent="0.35">
      <c r="A702" s="19" t="s">
        <v>17</v>
      </c>
      <c r="B702" s="19"/>
      <c r="C702" s="37">
        <v>45900</v>
      </c>
      <c r="D702" s="31" t="s">
        <v>944</v>
      </c>
      <c r="E702" s="31" t="s">
        <v>50</v>
      </c>
      <c r="F702" s="31" t="s">
        <v>160</v>
      </c>
      <c r="G702" s="38">
        <v>0</v>
      </c>
    </row>
    <row r="703" spans="1:7" x14ac:dyDescent="0.35">
      <c r="A703" s="19" t="s">
        <v>17</v>
      </c>
      <c r="B703" s="19"/>
      <c r="C703" s="37">
        <v>45900</v>
      </c>
      <c r="D703" s="31" t="s">
        <v>945</v>
      </c>
      <c r="E703" s="31" t="s">
        <v>50</v>
      </c>
      <c r="F703" s="31" t="s">
        <v>160</v>
      </c>
      <c r="G703" s="38">
        <v>0</v>
      </c>
    </row>
    <row r="704" spans="1:7" x14ac:dyDescent="0.35">
      <c r="A704" s="19" t="s">
        <v>17</v>
      </c>
      <c r="B704" s="19"/>
      <c r="C704" s="37">
        <v>45900</v>
      </c>
      <c r="D704" s="31" t="s">
        <v>946</v>
      </c>
      <c r="E704" s="31" t="s">
        <v>263</v>
      </c>
      <c r="F704" s="31" t="s">
        <v>160</v>
      </c>
      <c r="G704" s="38">
        <v>0</v>
      </c>
    </row>
    <row r="705" spans="1:7" x14ac:dyDescent="0.35">
      <c r="A705" s="19" t="s">
        <v>17</v>
      </c>
      <c r="B705" s="19"/>
      <c r="C705" s="37">
        <v>45900</v>
      </c>
      <c r="D705" s="31" t="s">
        <v>947</v>
      </c>
      <c r="E705" s="31" t="s">
        <v>50</v>
      </c>
      <c r="F705" s="31" t="s">
        <v>160</v>
      </c>
      <c r="G705" s="38">
        <v>0</v>
      </c>
    </row>
    <row r="706" spans="1:7" x14ac:dyDescent="0.35">
      <c r="A706" s="19" t="s">
        <v>17</v>
      </c>
      <c r="B706" s="19"/>
      <c r="C706" s="37">
        <v>45900</v>
      </c>
      <c r="D706" s="31" t="s">
        <v>948</v>
      </c>
      <c r="E706" s="31" t="s">
        <v>29</v>
      </c>
      <c r="F706" s="31" t="s">
        <v>160</v>
      </c>
      <c r="G706" s="38">
        <v>3259.34</v>
      </c>
    </row>
    <row r="707" spans="1:7" x14ac:dyDescent="0.35">
      <c r="A707" s="19" t="s">
        <v>17</v>
      </c>
      <c r="B707" s="19"/>
      <c r="C707" s="37">
        <v>45900</v>
      </c>
      <c r="D707" s="31" t="s">
        <v>949</v>
      </c>
      <c r="E707" s="31" t="s">
        <v>29</v>
      </c>
      <c r="F707" s="31" t="s">
        <v>160</v>
      </c>
      <c r="G707" s="38">
        <v>2593.4</v>
      </c>
    </row>
    <row r="708" spans="1:7" x14ac:dyDescent="0.35">
      <c r="A708" s="19" t="s">
        <v>17</v>
      </c>
      <c r="B708" s="19"/>
      <c r="C708" s="37">
        <v>45900</v>
      </c>
      <c r="D708" s="31" t="s">
        <v>950</v>
      </c>
      <c r="E708" s="31" t="s">
        <v>29</v>
      </c>
      <c r="F708" s="31" t="s">
        <v>160</v>
      </c>
      <c r="G708" s="38">
        <v>9081.1</v>
      </c>
    </row>
    <row r="709" spans="1:7" x14ac:dyDescent="0.35">
      <c r="A709" s="19" t="s">
        <v>17</v>
      </c>
      <c r="B709" s="19"/>
      <c r="C709" s="37">
        <v>45900</v>
      </c>
      <c r="D709" s="31" t="s">
        <v>951</v>
      </c>
      <c r="E709" s="31" t="s">
        <v>29</v>
      </c>
      <c r="F709" s="31" t="s">
        <v>160</v>
      </c>
      <c r="G709" s="38">
        <v>5745.5599999999995</v>
      </c>
    </row>
    <row r="710" spans="1:7" x14ac:dyDescent="0.35">
      <c r="A710" s="19" t="s">
        <v>17</v>
      </c>
      <c r="B710" s="19"/>
      <c r="C710" s="37">
        <v>45900</v>
      </c>
      <c r="D710" s="31" t="s">
        <v>952</v>
      </c>
      <c r="E710" s="31" t="s">
        <v>29</v>
      </c>
      <c r="F710" s="31" t="s">
        <v>160</v>
      </c>
      <c r="G710" s="38">
        <v>0</v>
      </c>
    </row>
    <row r="711" spans="1:7" x14ac:dyDescent="0.35">
      <c r="A711" s="19" t="s">
        <v>17</v>
      </c>
      <c r="B711" s="19"/>
      <c r="C711" s="37">
        <v>45900</v>
      </c>
      <c r="D711" s="31" t="s">
        <v>953</v>
      </c>
      <c r="E711" s="31" t="s">
        <v>29</v>
      </c>
      <c r="F711" s="31" t="s">
        <v>160</v>
      </c>
      <c r="G711" s="38">
        <v>2083.1799999999998</v>
      </c>
    </row>
    <row r="712" spans="1:7" x14ac:dyDescent="0.35">
      <c r="A712" s="19" t="s">
        <v>17</v>
      </c>
      <c r="B712" s="19"/>
      <c r="C712" s="37">
        <v>45900</v>
      </c>
      <c r="D712" s="31" t="s">
        <v>954</v>
      </c>
      <c r="E712" s="31" t="s">
        <v>29</v>
      </c>
      <c r="F712" s="31" t="s">
        <v>160</v>
      </c>
      <c r="G712" s="38">
        <v>2578.21</v>
      </c>
    </row>
    <row r="713" spans="1:7" x14ac:dyDescent="0.35">
      <c r="A713" s="19" t="s">
        <v>17</v>
      </c>
      <c r="B713" s="19"/>
      <c r="C713" s="37">
        <v>45900</v>
      </c>
      <c r="D713" s="31" t="s">
        <v>955</v>
      </c>
      <c r="E713" s="31" t="s">
        <v>29</v>
      </c>
      <c r="F713" s="31" t="s">
        <v>160</v>
      </c>
      <c r="G713" s="38">
        <v>3036.2499999999995</v>
      </c>
    </row>
    <row r="714" spans="1:7" x14ac:dyDescent="0.35">
      <c r="A714" s="19" t="s">
        <v>17</v>
      </c>
      <c r="B714" s="19"/>
      <c r="C714" s="37">
        <v>45900</v>
      </c>
      <c r="D714" s="31" t="s">
        <v>956</v>
      </c>
      <c r="E714" s="31" t="s">
        <v>50</v>
      </c>
      <c r="F714" s="31" t="s">
        <v>160</v>
      </c>
      <c r="G714" s="38">
        <v>0</v>
      </c>
    </row>
    <row r="715" spans="1:7" x14ac:dyDescent="0.35">
      <c r="A715" s="19" t="s">
        <v>17</v>
      </c>
      <c r="B715" s="19"/>
      <c r="C715" s="37">
        <v>45900</v>
      </c>
      <c r="D715" s="31" t="s">
        <v>957</v>
      </c>
      <c r="E715" s="31" t="s">
        <v>50</v>
      </c>
      <c r="F715" s="31" t="s">
        <v>160</v>
      </c>
      <c r="G715" s="38">
        <v>0</v>
      </c>
    </row>
    <row r="716" spans="1:7" x14ac:dyDescent="0.35">
      <c r="A716" s="19" t="s">
        <v>17</v>
      </c>
      <c r="B716" s="19"/>
      <c r="C716" s="37">
        <v>45900</v>
      </c>
      <c r="D716" s="31" t="s">
        <v>958</v>
      </c>
      <c r="E716" s="31" t="s">
        <v>36</v>
      </c>
      <c r="F716" s="31" t="s">
        <v>160</v>
      </c>
      <c r="G716" s="38">
        <v>1863.21</v>
      </c>
    </row>
    <row r="717" spans="1:7" x14ac:dyDescent="0.35">
      <c r="A717" s="19" t="s">
        <v>17</v>
      </c>
      <c r="B717" s="19"/>
      <c r="C717" s="37">
        <v>45900</v>
      </c>
      <c r="D717" s="31">
        <v>33826</v>
      </c>
      <c r="E717" s="31" t="s">
        <v>50</v>
      </c>
      <c r="F717" s="31" t="s">
        <v>160</v>
      </c>
      <c r="G717" s="38">
        <v>0</v>
      </c>
    </row>
    <row r="718" spans="1:7" x14ac:dyDescent="0.35">
      <c r="A718" s="19" t="s">
        <v>17</v>
      </c>
      <c r="B718" s="19"/>
      <c r="C718" s="37">
        <v>45900</v>
      </c>
      <c r="D718" s="31" t="s">
        <v>959</v>
      </c>
      <c r="E718" s="31" t="s">
        <v>50</v>
      </c>
      <c r="F718" s="31" t="s">
        <v>160</v>
      </c>
      <c r="G718" s="38">
        <v>0</v>
      </c>
    </row>
    <row r="719" spans="1:7" x14ac:dyDescent="0.35">
      <c r="A719" s="19" t="s">
        <v>17</v>
      </c>
      <c r="B719" s="19"/>
      <c r="C719" s="37">
        <v>45900</v>
      </c>
      <c r="D719" s="31" t="s">
        <v>960</v>
      </c>
      <c r="E719" s="31" t="s">
        <v>50</v>
      </c>
      <c r="F719" s="31" t="s">
        <v>160</v>
      </c>
      <c r="G719" s="38">
        <v>0</v>
      </c>
    </row>
    <row r="720" spans="1:7" x14ac:dyDescent="0.35">
      <c r="A720" s="19" t="s">
        <v>17</v>
      </c>
      <c r="B720" s="19"/>
      <c r="C720" s="37">
        <v>45900</v>
      </c>
      <c r="D720" s="31" t="s">
        <v>961</v>
      </c>
      <c r="E720" s="31" t="s">
        <v>50</v>
      </c>
      <c r="F720" s="31" t="s">
        <v>160</v>
      </c>
      <c r="G720" s="38">
        <v>0</v>
      </c>
    </row>
    <row r="721" spans="1:7" x14ac:dyDescent="0.35">
      <c r="A721" s="19" t="s">
        <v>17</v>
      </c>
      <c r="B721" s="19"/>
      <c r="C721" s="37">
        <v>45900</v>
      </c>
      <c r="D721" s="31" t="s">
        <v>962</v>
      </c>
      <c r="E721" s="31" t="s">
        <v>50</v>
      </c>
      <c r="F721" s="31" t="s">
        <v>160</v>
      </c>
      <c r="G721" s="38">
        <v>0</v>
      </c>
    </row>
    <row r="722" spans="1:7" x14ac:dyDescent="0.35">
      <c r="A722" s="19" t="s">
        <v>17</v>
      </c>
      <c r="B722" s="19"/>
      <c r="C722" s="37">
        <v>45900</v>
      </c>
      <c r="D722" s="31" t="s">
        <v>963</v>
      </c>
      <c r="E722" s="31" t="s">
        <v>50</v>
      </c>
      <c r="F722" s="31" t="s">
        <v>160</v>
      </c>
      <c r="G722" s="38">
        <v>0</v>
      </c>
    </row>
    <row r="723" spans="1:7" x14ac:dyDescent="0.35">
      <c r="A723" s="19" t="s">
        <v>17</v>
      </c>
      <c r="B723" s="19"/>
      <c r="C723" s="37">
        <v>45900</v>
      </c>
      <c r="D723" s="31">
        <v>33967</v>
      </c>
      <c r="E723" s="31" t="s">
        <v>50</v>
      </c>
      <c r="F723" s="31" t="s">
        <v>160</v>
      </c>
      <c r="G723" s="38">
        <v>0</v>
      </c>
    </row>
    <row r="724" spans="1:7" x14ac:dyDescent="0.35">
      <c r="A724" s="19" t="s">
        <v>17</v>
      </c>
      <c r="B724" s="19"/>
      <c r="C724" s="37">
        <v>45900</v>
      </c>
      <c r="D724" s="31">
        <v>33968</v>
      </c>
      <c r="E724" s="31" t="s">
        <v>50</v>
      </c>
      <c r="F724" s="31" t="s">
        <v>160</v>
      </c>
      <c r="G724" s="38">
        <v>0</v>
      </c>
    </row>
    <row r="725" spans="1:7" x14ac:dyDescent="0.35">
      <c r="A725" s="19" t="s">
        <v>17</v>
      </c>
      <c r="B725" s="19"/>
      <c r="C725" s="37">
        <v>45900</v>
      </c>
      <c r="D725" s="31" t="s">
        <v>964</v>
      </c>
      <c r="E725" s="31" t="s">
        <v>44</v>
      </c>
      <c r="F725" s="31" t="s">
        <v>160</v>
      </c>
      <c r="G725" s="38">
        <v>9207.6</v>
      </c>
    </row>
    <row r="726" spans="1:7" x14ac:dyDescent="0.35">
      <c r="A726" s="19" t="s">
        <v>17</v>
      </c>
      <c r="B726" s="19"/>
      <c r="C726" s="37">
        <v>45900</v>
      </c>
      <c r="D726" s="31" t="s">
        <v>965</v>
      </c>
      <c r="E726" s="31" t="s">
        <v>44</v>
      </c>
      <c r="F726" s="31" t="s">
        <v>160</v>
      </c>
      <c r="G726" s="38">
        <v>2790</v>
      </c>
    </row>
    <row r="727" spans="1:7" x14ac:dyDescent="0.35">
      <c r="A727" s="19" t="s">
        <v>17</v>
      </c>
      <c r="B727" s="19"/>
      <c r="C727" s="37">
        <v>45900</v>
      </c>
      <c r="D727" s="31" t="s">
        <v>966</v>
      </c>
      <c r="E727" s="31" t="s">
        <v>44</v>
      </c>
      <c r="F727" s="31" t="s">
        <v>160</v>
      </c>
      <c r="G727" s="38">
        <v>18662.900000000001</v>
      </c>
    </row>
    <row r="728" spans="1:7" x14ac:dyDescent="0.35">
      <c r="A728" s="19" t="s">
        <v>17</v>
      </c>
      <c r="B728" s="19"/>
      <c r="C728" s="37">
        <v>45900</v>
      </c>
      <c r="D728" s="31">
        <v>33999</v>
      </c>
      <c r="E728" s="31" t="s">
        <v>50</v>
      </c>
      <c r="F728" s="31" t="s">
        <v>160</v>
      </c>
      <c r="G728" s="38">
        <v>0</v>
      </c>
    </row>
    <row r="729" spans="1:7" x14ac:dyDescent="0.35">
      <c r="A729" s="19" t="s">
        <v>17</v>
      </c>
      <c r="B729" s="19"/>
      <c r="C729" s="37">
        <v>45900</v>
      </c>
      <c r="D729" s="31" t="s">
        <v>967</v>
      </c>
      <c r="E729" s="31" t="s">
        <v>44</v>
      </c>
      <c r="F729" s="31" t="s">
        <v>160</v>
      </c>
      <c r="G729" s="38">
        <v>14593.32</v>
      </c>
    </row>
    <row r="730" spans="1:7" x14ac:dyDescent="0.35">
      <c r="A730" s="19" t="s">
        <v>17</v>
      </c>
      <c r="B730" s="19"/>
      <c r="C730" s="37">
        <v>45900</v>
      </c>
      <c r="D730" s="31" t="s">
        <v>968</v>
      </c>
      <c r="E730" s="31" t="s">
        <v>44</v>
      </c>
      <c r="F730" s="31" t="s">
        <v>160</v>
      </c>
      <c r="G730" s="38">
        <v>3598.88</v>
      </c>
    </row>
    <row r="731" spans="1:7" x14ac:dyDescent="0.35">
      <c r="A731" s="19" t="s">
        <v>17</v>
      </c>
      <c r="B731" s="19"/>
      <c r="C731" s="37">
        <v>45900</v>
      </c>
      <c r="D731" s="31">
        <v>34128</v>
      </c>
      <c r="E731" s="31" t="s">
        <v>50</v>
      </c>
      <c r="F731" s="31" t="s">
        <v>160</v>
      </c>
      <c r="G731" s="38">
        <v>0</v>
      </c>
    </row>
    <row r="732" spans="1:7" x14ac:dyDescent="0.35">
      <c r="A732" s="19" t="s">
        <v>17</v>
      </c>
      <c r="B732" s="19"/>
      <c r="C732" s="37">
        <v>45900</v>
      </c>
      <c r="D732" s="31" t="s">
        <v>969</v>
      </c>
      <c r="E732" s="31" t="s">
        <v>970</v>
      </c>
      <c r="F732" s="31" t="s">
        <v>160</v>
      </c>
      <c r="G732" s="38">
        <v>1738.9900000000002</v>
      </c>
    </row>
    <row r="733" spans="1:7" x14ac:dyDescent="0.35">
      <c r="A733" s="19" t="s">
        <v>17</v>
      </c>
      <c r="B733" s="19"/>
      <c r="C733" s="37">
        <v>45900</v>
      </c>
      <c r="D733" s="31" t="s">
        <v>971</v>
      </c>
      <c r="E733" s="31" t="s">
        <v>343</v>
      </c>
      <c r="F733" s="31" t="s">
        <v>160</v>
      </c>
      <c r="G733" s="38">
        <v>0</v>
      </c>
    </row>
    <row r="734" spans="1:7" x14ac:dyDescent="0.35">
      <c r="A734" s="19" t="s">
        <v>17</v>
      </c>
      <c r="B734" s="19"/>
      <c r="C734" s="37">
        <v>45900</v>
      </c>
      <c r="D734" s="31" t="s">
        <v>972</v>
      </c>
      <c r="E734" s="31" t="s">
        <v>349</v>
      </c>
      <c r="F734" s="31" t="s">
        <v>160</v>
      </c>
      <c r="G734" s="38">
        <v>0</v>
      </c>
    </row>
    <row r="735" spans="1:7" x14ac:dyDescent="0.35">
      <c r="A735" s="19" t="s">
        <v>17</v>
      </c>
      <c r="B735" s="19"/>
      <c r="C735" s="37">
        <v>45900</v>
      </c>
      <c r="D735" s="31">
        <v>34529</v>
      </c>
      <c r="E735" s="31" t="s">
        <v>50</v>
      </c>
      <c r="F735" s="31" t="s">
        <v>160</v>
      </c>
      <c r="G735" s="38">
        <v>0</v>
      </c>
    </row>
    <row r="736" spans="1:7" x14ac:dyDescent="0.35">
      <c r="A736" s="19" t="s">
        <v>17</v>
      </c>
      <c r="B736" s="19"/>
      <c r="C736" s="37">
        <v>45900</v>
      </c>
      <c r="D736" s="31">
        <v>34753</v>
      </c>
      <c r="E736" s="31" t="s">
        <v>50</v>
      </c>
      <c r="F736" s="31" t="s">
        <v>160</v>
      </c>
      <c r="G736" s="38">
        <v>0</v>
      </c>
    </row>
    <row r="737" spans="1:7" x14ac:dyDescent="0.35">
      <c r="A737" s="19" t="s">
        <v>17</v>
      </c>
      <c r="B737" s="19"/>
      <c r="C737" s="37">
        <v>45900</v>
      </c>
      <c r="D737" s="31" t="s">
        <v>973</v>
      </c>
      <c r="E737" s="31" t="s">
        <v>974</v>
      </c>
      <c r="F737" s="31" t="s">
        <v>160</v>
      </c>
      <c r="G737" s="38">
        <v>0</v>
      </c>
    </row>
    <row r="738" spans="1:7" x14ac:dyDescent="0.35">
      <c r="A738" s="19" t="s">
        <v>17</v>
      </c>
      <c r="B738" s="19"/>
      <c r="C738" s="37">
        <v>45900</v>
      </c>
      <c r="D738" s="31" t="s">
        <v>975</v>
      </c>
      <c r="E738" s="31" t="s">
        <v>50</v>
      </c>
      <c r="F738" s="31" t="s">
        <v>160</v>
      </c>
      <c r="G738" s="38">
        <v>0</v>
      </c>
    </row>
    <row r="739" spans="1:7" x14ac:dyDescent="0.35">
      <c r="A739" s="19" t="s">
        <v>17</v>
      </c>
      <c r="B739" s="19"/>
      <c r="C739" s="37">
        <v>45900</v>
      </c>
      <c r="D739" s="31">
        <v>34768</v>
      </c>
      <c r="E739" s="31" t="s">
        <v>50</v>
      </c>
      <c r="F739" s="31" t="s">
        <v>160</v>
      </c>
      <c r="G739" s="38">
        <v>0</v>
      </c>
    </row>
    <row r="740" spans="1:7" x14ac:dyDescent="0.35">
      <c r="A740" s="19" t="s">
        <v>17</v>
      </c>
      <c r="B740" s="19"/>
      <c r="C740" s="37">
        <v>45900</v>
      </c>
      <c r="D740" s="31">
        <v>34769</v>
      </c>
      <c r="E740" s="31" t="s">
        <v>50</v>
      </c>
      <c r="F740" s="31" t="s">
        <v>160</v>
      </c>
      <c r="G740" s="38">
        <v>0</v>
      </c>
    </row>
    <row r="741" spans="1:7" x14ac:dyDescent="0.35">
      <c r="A741" s="19" t="s">
        <v>17</v>
      </c>
      <c r="B741" s="19"/>
      <c r="C741" s="37">
        <v>45900</v>
      </c>
      <c r="D741" s="31" t="s">
        <v>976</v>
      </c>
      <c r="E741" s="31" t="s">
        <v>387</v>
      </c>
      <c r="F741" s="31" t="s">
        <v>160</v>
      </c>
      <c r="G741" s="38">
        <v>350</v>
      </c>
    </row>
    <row r="742" spans="1:7" x14ac:dyDescent="0.35">
      <c r="A742" s="19" t="s">
        <v>17</v>
      </c>
      <c r="B742" s="19"/>
      <c r="C742" s="37">
        <v>45900</v>
      </c>
      <c r="D742" s="31" t="s">
        <v>977</v>
      </c>
      <c r="E742" s="31" t="s">
        <v>50</v>
      </c>
      <c r="F742" s="31" t="s">
        <v>160</v>
      </c>
      <c r="G742" s="38">
        <v>0</v>
      </c>
    </row>
    <row r="743" spans="1:7" x14ac:dyDescent="0.35">
      <c r="A743" s="19" t="s">
        <v>17</v>
      </c>
      <c r="B743" s="19"/>
      <c r="C743" s="37">
        <v>45900</v>
      </c>
      <c r="D743" s="31" t="s">
        <v>978</v>
      </c>
      <c r="E743" s="31" t="s">
        <v>408</v>
      </c>
      <c r="F743" s="31" t="s">
        <v>160</v>
      </c>
      <c r="G743" s="38">
        <v>9627.86</v>
      </c>
    </row>
    <row r="744" spans="1:7" x14ac:dyDescent="0.35">
      <c r="A744" s="19" t="s">
        <v>17</v>
      </c>
      <c r="B744" s="19"/>
      <c r="C744" s="37">
        <v>45900</v>
      </c>
      <c r="D744" s="31" t="s">
        <v>979</v>
      </c>
      <c r="E744" s="31" t="s">
        <v>408</v>
      </c>
      <c r="F744" s="31" t="s">
        <v>160</v>
      </c>
      <c r="G744" s="38">
        <v>12464.64</v>
      </c>
    </row>
    <row r="745" spans="1:7" x14ac:dyDescent="0.35">
      <c r="A745" s="19" t="s">
        <v>17</v>
      </c>
      <c r="B745" s="19"/>
      <c r="C745" s="37">
        <v>45900</v>
      </c>
      <c r="D745" s="31" t="s">
        <v>980</v>
      </c>
      <c r="E745" s="31" t="s">
        <v>48</v>
      </c>
      <c r="F745" s="31" t="s">
        <v>160</v>
      </c>
      <c r="G745" s="38">
        <v>0</v>
      </c>
    </row>
    <row r="746" spans="1:7" x14ac:dyDescent="0.35">
      <c r="A746" s="19" t="s">
        <v>17</v>
      </c>
      <c r="B746" s="19"/>
      <c r="C746" s="37">
        <v>45900</v>
      </c>
      <c r="D746" s="31" t="s">
        <v>981</v>
      </c>
      <c r="E746" s="31" t="s">
        <v>50</v>
      </c>
      <c r="F746" s="31" t="s">
        <v>160</v>
      </c>
      <c r="G746" s="38">
        <v>0</v>
      </c>
    </row>
    <row r="747" spans="1:7" x14ac:dyDescent="0.35">
      <c r="A747" s="19" t="s">
        <v>17</v>
      </c>
      <c r="B747" s="19"/>
      <c r="C747" s="37">
        <v>45900</v>
      </c>
      <c r="D747" s="31" t="s">
        <v>982</v>
      </c>
      <c r="E747" s="31" t="s">
        <v>50</v>
      </c>
      <c r="F747" s="31" t="s">
        <v>160</v>
      </c>
      <c r="G747" s="38">
        <v>0</v>
      </c>
    </row>
    <row r="748" spans="1:7" x14ac:dyDescent="0.35">
      <c r="A748" s="19" t="s">
        <v>17</v>
      </c>
      <c r="B748" s="19"/>
      <c r="C748" s="37">
        <v>45900</v>
      </c>
      <c r="D748" s="31" t="s">
        <v>983</v>
      </c>
      <c r="E748" s="31" t="s">
        <v>50</v>
      </c>
      <c r="F748" s="31" t="s">
        <v>160</v>
      </c>
      <c r="G748" s="38">
        <v>0</v>
      </c>
    </row>
    <row r="749" spans="1:7" x14ac:dyDescent="0.35">
      <c r="A749" s="19" t="s">
        <v>17</v>
      </c>
      <c r="B749" s="19"/>
      <c r="C749" s="37">
        <v>45900</v>
      </c>
      <c r="D749" s="31" t="s">
        <v>984</v>
      </c>
      <c r="E749" s="31" t="s">
        <v>50</v>
      </c>
      <c r="F749" s="31" t="s">
        <v>160</v>
      </c>
      <c r="G749" s="38">
        <v>0</v>
      </c>
    </row>
    <row r="750" spans="1:7" x14ac:dyDescent="0.35">
      <c r="A750" s="19" t="s">
        <v>17</v>
      </c>
      <c r="B750" s="19"/>
      <c r="C750" s="37">
        <v>45900</v>
      </c>
      <c r="D750" s="31" t="s">
        <v>985</v>
      </c>
      <c r="E750" s="31" t="s">
        <v>50</v>
      </c>
      <c r="F750" s="31" t="s">
        <v>160</v>
      </c>
      <c r="G750" s="38">
        <v>0</v>
      </c>
    </row>
    <row r="751" spans="1:7" x14ac:dyDescent="0.35">
      <c r="A751" s="19" t="s">
        <v>17</v>
      </c>
      <c r="B751" s="19"/>
      <c r="C751" s="37">
        <v>45900</v>
      </c>
      <c r="D751" s="31" t="s">
        <v>986</v>
      </c>
      <c r="E751" s="31" t="s">
        <v>50</v>
      </c>
      <c r="F751" s="31" t="s">
        <v>160</v>
      </c>
      <c r="G751" s="38">
        <v>0</v>
      </c>
    </row>
    <row r="752" spans="1:7" x14ac:dyDescent="0.35">
      <c r="A752" s="19" t="s">
        <v>17</v>
      </c>
      <c r="B752" s="19"/>
      <c r="C752" s="37">
        <v>45900</v>
      </c>
      <c r="D752" s="31" t="s">
        <v>987</v>
      </c>
      <c r="E752" s="31" t="s">
        <v>50</v>
      </c>
      <c r="F752" s="31" t="s">
        <v>160</v>
      </c>
      <c r="G752" s="38">
        <v>0</v>
      </c>
    </row>
    <row r="753" spans="1:7" x14ac:dyDescent="0.35">
      <c r="A753" s="19" t="s">
        <v>17</v>
      </c>
      <c r="B753" s="19"/>
      <c r="C753" s="37">
        <v>45900</v>
      </c>
      <c r="D753" s="31" t="s">
        <v>988</v>
      </c>
      <c r="E753" s="31" t="s">
        <v>727</v>
      </c>
      <c r="F753" s="31" t="s">
        <v>160</v>
      </c>
      <c r="G753" s="38">
        <v>1106.25</v>
      </c>
    </row>
    <row r="754" spans="1:7" x14ac:dyDescent="0.35">
      <c r="A754" s="19" t="s">
        <v>17</v>
      </c>
      <c r="B754" s="19"/>
      <c r="C754" s="37">
        <v>45900</v>
      </c>
      <c r="D754" s="31" t="s">
        <v>989</v>
      </c>
      <c r="E754" s="31" t="s">
        <v>970</v>
      </c>
      <c r="F754" s="31" t="s">
        <v>160</v>
      </c>
      <c r="G754" s="38">
        <v>0</v>
      </c>
    </row>
    <row r="755" spans="1:7" x14ac:dyDescent="0.35">
      <c r="A755" s="19" t="s">
        <v>17</v>
      </c>
      <c r="B755" s="19"/>
      <c r="C755" s="37">
        <v>45900</v>
      </c>
      <c r="D755" s="31">
        <v>35410</v>
      </c>
      <c r="E755" s="31" t="s">
        <v>990</v>
      </c>
      <c r="F755" s="31" t="s">
        <v>160</v>
      </c>
      <c r="G755" s="38">
        <v>0</v>
      </c>
    </row>
    <row r="756" spans="1:7" x14ac:dyDescent="0.35">
      <c r="A756" s="19" t="s">
        <v>17</v>
      </c>
      <c r="B756" s="19"/>
      <c r="C756" s="37">
        <v>45900</v>
      </c>
      <c r="D756" s="31">
        <v>35411</v>
      </c>
      <c r="E756" s="31" t="s">
        <v>990</v>
      </c>
      <c r="F756" s="31" t="s">
        <v>160</v>
      </c>
      <c r="G756" s="38">
        <v>0</v>
      </c>
    </row>
    <row r="757" spans="1:7" x14ac:dyDescent="0.35">
      <c r="A757" s="19" t="s">
        <v>17</v>
      </c>
      <c r="B757" s="19"/>
      <c r="C757" s="37">
        <v>45900</v>
      </c>
      <c r="D757" s="31" t="s">
        <v>991</v>
      </c>
      <c r="E757" s="31" t="s">
        <v>990</v>
      </c>
      <c r="F757" s="31" t="s">
        <v>160</v>
      </c>
      <c r="G757" s="38">
        <v>0</v>
      </c>
    </row>
    <row r="758" spans="1:7" x14ac:dyDescent="0.35">
      <c r="A758" s="19" t="s">
        <v>17</v>
      </c>
      <c r="B758" s="19"/>
      <c r="C758" s="37">
        <v>45900</v>
      </c>
      <c r="D758" s="31">
        <v>35413</v>
      </c>
      <c r="E758" s="31" t="s">
        <v>990</v>
      </c>
      <c r="F758" s="31" t="s">
        <v>160</v>
      </c>
      <c r="G758" s="38">
        <v>0</v>
      </c>
    </row>
    <row r="759" spans="1:7" x14ac:dyDescent="0.35">
      <c r="A759" s="19" t="s">
        <v>17</v>
      </c>
      <c r="B759" s="19"/>
      <c r="C759" s="37">
        <v>45900</v>
      </c>
      <c r="D759" s="31">
        <v>35414</v>
      </c>
      <c r="E759" s="31" t="s">
        <v>990</v>
      </c>
      <c r="F759" s="31" t="s">
        <v>160</v>
      </c>
      <c r="G759" s="38">
        <v>0</v>
      </c>
    </row>
    <row r="760" spans="1:7" x14ac:dyDescent="0.35">
      <c r="A760" s="19" t="s">
        <v>17</v>
      </c>
      <c r="B760" s="19"/>
      <c r="C760" s="37">
        <v>45900</v>
      </c>
      <c r="D760" s="31">
        <v>35415</v>
      </c>
      <c r="E760" s="31" t="s">
        <v>990</v>
      </c>
      <c r="F760" s="31" t="s">
        <v>160</v>
      </c>
      <c r="G760" s="38">
        <v>0</v>
      </c>
    </row>
    <row r="761" spans="1:7" x14ac:dyDescent="0.35">
      <c r="A761" s="19" t="s">
        <v>17</v>
      </c>
      <c r="B761" s="19"/>
      <c r="C761" s="37">
        <v>45900</v>
      </c>
      <c r="D761" s="31">
        <v>35416</v>
      </c>
      <c r="E761" s="31" t="s">
        <v>990</v>
      </c>
      <c r="F761" s="31" t="s">
        <v>160</v>
      </c>
      <c r="G761" s="38">
        <v>0</v>
      </c>
    </row>
    <row r="762" spans="1:7" x14ac:dyDescent="0.35">
      <c r="A762" s="19" t="s">
        <v>17</v>
      </c>
      <c r="B762" s="19"/>
      <c r="C762" s="37">
        <v>45900</v>
      </c>
      <c r="D762" s="31">
        <v>35417</v>
      </c>
      <c r="E762" s="31" t="s">
        <v>990</v>
      </c>
      <c r="F762" s="31" t="s">
        <v>160</v>
      </c>
      <c r="G762" s="38">
        <v>0</v>
      </c>
    </row>
    <row r="763" spans="1:7" x14ac:dyDescent="0.35">
      <c r="A763" s="19" t="s">
        <v>17</v>
      </c>
      <c r="B763" s="19"/>
      <c r="C763" s="37">
        <v>45900</v>
      </c>
      <c r="D763" s="31">
        <v>35418</v>
      </c>
      <c r="E763" s="31" t="s">
        <v>990</v>
      </c>
      <c r="F763" s="31" t="s">
        <v>160</v>
      </c>
      <c r="G763" s="38">
        <v>0</v>
      </c>
    </row>
    <row r="764" spans="1:7" x14ac:dyDescent="0.35">
      <c r="A764" s="19" t="s">
        <v>17</v>
      </c>
      <c r="B764" s="19"/>
      <c r="C764" s="37">
        <v>45900</v>
      </c>
      <c r="D764" s="31">
        <v>35419</v>
      </c>
      <c r="E764" s="31" t="s">
        <v>990</v>
      </c>
      <c r="F764" s="31" t="s">
        <v>160</v>
      </c>
      <c r="G764" s="38">
        <v>0</v>
      </c>
    </row>
    <row r="765" spans="1:7" x14ac:dyDescent="0.35">
      <c r="A765" s="19" t="s">
        <v>17</v>
      </c>
      <c r="B765" s="19"/>
      <c r="C765" s="37">
        <v>45900</v>
      </c>
      <c r="D765" s="31">
        <v>35420</v>
      </c>
      <c r="E765" s="31" t="s">
        <v>990</v>
      </c>
      <c r="F765" s="31" t="s">
        <v>160</v>
      </c>
      <c r="G765" s="38">
        <v>0</v>
      </c>
    </row>
    <row r="766" spans="1:7" x14ac:dyDescent="0.35">
      <c r="A766" s="19" t="s">
        <v>17</v>
      </c>
      <c r="B766" s="19"/>
      <c r="C766" s="37">
        <v>45900</v>
      </c>
      <c r="D766" s="31">
        <v>35421</v>
      </c>
      <c r="E766" s="31" t="s">
        <v>990</v>
      </c>
      <c r="F766" s="31" t="s">
        <v>160</v>
      </c>
      <c r="G766" s="38">
        <v>0</v>
      </c>
    </row>
    <row r="767" spans="1:7" x14ac:dyDescent="0.35">
      <c r="A767" s="19" t="s">
        <v>17</v>
      </c>
      <c r="B767" s="19"/>
      <c r="C767" s="37">
        <v>45900</v>
      </c>
      <c r="D767" s="31" t="s">
        <v>992</v>
      </c>
      <c r="E767" s="31" t="s">
        <v>990</v>
      </c>
      <c r="F767" s="31" t="s">
        <v>160</v>
      </c>
      <c r="G767" s="38">
        <v>0</v>
      </c>
    </row>
    <row r="768" spans="1:7" x14ac:dyDescent="0.35">
      <c r="A768" s="19" t="s">
        <v>17</v>
      </c>
      <c r="B768" s="19"/>
      <c r="C768" s="37">
        <v>45900</v>
      </c>
      <c r="D768" s="31" t="s">
        <v>993</v>
      </c>
      <c r="E768" s="31" t="s">
        <v>80</v>
      </c>
      <c r="F768" s="31" t="s">
        <v>160</v>
      </c>
      <c r="G768" s="38">
        <v>52357.24</v>
      </c>
    </row>
    <row r="769" spans="1:7" x14ac:dyDescent="0.35">
      <c r="A769" s="19" t="s">
        <v>17</v>
      </c>
      <c r="B769" s="19"/>
      <c r="C769" s="37">
        <v>45900</v>
      </c>
      <c r="D769" s="31">
        <v>35434</v>
      </c>
      <c r="E769" s="31" t="s">
        <v>80</v>
      </c>
      <c r="F769" s="31" t="s">
        <v>160</v>
      </c>
      <c r="G769" s="38">
        <v>13892.579999999998</v>
      </c>
    </row>
    <row r="770" spans="1:7" x14ac:dyDescent="0.35">
      <c r="A770" s="19" t="s">
        <v>17</v>
      </c>
      <c r="B770" s="19"/>
      <c r="C770" s="37">
        <v>45900</v>
      </c>
      <c r="D770" s="31" t="s">
        <v>994</v>
      </c>
      <c r="E770" s="31" t="s">
        <v>80</v>
      </c>
      <c r="F770" s="31" t="s">
        <v>160</v>
      </c>
      <c r="G770" s="38">
        <v>946.14</v>
      </c>
    </row>
    <row r="771" spans="1:7" x14ac:dyDescent="0.35">
      <c r="A771" s="19" t="s">
        <v>17</v>
      </c>
      <c r="B771" s="19"/>
      <c r="C771" s="37">
        <v>45900</v>
      </c>
      <c r="D771" s="31" t="s">
        <v>995</v>
      </c>
      <c r="E771" s="31" t="s">
        <v>80</v>
      </c>
      <c r="F771" s="31" t="s">
        <v>160</v>
      </c>
      <c r="G771" s="38">
        <v>332.38</v>
      </c>
    </row>
    <row r="772" spans="1:7" x14ac:dyDescent="0.35">
      <c r="A772" s="19" t="s">
        <v>17</v>
      </c>
      <c r="B772" s="19"/>
      <c r="C772" s="37">
        <v>45900</v>
      </c>
      <c r="D772" s="31" t="s">
        <v>996</v>
      </c>
      <c r="E772" s="31" t="s">
        <v>80</v>
      </c>
      <c r="F772" s="31" t="s">
        <v>160</v>
      </c>
      <c r="G772" s="38">
        <v>0</v>
      </c>
    </row>
    <row r="773" spans="1:7" x14ac:dyDescent="0.35">
      <c r="A773" s="19" t="s">
        <v>17</v>
      </c>
      <c r="B773" s="19"/>
      <c r="C773" s="37">
        <v>45900</v>
      </c>
      <c r="D773" s="31" t="s">
        <v>997</v>
      </c>
      <c r="E773" s="31" t="s">
        <v>80</v>
      </c>
      <c r="F773" s="31" t="s">
        <v>160</v>
      </c>
      <c r="G773" s="38">
        <v>43962.13</v>
      </c>
    </row>
    <row r="774" spans="1:7" x14ac:dyDescent="0.35">
      <c r="A774" s="19" t="s">
        <v>17</v>
      </c>
      <c r="B774" s="19"/>
      <c r="C774" s="37">
        <v>45900</v>
      </c>
      <c r="D774" s="31" t="s">
        <v>998</v>
      </c>
      <c r="E774" s="31" t="s">
        <v>80</v>
      </c>
      <c r="F774" s="31" t="s">
        <v>160</v>
      </c>
      <c r="G774" s="38">
        <v>435.65</v>
      </c>
    </row>
    <row r="775" spans="1:7" x14ac:dyDescent="0.35">
      <c r="A775" s="19" t="s">
        <v>17</v>
      </c>
      <c r="B775" s="19"/>
      <c r="C775" s="37">
        <v>45900</v>
      </c>
      <c r="D775" s="31" t="s">
        <v>999</v>
      </c>
      <c r="E775" s="31" t="s">
        <v>80</v>
      </c>
      <c r="F775" s="31" t="s">
        <v>160</v>
      </c>
      <c r="G775" s="38">
        <v>1342.06</v>
      </c>
    </row>
    <row r="776" spans="1:7" x14ac:dyDescent="0.35">
      <c r="A776" s="19" t="s">
        <v>17</v>
      </c>
      <c r="B776" s="19"/>
      <c r="C776" s="37">
        <v>45900</v>
      </c>
      <c r="D776" s="31" t="s">
        <v>1000</v>
      </c>
      <c r="E776" s="31" t="s">
        <v>80</v>
      </c>
      <c r="F776" s="31" t="s">
        <v>160</v>
      </c>
      <c r="G776" s="38">
        <v>3793.79</v>
      </c>
    </row>
    <row r="777" spans="1:7" x14ac:dyDescent="0.35">
      <c r="A777" s="19" t="s">
        <v>17</v>
      </c>
      <c r="B777" s="19"/>
      <c r="C777" s="37">
        <v>45900</v>
      </c>
      <c r="D777" s="31" t="s">
        <v>1001</v>
      </c>
      <c r="E777" s="31" t="s">
        <v>80</v>
      </c>
      <c r="F777" s="31" t="s">
        <v>160</v>
      </c>
      <c r="G777" s="38">
        <v>0</v>
      </c>
    </row>
    <row r="778" spans="1:7" x14ac:dyDescent="0.35">
      <c r="A778" s="19" t="s">
        <v>17</v>
      </c>
      <c r="B778" s="19"/>
      <c r="C778" s="37">
        <v>45900</v>
      </c>
      <c r="D778" s="31" t="s">
        <v>1002</v>
      </c>
      <c r="E778" s="31" t="s">
        <v>80</v>
      </c>
      <c r="F778" s="31" t="s">
        <v>160</v>
      </c>
      <c r="G778" s="38">
        <v>9777.1999999999989</v>
      </c>
    </row>
    <row r="779" spans="1:7" x14ac:dyDescent="0.35">
      <c r="A779" s="19" t="s">
        <v>17</v>
      </c>
      <c r="B779" s="19"/>
      <c r="C779" s="37">
        <v>45900</v>
      </c>
      <c r="D779" s="31" t="s">
        <v>1003</v>
      </c>
      <c r="E779" s="31" t="s">
        <v>447</v>
      </c>
      <c r="F779" s="31" t="s">
        <v>160</v>
      </c>
      <c r="G779" s="38">
        <v>9000</v>
      </c>
    </row>
    <row r="780" spans="1:7" x14ac:dyDescent="0.35">
      <c r="A780" s="19" t="s">
        <v>17</v>
      </c>
      <c r="B780" s="19"/>
      <c r="C780" s="37">
        <v>45900</v>
      </c>
      <c r="D780" s="31" t="s">
        <v>1004</v>
      </c>
      <c r="E780" s="31" t="s">
        <v>449</v>
      </c>
      <c r="F780" s="31" t="s">
        <v>160</v>
      </c>
      <c r="G780" s="38">
        <v>0</v>
      </c>
    </row>
    <row r="781" spans="1:7" x14ac:dyDescent="0.35">
      <c r="A781" s="19" t="s">
        <v>17</v>
      </c>
      <c r="B781" s="19"/>
      <c r="C781" s="37">
        <v>45900</v>
      </c>
      <c r="D781" s="31">
        <v>35494</v>
      </c>
      <c r="E781" s="31" t="s">
        <v>449</v>
      </c>
      <c r="F781" s="31" t="s">
        <v>160</v>
      </c>
      <c r="G781" s="38">
        <v>94</v>
      </c>
    </row>
    <row r="782" spans="1:7" x14ac:dyDescent="0.35">
      <c r="A782" s="19" t="s">
        <v>17</v>
      </c>
      <c r="B782" s="19"/>
      <c r="C782" s="37">
        <v>45900</v>
      </c>
      <c r="D782" s="31" t="s">
        <v>1005</v>
      </c>
      <c r="E782" s="31" t="s">
        <v>453</v>
      </c>
      <c r="F782" s="31" t="s">
        <v>160</v>
      </c>
      <c r="G782" s="38">
        <v>1073.28</v>
      </c>
    </row>
    <row r="783" spans="1:7" x14ac:dyDescent="0.35">
      <c r="A783" s="19" t="s">
        <v>17</v>
      </c>
      <c r="B783" s="19"/>
      <c r="C783" s="37">
        <v>45900</v>
      </c>
      <c r="D783" s="31" t="s">
        <v>1006</v>
      </c>
      <c r="E783" s="31" t="s">
        <v>453</v>
      </c>
      <c r="F783" s="31" t="s">
        <v>160</v>
      </c>
      <c r="G783" s="38">
        <v>1505.52</v>
      </c>
    </row>
    <row r="784" spans="1:7" x14ac:dyDescent="0.35">
      <c r="A784" s="19" t="s">
        <v>17</v>
      </c>
      <c r="B784" s="19"/>
      <c r="C784" s="37">
        <v>45900</v>
      </c>
      <c r="D784" s="31" t="s">
        <v>1007</v>
      </c>
      <c r="E784" s="31" t="s">
        <v>453</v>
      </c>
      <c r="F784" s="31" t="s">
        <v>160</v>
      </c>
      <c r="G784" s="38">
        <v>20938.5</v>
      </c>
    </row>
    <row r="785" spans="1:7" x14ac:dyDescent="0.35">
      <c r="A785" s="19" t="s">
        <v>17</v>
      </c>
      <c r="B785" s="19"/>
      <c r="C785" s="37">
        <v>45900</v>
      </c>
      <c r="D785" s="31" t="s">
        <v>1008</v>
      </c>
      <c r="E785" s="31" t="s">
        <v>453</v>
      </c>
      <c r="F785" s="31" t="s">
        <v>160</v>
      </c>
      <c r="G785" s="38">
        <v>45</v>
      </c>
    </row>
    <row r="786" spans="1:7" x14ac:dyDescent="0.35">
      <c r="A786" s="19" t="s">
        <v>17</v>
      </c>
      <c r="B786" s="19"/>
      <c r="C786" s="37">
        <v>45900</v>
      </c>
      <c r="D786" s="31" t="s">
        <v>1009</v>
      </c>
      <c r="E786" s="31" t="s">
        <v>453</v>
      </c>
      <c r="F786" s="31" t="s">
        <v>160</v>
      </c>
      <c r="G786" s="38">
        <v>0</v>
      </c>
    </row>
    <row r="787" spans="1:7" x14ac:dyDescent="0.35">
      <c r="A787" s="19" t="s">
        <v>17</v>
      </c>
      <c r="B787" s="19"/>
      <c r="C787" s="37">
        <v>45900</v>
      </c>
      <c r="D787" s="31" t="s">
        <v>1010</v>
      </c>
      <c r="E787" s="31" t="s">
        <v>453</v>
      </c>
      <c r="F787" s="31" t="s">
        <v>160</v>
      </c>
      <c r="G787" s="38">
        <v>2044.7199999999998</v>
      </c>
    </row>
    <row r="788" spans="1:7" x14ac:dyDescent="0.35">
      <c r="A788" s="19" t="s">
        <v>17</v>
      </c>
      <c r="B788" s="19"/>
      <c r="C788" s="37">
        <v>45900</v>
      </c>
      <c r="D788" s="31" t="s">
        <v>1011</v>
      </c>
      <c r="E788" s="31" t="s">
        <v>453</v>
      </c>
      <c r="F788" s="31" t="s">
        <v>160</v>
      </c>
      <c r="G788" s="38">
        <v>7436.4</v>
      </c>
    </row>
    <row r="789" spans="1:7" x14ac:dyDescent="0.35">
      <c r="A789" s="19" t="s">
        <v>17</v>
      </c>
      <c r="B789" s="19"/>
      <c r="C789" s="37">
        <v>45900</v>
      </c>
      <c r="D789" s="31" t="s">
        <v>1012</v>
      </c>
      <c r="E789" s="31" t="s">
        <v>453</v>
      </c>
      <c r="F789" s="31" t="s">
        <v>160</v>
      </c>
      <c r="G789" s="38">
        <v>24.28</v>
      </c>
    </row>
    <row r="790" spans="1:7" x14ac:dyDescent="0.35">
      <c r="A790" s="19" t="s">
        <v>17</v>
      </c>
      <c r="B790" s="19"/>
      <c r="C790" s="37">
        <v>45900</v>
      </c>
      <c r="D790" s="31" t="s">
        <v>1013</v>
      </c>
      <c r="E790" s="31" t="s">
        <v>453</v>
      </c>
      <c r="F790" s="31" t="s">
        <v>160</v>
      </c>
      <c r="G790" s="38">
        <v>2101.1999999999998</v>
      </c>
    </row>
    <row r="791" spans="1:7" x14ac:dyDescent="0.35">
      <c r="A791" s="19" t="s">
        <v>17</v>
      </c>
      <c r="B791" s="19"/>
      <c r="C791" s="37">
        <v>45900</v>
      </c>
      <c r="D791" s="31" t="s">
        <v>1014</v>
      </c>
      <c r="E791" s="31" t="s">
        <v>453</v>
      </c>
      <c r="F791" s="31" t="s">
        <v>160</v>
      </c>
      <c r="G791" s="38">
        <v>727.28</v>
      </c>
    </row>
    <row r="792" spans="1:7" x14ac:dyDescent="0.35">
      <c r="A792" s="19" t="s">
        <v>17</v>
      </c>
      <c r="B792" s="19"/>
      <c r="C792" s="37">
        <v>45900</v>
      </c>
      <c r="D792" s="31" t="s">
        <v>1015</v>
      </c>
      <c r="E792" s="31" t="s">
        <v>453</v>
      </c>
      <c r="F792" s="31" t="s">
        <v>160</v>
      </c>
      <c r="G792" s="38">
        <v>1873.33</v>
      </c>
    </row>
    <row r="793" spans="1:7" x14ac:dyDescent="0.35">
      <c r="A793" s="19" t="s">
        <v>17</v>
      </c>
      <c r="B793" s="19"/>
      <c r="C793" s="37">
        <v>45900</v>
      </c>
      <c r="D793" s="31" t="s">
        <v>1016</v>
      </c>
      <c r="E793" s="31" t="s">
        <v>134</v>
      </c>
      <c r="F793" s="31" t="s">
        <v>160</v>
      </c>
      <c r="G793" s="38">
        <v>2215.38</v>
      </c>
    </row>
    <row r="794" spans="1:7" x14ac:dyDescent="0.35">
      <c r="A794" s="19" t="s">
        <v>17</v>
      </c>
      <c r="B794" s="19"/>
      <c r="C794" s="37">
        <v>45900</v>
      </c>
      <c r="D794" s="31" t="s">
        <v>1017</v>
      </c>
      <c r="E794" s="31" t="s">
        <v>337</v>
      </c>
      <c r="F794" s="31" t="s">
        <v>160</v>
      </c>
      <c r="G794" s="38">
        <v>36902.449999999997</v>
      </c>
    </row>
    <row r="795" spans="1:7" x14ac:dyDescent="0.35">
      <c r="A795" s="19" t="s">
        <v>17</v>
      </c>
      <c r="B795" s="19"/>
      <c r="C795" s="37">
        <v>45900</v>
      </c>
      <c r="D795" s="31" t="s">
        <v>1018</v>
      </c>
      <c r="E795" s="31" t="s">
        <v>55</v>
      </c>
      <c r="F795" s="31" t="s">
        <v>160</v>
      </c>
      <c r="G795" s="38">
        <v>43790.32</v>
      </c>
    </row>
    <row r="796" spans="1:7" x14ac:dyDescent="0.35">
      <c r="A796" s="19" t="s">
        <v>17</v>
      </c>
      <c r="B796" s="19"/>
      <c r="C796" s="37">
        <v>45900</v>
      </c>
      <c r="D796" s="31" t="s">
        <v>1019</v>
      </c>
      <c r="E796" s="31" t="s">
        <v>55</v>
      </c>
      <c r="F796" s="31" t="s">
        <v>160</v>
      </c>
      <c r="G796" s="38">
        <v>302922.93</v>
      </c>
    </row>
    <row r="797" spans="1:7" x14ac:dyDescent="0.35">
      <c r="A797" s="19" t="s">
        <v>17</v>
      </c>
      <c r="B797" s="19"/>
      <c r="C797" s="37">
        <v>45900</v>
      </c>
      <c r="D797" s="31" t="s">
        <v>1020</v>
      </c>
      <c r="E797" s="31" t="s">
        <v>55</v>
      </c>
      <c r="F797" s="31" t="s">
        <v>160</v>
      </c>
      <c r="G797" s="38">
        <v>72755.139999999985</v>
      </c>
    </row>
    <row r="798" spans="1:7" x14ac:dyDescent="0.35">
      <c r="A798" s="19" t="s">
        <v>17</v>
      </c>
      <c r="B798" s="19"/>
      <c r="C798" s="37">
        <v>45900</v>
      </c>
      <c r="D798" s="31">
        <v>35797</v>
      </c>
      <c r="E798" s="31" t="s">
        <v>55</v>
      </c>
      <c r="F798" s="31" t="s">
        <v>160</v>
      </c>
      <c r="G798" s="38">
        <v>32609.54</v>
      </c>
    </row>
    <row r="799" spans="1:7" x14ac:dyDescent="0.35">
      <c r="A799" s="19" t="s">
        <v>17</v>
      </c>
      <c r="B799" s="19"/>
      <c r="C799" s="37">
        <v>45900</v>
      </c>
      <c r="D799" s="31">
        <v>35799</v>
      </c>
      <c r="E799" s="31" t="s">
        <v>55</v>
      </c>
      <c r="F799" s="31" t="s">
        <v>160</v>
      </c>
      <c r="G799" s="38">
        <v>0</v>
      </c>
    </row>
    <row r="800" spans="1:7" x14ac:dyDescent="0.35">
      <c r="A800" s="19" t="s">
        <v>17</v>
      </c>
      <c r="B800" s="19"/>
      <c r="C800" s="37">
        <v>45900</v>
      </c>
      <c r="D800" s="31" t="s">
        <v>1021</v>
      </c>
      <c r="E800" s="31" t="s">
        <v>55</v>
      </c>
      <c r="F800" s="31" t="s">
        <v>160</v>
      </c>
      <c r="G800" s="38">
        <v>43846.5</v>
      </c>
    </row>
    <row r="801" spans="1:7" x14ac:dyDescent="0.35">
      <c r="A801" s="19" t="s">
        <v>17</v>
      </c>
      <c r="B801" s="19"/>
      <c r="C801" s="37">
        <v>45900</v>
      </c>
      <c r="D801" s="31" t="s">
        <v>1022</v>
      </c>
      <c r="E801" s="31" t="s">
        <v>55</v>
      </c>
      <c r="F801" s="31" t="s">
        <v>160</v>
      </c>
      <c r="G801" s="38">
        <v>7530.8700000000008</v>
      </c>
    </row>
    <row r="802" spans="1:7" x14ac:dyDescent="0.35">
      <c r="A802" s="19" t="s">
        <v>17</v>
      </c>
      <c r="B802" s="19"/>
      <c r="C802" s="37">
        <v>45900</v>
      </c>
      <c r="D802" s="31">
        <v>35806</v>
      </c>
      <c r="E802" s="31" t="s">
        <v>55</v>
      </c>
      <c r="F802" s="31" t="s">
        <v>160</v>
      </c>
      <c r="G802" s="38">
        <v>9294.6599999999944</v>
      </c>
    </row>
    <row r="803" spans="1:7" x14ac:dyDescent="0.35">
      <c r="A803" s="19" t="s">
        <v>17</v>
      </c>
      <c r="B803" s="19"/>
      <c r="C803" s="37">
        <v>45900</v>
      </c>
      <c r="D803" s="31" t="s">
        <v>1023</v>
      </c>
      <c r="E803" s="31" t="s">
        <v>55</v>
      </c>
      <c r="F803" s="31" t="s">
        <v>160</v>
      </c>
      <c r="G803" s="38">
        <v>159237.71</v>
      </c>
    </row>
    <row r="804" spans="1:7" x14ac:dyDescent="0.35">
      <c r="A804" s="19" t="s">
        <v>17</v>
      </c>
      <c r="B804" s="19"/>
      <c r="C804" s="37">
        <v>45900</v>
      </c>
      <c r="D804" s="31" t="s">
        <v>1024</v>
      </c>
      <c r="E804" s="31" t="s">
        <v>55</v>
      </c>
      <c r="F804" s="31" t="s">
        <v>160</v>
      </c>
      <c r="G804" s="38">
        <v>32921.159999999996</v>
      </c>
    </row>
    <row r="805" spans="1:7" x14ac:dyDescent="0.35">
      <c r="A805" s="19" t="s">
        <v>17</v>
      </c>
      <c r="B805" s="19"/>
      <c r="C805" s="37">
        <v>45900</v>
      </c>
      <c r="D805" s="31">
        <v>35811</v>
      </c>
      <c r="E805" s="31" t="s">
        <v>55</v>
      </c>
      <c r="F805" s="31" t="s">
        <v>160</v>
      </c>
      <c r="G805" s="38">
        <v>80186.399999999994</v>
      </c>
    </row>
    <row r="806" spans="1:7" x14ac:dyDescent="0.35">
      <c r="A806" s="19" t="s">
        <v>17</v>
      </c>
      <c r="B806" s="19"/>
      <c r="C806" s="37">
        <v>45900</v>
      </c>
      <c r="D806" s="31" t="s">
        <v>1025</v>
      </c>
      <c r="E806" s="31" t="s">
        <v>55</v>
      </c>
      <c r="F806" s="31" t="s">
        <v>160</v>
      </c>
      <c r="G806" s="38">
        <v>10482.630000000001</v>
      </c>
    </row>
    <row r="807" spans="1:7" x14ac:dyDescent="0.35">
      <c r="A807" s="19" t="s">
        <v>17</v>
      </c>
      <c r="B807" s="19"/>
      <c r="C807" s="37">
        <v>45900</v>
      </c>
      <c r="D807" s="31" t="s">
        <v>1026</v>
      </c>
      <c r="E807" s="31" t="s">
        <v>1027</v>
      </c>
      <c r="F807" s="31" t="s">
        <v>160</v>
      </c>
      <c r="G807" s="38">
        <v>106.95</v>
      </c>
    </row>
    <row r="808" spans="1:7" x14ac:dyDescent="0.35">
      <c r="A808" s="19" t="s">
        <v>17</v>
      </c>
      <c r="B808" s="19"/>
      <c r="C808" s="37">
        <v>45900</v>
      </c>
      <c r="D808" s="31" t="s">
        <v>1028</v>
      </c>
      <c r="E808" s="31" t="s">
        <v>242</v>
      </c>
      <c r="F808" s="31" t="s">
        <v>160</v>
      </c>
      <c r="G808" s="38">
        <v>195091.02999999997</v>
      </c>
    </row>
    <row r="809" spans="1:7" x14ac:dyDescent="0.35">
      <c r="A809" s="19" t="s">
        <v>17</v>
      </c>
      <c r="B809" s="19"/>
      <c r="C809" s="37">
        <v>45900</v>
      </c>
      <c r="D809" s="31" t="s">
        <v>1029</v>
      </c>
      <c r="E809" s="31" t="s">
        <v>536</v>
      </c>
      <c r="F809" s="31" t="s">
        <v>160</v>
      </c>
      <c r="G809" s="38">
        <v>0</v>
      </c>
    </row>
    <row r="810" spans="1:7" x14ac:dyDescent="0.35">
      <c r="A810" s="19" t="s">
        <v>17</v>
      </c>
      <c r="B810" s="19"/>
      <c r="C810" s="37">
        <v>45900</v>
      </c>
      <c r="D810" s="31" t="s">
        <v>1030</v>
      </c>
      <c r="E810" s="31" t="s">
        <v>50</v>
      </c>
      <c r="F810" s="31" t="s">
        <v>160</v>
      </c>
      <c r="G810" s="38">
        <v>0</v>
      </c>
    </row>
    <row r="811" spans="1:7" x14ac:dyDescent="0.35">
      <c r="A811" s="19" t="s">
        <v>17</v>
      </c>
      <c r="B811" s="19"/>
      <c r="C811" s="37">
        <v>45900</v>
      </c>
      <c r="D811" s="31" t="s">
        <v>1031</v>
      </c>
      <c r="E811" s="31" t="s">
        <v>50</v>
      </c>
      <c r="F811" s="31" t="s">
        <v>160</v>
      </c>
      <c r="G811" s="38">
        <v>0</v>
      </c>
    </row>
    <row r="812" spans="1:7" x14ac:dyDescent="0.35">
      <c r="A812" s="19" t="s">
        <v>17</v>
      </c>
      <c r="B812" s="19"/>
      <c r="C812" s="37">
        <v>45900</v>
      </c>
      <c r="D812" s="31" t="s">
        <v>1032</v>
      </c>
      <c r="E812" s="31" t="s">
        <v>50</v>
      </c>
      <c r="F812" s="31" t="s">
        <v>160</v>
      </c>
      <c r="G812" s="38">
        <v>0</v>
      </c>
    </row>
    <row r="813" spans="1:7" x14ac:dyDescent="0.35">
      <c r="A813" s="19" t="s">
        <v>17</v>
      </c>
      <c r="B813" s="19"/>
      <c r="C813" s="37">
        <v>45900</v>
      </c>
      <c r="D813" s="31" t="s">
        <v>1033</v>
      </c>
      <c r="E813" s="31" t="s">
        <v>50</v>
      </c>
      <c r="F813" s="31" t="s">
        <v>160</v>
      </c>
      <c r="G813" s="38">
        <v>0</v>
      </c>
    </row>
    <row r="814" spans="1:7" x14ac:dyDescent="0.35">
      <c r="A814" s="19" t="s">
        <v>17</v>
      </c>
      <c r="B814" s="19"/>
      <c r="C814" s="37">
        <v>45900</v>
      </c>
      <c r="D814" s="31" t="s">
        <v>1034</v>
      </c>
      <c r="E814" s="31" t="s">
        <v>547</v>
      </c>
      <c r="F814" s="31" t="s">
        <v>160</v>
      </c>
      <c r="G814" s="38">
        <v>340</v>
      </c>
    </row>
    <row r="815" spans="1:7" x14ac:dyDescent="0.35">
      <c r="A815" s="19" t="s">
        <v>17</v>
      </c>
      <c r="B815" s="19"/>
      <c r="C815" s="37">
        <v>45900</v>
      </c>
      <c r="D815" s="31">
        <v>36196</v>
      </c>
      <c r="E815" s="31" t="s">
        <v>50</v>
      </c>
      <c r="F815" s="31" t="s">
        <v>160</v>
      </c>
      <c r="G815" s="38">
        <v>0</v>
      </c>
    </row>
    <row r="816" spans="1:7" x14ac:dyDescent="0.35">
      <c r="A816" s="19" t="s">
        <v>17</v>
      </c>
      <c r="B816" s="19"/>
      <c r="C816" s="37">
        <v>45900</v>
      </c>
      <c r="D816" s="31" t="s">
        <v>1035</v>
      </c>
      <c r="E816" s="31" t="s">
        <v>549</v>
      </c>
      <c r="F816" s="31" t="s">
        <v>160</v>
      </c>
      <c r="G816" s="38">
        <v>4260</v>
      </c>
    </row>
    <row r="817" spans="1:7" x14ac:dyDescent="0.35">
      <c r="A817" s="19" t="s">
        <v>17</v>
      </c>
      <c r="B817" s="19"/>
      <c r="C817" s="37">
        <v>45900</v>
      </c>
      <c r="D817" s="31">
        <v>36303</v>
      </c>
      <c r="E817" s="31" t="s">
        <v>50</v>
      </c>
      <c r="F817" s="31" t="s">
        <v>160</v>
      </c>
      <c r="G817" s="38">
        <v>0</v>
      </c>
    </row>
    <row r="818" spans="1:7" x14ac:dyDescent="0.35">
      <c r="A818" s="19" t="s">
        <v>17</v>
      </c>
      <c r="B818" s="19"/>
      <c r="C818" s="37">
        <v>45900</v>
      </c>
      <c r="D818" s="31" t="s">
        <v>1036</v>
      </c>
      <c r="E818" s="31" t="s">
        <v>559</v>
      </c>
      <c r="F818" s="31" t="s">
        <v>160</v>
      </c>
      <c r="G818" s="38">
        <v>0</v>
      </c>
    </row>
    <row r="819" spans="1:7" x14ac:dyDescent="0.35">
      <c r="A819" s="19" t="s">
        <v>17</v>
      </c>
      <c r="B819" s="19"/>
      <c r="C819" s="37">
        <v>45900</v>
      </c>
      <c r="D819" s="31" t="s">
        <v>1037</v>
      </c>
      <c r="E819" s="31" t="s">
        <v>50</v>
      </c>
      <c r="F819" s="31" t="s">
        <v>160</v>
      </c>
      <c r="G819" s="38">
        <v>0</v>
      </c>
    </row>
    <row r="820" spans="1:7" x14ac:dyDescent="0.35">
      <c r="A820" s="19" t="s">
        <v>17</v>
      </c>
      <c r="B820" s="19"/>
      <c r="C820" s="37">
        <v>45900</v>
      </c>
      <c r="D820" s="31">
        <v>36477</v>
      </c>
      <c r="E820" s="31" t="s">
        <v>50</v>
      </c>
      <c r="F820" s="31" t="s">
        <v>160</v>
      </c>
      <c r="G820" s="38">
        <v>0</v>
      </c>
    </row>
    <row r="821" spans="1:7" x14ac:dyDescent="0.35">
      <c r="A821" s="19" t="s">
        <v>17</v>
      </c>
      <c r="B821" s="19"/>
      <c r="C821" s="37">
        <v>45900</v>
      </c>
      <c r="D821" s="31">
        <v>36478</v>
      </c>
      <c r="E821" s="31" t="s">
        <v>50</v>
      </c>
      <c r="F821" s="31" t="s">
        <v>160</v>
      </c>
      <c r="G821" s="38">
        <v>0</v>
      </c>
    </row>
    <row r="822" spans="1:7" x14ac:dyDescent="0.35">
      <c r="A822" s="19" t="s">
        <v>17</v>
      </c>
      <c r="B822" s="19"/>
      <c r="C822" s="37">
        <v>45900</v>
      </c>
      <c r="D822" s="31">
        <v>36479</v>
      </c>
      <c r="E822" s="31" t="s">
        <v>50</v>
      </c>
      <c r="F822" s="31" t="s">
        <v>160</v>
      </c>
      <c r="G822" s="38">
        <v>0</v>
      </c>
    </row>
    <row r="823" spans="1:7" x14ac:dyDescent="0.35">
      <c r="A823" s="19" t="s">
        <v>17</v>
      </c>
      <c r="B823" s="19"/>
      <c r="C823" s="37">
        <v>45900</v>
      </c>
      <c r="D823" s="31">
        <v>36509</v>
      </c>
      <c r="E823" s="31" t="s">
        <v>50</v>
      </c>
      <c r="F823" s="31" t="s">
        <v>160</v>
      </c>
      <c r="G823" s="38">
        <v>0</v>
      </c>
    </row>
    <row r="824" spans="1:7" x14ac:dyDescent="0.35">
      <c r="A824" s="19" t="s">
        <v>17</v>
      </c>
      <c r="B824" s="19"/>
      <c r="C824" s="37">
        <v>45900</v>
      </c>
      <c r="D824" s="31">
        <v>36628</v>
      </c>
      <c r="E824" s="31" t="s">
        <v>50</v>
      </c>
      <c r="F824" s="31" t="s">
        <v>160</v>
      </c>
      <c r="G824" s="38">
        <v>0</v>
      </c>
    </row>
    <row r="825" spans="1:7" x14ac:dyDescent="0.35">
      <c r="A825" s="19" t="s">
        <v>17</v>
      </c>
      <c r="B825" s="19"/>
      <c r="C825" s="37">
        <v>45900</v>
      </c>
      <c r="D825" s="31">
        <v>36643</v>
      </c>
      <c r="E825" s="31" t="s">
        <v>80</v>
      </c>
      <c r="F825" s="31" t="s">
        <v>160</v>
      </c>
      <c r="G825" s="38">
        <v>346.5</v>
      </c>
    </row>
    <row r="826" spans="1:7" x14ac:dyDescent="0.35">
      <c r="A826" s="19" t="s">
        <v>17</v>
      </c>
      <c r="B826" s="19"/>
      <c r="C826" s="37">
        <v>45900</v>
      </c>
      <c r="D826" s="31" t="s">
        <v>1038</v>
      </c>
      <c r="E826" s="31" t="s">
        <v>597</v>
      </c>
      <c r="F826" s="31" t="s">
        <v>160</v>
      </c>
      <c r="G826" s="38">
        <v>1271.3599999999999</v>
      </c>
    </row>
    <row r="827" spans="1:7" x14ac:dyDescent="0.35">
      <c r="A827" s="19" t="s">
        <v>17</v>
      </c>
      <c r="B827" s="19"/>
      <c r="C827" s="37">
        <v>45900</v>
      </c>
      <c r="D827" s="31" t="s">
        <v>1039</v>
      </c>
      <c r="E827" s="31" t="s">
        <v>597</v>
      </c>
      <c r="F827" s="31" t="s">
        <v>160</v>
      </c>
      <c r="G827" s="38">
        <v>54.3</v>
      </c>
    </row>
    <row r="828" spans="1:7" x14ac:dyDescent="0.35">
      <c r="A828" s="19" t="s">
        <v>17</v>
      </c>
      <c r="B828" s="19"/>
      <c r="C828" s="37">
        <v>45900</v>
      </c>
      <c r="D828" s="31" t="s">
        <v>1040</v>
      </c>
      <c r="E828" s="31" t="s">
        <v>57</v>
      </c>
      <c r="F828" s="31" t="s">
        <v>160</v>
      </c>
      <c r="G828" s="38">
        <v>16476.370000000003</v>
      </c>
    </row>
    <row r="829" spans="1:7" x14ac:dyDescent="0.35">
      <c r="A829" s="19" t="s">
        <v>17</v>
      </c>
      <c r="B829" s="19"/>
      <c r="C829" s="37">
        <v>45900</v>
      </c>
      <c r="D829" s="31" t="s">
        <v>1041</v>
      </c>
      <c r="E829" s="31" t="s">
        <v>101</v>
      </c>
      <c r="F829" s="31" t="s">
        <v>160</v>
      </c>
      <c r="G829" s="38">
        <v>5445</v>
      </c>
    </row>
    <row r="830" spans="1:7" x14ac:dyDescent="0.35">
      <c r="A830" s="19" t="s">
        <v>17</v>
      </c>
      <c r="B830" s="19"/>
      <c r="C830" s="37">
        <v>45900</v>
      </c>
      <c r="D830" s="31">
        <v>36928</v>
      </c>
      <c r="E830" s="31" t="s">
        <v>50</v>
      </c>
      <c r="F830" s="31" t="s">
        <v>160</v>
      </c>
      <c r="G830" s="38">
        <v>0</v>
      </c>
    </row>
    <row r="831" spans="1:7" x14ac:dyDescent="0.35">
      <c r="A831" s="19" t="s">
        <v>17</v>
      </c>
      <c r="B831" s="19"/>
      <c r="C831" s="37">
        <v>45900</v>
      </c>
      <c r="D831" s="31" t="s">
        <v>1042</v>
      </c>
      <c r="E831" s="31" t="s">
        <v>1043</v>
      </c>
      <c r="F831" s="31" t="s">
        <v>160</v>
      </c>
      <c r="G831" s="38">
        <v>191.36</v>
      </c>
    </row>
    <row r="832" spans="1:7" x14ac:dyDescent="0.35">
      <c r="A832" s="19" t="s">
        <v>17</v>
      </c>
      <c r="B832" s="19"/>
      <c r="C832" s="37">
        <v>45900</v>
      </c>
      <c r="D832" s="31" t="s">
        <v>1044</v>
      </c>
      <c r="E832" s="31" t="s">
        <v>132</v>
      </c>
      <c r="F832" s="31" t="s">
        <v>160</v>
      </c>
      <c r="G832" s="38">
        <v>1014.75</v>
      </c>
    </row>
    <row r="833" spans="1:7" x14ac:dyDescent="0.35">
      <c r="A833" s="19" t="s">
        <v>17</v>
      </c>
      <c r="B833" s="19"/>
      <c r="C833" s="37">
        <v>45900</v>
      </c>
      <c r="D833" s="31" t="s">
        <v>1045</v>
      </c>
      <c r="E833" s="31" t="s">
        <v>148</v>
      </c>
      <c r="F833" s="31" t="s">
        <v>160</v>
      </c>
      <c r="G833" s="38">
        <v>64142.18</v>
      </c>
    </row>
    <row r="834" spans="1:7" x14ac:dyDescent="0.35">
      <c r="A834" s="19" t="s">
        <v>17</v>
      </c>
      <c r="B834" s="19"/>
      <c r="C834" s="37">
        <v>45900</v>
      </c>
      <c r="D834" s="31" t="s">
        <v>1046</v>
      </c>
      <c r="E834" s="31" t="s">
        <v>50</v>
      </c>
      <c r="F834" s="31" t="s">
        <v>160</v>
      </c>
      <c r="G834" s="38">
        <v>0</v>
      </c>
    </row>
    <row r="835" spans="1:7" x14ac:dyDescent="0.35">
      <c r="A835" s="19" t="s">
        <v>17</v>
      </c>
      <c r="B835" s="19"/>
      <c r="C835" s="37">
        <v>45900</v>
      </c>
      <c r="D835" s="31" t="s">
        <v>1047</v>
      </c>
      <c r="E835" s="31" t="s">
        <v>50</v>
      </c>
      <c r="F835" s="31" t="s">
        <v>160</v>
      </c>
      <c r="G835" s="38">
        <v>0</v>
      </c>
    </row>
    <row r="836" spans="1:7" x14ac:dyDescent="0.35">
      <c r="A836" s="19" t="s">
        <v>17</v>
      </c>
      <c r="B836" s="19"/>
      <c r="C836" s="37">
        <v>45900</v>
      </c>
      <c r="D836" s="31" t="s">
        <v>1048</v>
      </c>
      <c r="E836" s="31" t="s">
        <v>50</v>
      </c>
      <c r="F836" s="31" t="s">
        <v>160</v>
      </c>
      <c r="G836" s="38">
        <v>0</v>
      </c>
    </row>
    <row r="837" spans="1:7" x14ac:dyDescent="0.35">
      <c r="A837" s="19" t="s">
        <v>17</v>
      </c>
      <c r="B837" s="19"/>
      <c r="C837" s="37">
        <v>45900</v>
      </c>
      <c r="D837" s="31" t="s">
        <v>1049</v>
      </c>
      <c r="E837" s="31" t="s">
        <v>50</v>
      </c>
      <c r="F837" s="31" t="s">
        <v>160</v>
      </c>
      <c r="G837" s="38">
        <v>0</v>
      </c>
    </row>
    <row r="838" spans="1:7" x14ac:dyDescent="0.35">
      <c r="A838" s="19" t="s">
        <v>17</v>
      </c>
      <c r="B838" s="19"/>
      <c r="C838" s="37">
        <v>45900</v>
      </c>
      <c r="D838" s="31">
        <v>37354</v>
      </c>
      <c r="E838" s="31" t="s">
        <v>1050</v>
      </c>
      <c r="F838" s="31" t="s">
        <v>160</v>
      </c>
      <c r="G838" s="38">
        <v>6882</v>
      </c>
    </row>
    <row r="839" spans="1:7" x14ac:dyDescent="0.35">
      <c r="A839" s="19" t="s">
        <v>17</v>
      </c>
      <c r="B839" s="19"/>
      <c r="C839" s="37">
        <v>45900</v>
      </c>
      <c r="D839" s="31" t="s">
        <v>1051</v>
      </c>
      <c r="E839" s="31" t="s">
        <v>337</v>
      </c>
      <c r="F839" s="31" t="s">
        <v>160</v>
      </c>
      <c r="G839" s="38">
        <v>0</v>
      </c>
    </row>
    <row r="840" spans="1:7" x14ac:dyDescent="0.35">
      <c r="A840" s="19" t="s">
        <v>17</v>
      </c>
      <c r="B840" s="19"/>
      <c r="C840" s="37">
        <v>45900</v>
      </c>
      <c r="D840" s="31" t="s">
        <v>1052</v>
      </c>
      <c r="E840" s="31" t="s">
        <v>80</v>
      </c>
      <c r="F840" s="31" t="s">
        <v>160</v>
      </c>
      <c r="G840" s="38">
        <v>2085.5700000000002</v>
      </c>
    </row>
    <row r="841" spans="1:7" x14ac:dyDescent="0.35">
      <c r="A841" s="19" t="s">
        <v>17</v>
      </c>
      <c r="B841" s="19"/>
      <c r="C841" s="37">
        <v>45900</v>
      </c>
      <c r="D841" s="31">
        <v>37625</v>
      </c>
      <c r="E841" s="31" t="s">
        <v>725</v>
      </c>
      <c r="F841" s="31" t="s">
        <v>160</v>
      </c>
      <c r="G841" s="38">
        <v>2450.48</v>
      </c>
    </row>
    <row r="842" spans="1:7" x14ac:dyDescent="0.35">
      <c r="A842" s="19" t="s">
        <v>17</v>
      </c>
      <c r="B842" s="19"/>
      <c r="C842" s="37">
        <v>45900</v>
      </c>
      <c r="D842" s="31" t="s">
        <v>1053</v>
      </c>
      <c r="E842" s="31" t="s">
        <v>725</v>
      </c>
      <c r="F842" s="31" t="s">
        <v>160</v>
      </c>
      <c r="G842" s="38">
        <v>2989.9700000000003</v>
      </c>
    </row>
    <row r="843" spans="1:7" x14ac:dyDescent="0.35">
      <c r="A843" s="19" t="s">
        <v>17</v>
      </c>
      <c r="B843" s="19"/>
      <c r="C843" s="37">
        <v>45900</v>
      </c>
      <c r="D843" s="31">
        <v>37644</v>
      </c>
      <c r="E843" s="31" t="s">
        <v>725</v>
      </c>
      <c r="F843" s="31" t="s">
        <v>160</v>
      </c>
      <c r="G843" s="38">
        <v>17455.420000000002</v>
      </c>
    </row>
    <row r="844" spans="1:7" x14ac:dyDescent="0.35">
      <c r="A844" s="19" t="s">
        <v>17</v>
      </c>
      <c r="B844" s="19"/>
      <c r="C844" s="37">
        <v>45900</v>
      </c>
      <c r="D844" s="31" t="s">
        <v>1054</v>
      </c>
      <c r="E844" s="31" t="s">
        <v>725</v>
      </c>
      <c r="F844" s="31" t="s">
        <v>160</v>
      </c>
      <c r="G844" s="38">
        <v>1963.93</v>
      </c>
    </row>
    <row r="845" spans="1:7" x14ac:dyDescent="0.35">
      <c r="A845" s="19" t="s">
        <v>17</v>
      </c>
      <c r="B845" s="19"/>
      <c r="C845" s="37">
        <v>45900</v>
      </c>
      <c r="D845" s="31" t="s">
        <v>1055</v>
      </c>
      <c r="E845" s="31" t="s">
        <v>725</v>
      </c>
      <c r="F845" s="31" t="s">
        <v>160</v>
      </c>
      <c r="G845" s="38">
        <v>2638.99</v>
      </c>
    </row>
    <row r="846" spans="1:7" x14ac:dyDescent="0.35">
      <c r="A846" s="19" t="s">
        <v>17</v>
      </c>
      <c r="B846" s="19"/>
      <c r="C846" s="37">
        <v>45900</v>
      </c>
      <c r="D846" s="31" t="s">
        <v>1056</v>
      </c>
      <c r="E846" s="31" t="s">
        <v>883</v>
      </c>
      <c r="F846" s="31" t="s">
        <v>160</v>
      </c>
      <c r="G846" s="38">
        <v>0</v>
      </c>
    </row>
    <row r="847" spans="1:7" x14ac:dyDescent="0.35">
      <c r="A847" s="19" t="s">
        <v>17</v>
      </c>
      <c r="B847" s="19"/>
      <c r="C847" s="37">
        <v>45900</v>
      </c>
      <c r="D847" s="31" t="s">
        <v>1057</v>
      </c>
      <c r="E847" s="31" t="s">
        <v>883</v>
      </c>
      <c r="F847" s="31" t="s">
        <v>160</v>
      </c>
      <c r="G847" s="38">
        <v>0</v>
      </c>
    </row>
    <row r="848" spans="1:7" x14ac:dyDescent="0.35">
      <c r="A848" s="19" t="s">
        <v>17</v>
      </c>
      <c r="B848" s="19"/>
      <c r="C848" s="37">
        <v>45900</v>
      </c>
      <c r="D848" s="31" t="s">
        <v>1058</v>
      </c>
      <c r="E848" s="31" t="s">
        <v>741</v>
      </c>
      <c r="F848" s="31" t="s">
        <v>160</v>
      </c>
      <c r="G848" s="38">
        <v>19528.2</v>
      </c>
    </row>
    <row r="849" spans="1:7" x14ac:dyDescent="0.35">
      <c r="A849" s="19" t="s">
        <v>17</v>
      </c>
      <c r="B849" s="19"/>
      <c r="C849" s="37">
        <v>45900</v>
      </c>
      <c r="D849" s="31" t="s">
        <v>1059</v>
      </c>
      <c r="E849" s="31" t="s">
        <v>741</v>
      </c>
      <c r="F849" s="31" t="s">
        <v>160</v>
      </c>
      <c r="G849" s="38">
        <v>6266.52</v>
      </c>
    </row>
    <row r="850" spans="1:7" x14ac:dyDescent="0.35">
      <c r="A850" s="19" t="s">
        <v>17</v>
      </c>
      <c r="B850" s="19"/>
      <c r="C850" s="37">
        <v>45900</v>
      </c>
      <c r="D850" s="31" t="s">
        <v>1060</v>
      </c>
      <c r="E850" s="31" t="s">
        <v>741</v>
      </c>
      <c r="F850" s="31" t="s">
        <v>160</v>
      </c>
      <c r="G850" s="38">
        <v>645.04999999999995</v>
      </c>
    </row>
    <row r="851" spans="1:7" x14ac:dyDescent="0.35">
      <c r="A851" s="19" t="s">
        <v>17</v>
      </c>
      <c r="B851" s="19"/>
      <c r="C851" s="37">
        <v>45900</v>
      </c>
      <c r="D851" s="31" t="s">
        <v>1061</v>
      </c>
      <c r="E851" s="31" t="s">
        <v>741</v>
      </c>
      <c r="F851" s="31" t="s">
        <v>160</v>
      </c>
      <c r="G851" s="38">
        <v>500</v>
      </c>
    </row>
    <row r="852" spans="1:7" x14ac:dyDescent="0.35">
      <c r="A852" s="19" t="s">
        <v>17</v>
      </c>
      <c r="B852" s="19"/>
      <c r="C852" s="37">
        <v>45900</v>
      </c>
      <c r="D852" s="31">
        <v>37776</v>
      </c>
      <c r="E852" s="31" t="s">
        <v>741</v>
      </c>
      <c r="F852" s="31" t="s">
        <v>160</v>
      </c>
      <c r="G852" s="38">
        <v>288</v>
      </c>
    </row>
    <row r="853" spans="1:7" x14ac:dyDescent="0.35">
      <c r="A853" s="19" t="s">
        <v>17</v>
      </c>
      <c r="B853" s="19"/>
      <c r="C853" s="37">
        <v>45900</v>
      </c>
      <c r="D853" s="31" t="s">
        <v>1062</v>
      </c>
      <c r="E853" s="31" t="s">
        <v>741</v>
      </c>
      <c r="F853" s="31" t="s">
        <v>160</v>
      </c>
      <c r="G853" s="38">
        <v>54.54</v>
      </c>
    </row>
    <row r="854" spans="1:7" x14ac:dyDescent="0.35">
      <c r="A854" s="19" t="s">
        <v>17</v>
      </c>
      <c r="B854" s="19"/>
      <c r="C854" s="37">
        <v>45900</v>
      </c>
      <c r="D854" s="31">
        <v>37903</v>
      </c>
      <c r="E854" s="31" t="s">
        <v>284</v>
      </c>
      <c r="F854" s="31" t="s">
        <v>160</v>
      </c>
      <c r="G854" s="38">
        <v>945</v>
      </c>
    </row>
    <row r="855" spans="1:7" x14ac:dyDescent="0.35">
      <c r="A855" s="19" t="s">
        <v>17</v>
      </c>
      <c r="B855" s="19"/>
      <c r="C855" s="37">
        <v>45900</v>
      </c>
      <c r="D855" s="31" t="s">
        <v>1063</v>
      </c>
      <c r="E855" s="31" t="s">
        <v>284</v>
      </c>
      <c r="F855" s="31" t="s">
        <v>160</v>
      </c>
      <c r="G855" s="38">
        <v>153267.85999999999</v>
      </c>
    </row>
    <row r="856" spans="1:7" x14ac:dyDescent="0.35">
      <c r="A856" s="19" t="s">
        <v>17</v>
      </c>
      <c r="B856" s="19"/>
      <c r="C856" s="37">
        <v>45900</v>
      </c>
      <c r="D856" s="31" t="s">
        <v>1064</v>
      </c>
      <c r="E856" s="31" t="s">
        <v>59</v>
      </c>
      <c r="F856" s="31" t="s">
        <v>160</v>
      </c>
      <c r="G856" s="38">
        <v>32292</v>
      </c>
    </row>
    <row r="857" spans="1:7" x14ac:dyDescent="0.35">
      <c r="A857" s="19" t="s">
        <v>17</v>
      </c>
      <c r="B857" s="19"/>
      <c r="C857" s="37">
        <v>45900</v>
      </c>
      <c r="D857" s="31" t="s">
        <v>1065</v>
      </c>
      <c r="E857" s="31" t="s">
        <v>59</v>
      </c>
      <c r="F857" s="31" t="s">
        <v>160</v>
      </c>
      <c r="G857" s="38">
        <v>0</v>
      </c>
    </row>
    <row r="858" spans="1:7" x14ac:dyDescent="0.35">
      <c r="A858" s="19" t="s">
        <v>17</v>
      </c>
      <c r="B858" s="19"/>
      <c r="C858" s="37">
        <v>45900</v>
      </c>
      <c r="D858" s="31" t="s">
        <v>1066</v>
      </c>
      <c r="E858" s="31" t="s">
        <v>59</v>
      </c>
      <c r="F858" s="31" t="s">
        <v>160</v>
      </c>
      <c r="G858" s="38">
        <v>6113.98</v>
      </c>
    </row>
    <row r="859" spans="1:7" x14ac:dyDescent="0.35">
      <c r="A859" s="19" t="s">
        <v>17</v>
      </c>
      <c r="B859" s="19"/>
      <c r="C859" s="37">
        <v>45900</v>
      </c>
      <c r="D859" s="31" t="s">
        <v>1067</v>
      </c>
      <c r="E859" s="31" t="s">
        <v>59</v>
      </c>
      <c r="F859" s="31" t="s">
        <v>160</v>
      </c>
      <c r="G859" s="38">
        <v>29035.5</v>
      </c>
    </row>
    <row r="860" spans="1:7" x14ac:dyDescent="0.35">
      <c r="A860" s="19" t="s">
        <v>17</v>
      </c>
      <c r="B860" s="19"/>
      <c r="C860" s="37">
        <v>45900</v>
      </c>
      <c r="D860" s="31" t="s">
        <v>1068</v>
      </c>
      <c r="E860" s="31" t="s">
        <v>59</v>
      </c>
      <c r="F860" s="31" t="s">
        <v>160</v>
      </c>
      <c r="G860" s="38">
        <v>0</v>
      </c>
    </row>
    <row r="861" spans="1:7" x14ac:dyDescent="0.35">
      <c r="A861" s="19" t="s">
        <v>17</v>
      </c>
      <c r="B861" s="19"/>
      <c r="C861" s="37">
        <v>45900</v>
      </c>
      <c r="D861" s="31" t="s">
        <v>1069</v>
      </c>
      <c r="E861" s="31" t="s">
        <v>59</v>
      </c>
      <c r="F861" s="31" t="s">
        <v>160</v>
      </c>
      <c r="G861" s="38">
        <v>70297.64</v>
      </c>
    </row>
    <row r="862" spans="1:7" x14ac:dyDescent="0.35">
      <c r="A862" s="19" t="s">
        <v>17</v>
      </c>
      <c r="B862" s="19"/>
      <c r="C862" s="37">
        <v>45900</v>
      </c>
      <c r="D862" s="31" t="s">
        <v>1070</v>
      </c>
      <c r="E862" s="31" t="s">
        <v>59</v>
      </c>
      <c r="F862" s="31" t="s">
        <v>160</v>
      </c>
      <c r="G862" s="38">
        <v>0</v>
      </c>
    </row>
    <row r="863" spans="1:7" x14ac:dyDescent="0.35">
      <c r="A863" s="19" t="s">
        <v>17</v>
      </c>
      <c r="B863" s="19"/>
      <c r="C863" s="37">
        <v>45900</v>
      </c>
      <c r="D863" s="31" t="s">
        <v>1071</v>
      </c>
      <c r="E863" s="31" t="s">
        <v>59</v>
      </c>
      <c r="F863" s="31" t="s">
        <v>160</v>
      </c>
      <c r="G863" s="38">
        <v>1199.97</v>
      </c>
    </row>
    <row r="864" spans="1:7" x14ac:dyDescent="0.35">
      <c r="A864" s="19" t="s">
        <v>17</v>
      </c>
      <c r="B864" s="19"/>
      <c r="C864" s="37">
        <v>45900</v>
      </c>
      <c r="D864" s="31" t="s">
        <v>1072</v>
      </c>
      <c r="E864" s="31" t="s">
        <v>59</v>
      </c>
      <c r="F864" s="31" t="s">
        <v>160</v>
      </c>
      <c r="G864" s="38">
        <v>4182.88</v>
      </c>
    </row>
    <row r="865" spans="1:7" x14ac:dyDescent="0.35">
      <c r="A865" s="19" t="s">
        <v>17</v>
      </c>
      <c r="B865" s="19"/>
      <c r="C865" s="37">
        <v>45900</v>
      </c>
      <c r="D865" s="31" t="s">
        <v>1073</v>
      </c>
      <c r="E865" s="31" t="s">
        <v>1074</v>
      </c>
      <c r="F865" s="31" t="s">
        <v>160</v>
      </c>
      <c r="G865" s="38">
        <v>250</v>
      </c>
    </row>
    <row r="866" spans="1:7" x14ac:dyDescent="0.35">
      <c r="A866" s="19" t="s">
        <v>17</v>
      </c>
      <c r="B866" s="19"/>
      <c r="C866" s="37">
        <v>45900</v>
      </c>
      <c r="D866" s="31">
        <v>38055</v>
      </c>
      <c r="E866" s="31" t="s">
        <v>50</v>
      </c>
      <c r="F866" s="31" t="s">
        <v>160</v>
      </c>
      <c r="G866" s="38">
        <v>0</v>
      </c>
    </row>
    <row r="867" spans="1:7" x14ac:dyDescent="0.35">
      <c r="A867" s="19" t="s">
        <v>17</v>
      </c>
      <c r="B867" s="19"/>
      <c r="C867" s="37">
        <v>45900</v>
      </c>
      <c r="D867" s="31" t="s">
        <v>1075</v>
      </c>
      <c r="E867" s="31" t="s">
        <v>60</v>
      </c>
      <c r="F867" s="31" t="s">
        <v>160</v>
      </c>
      <c r="G867" s="38">
        <v>4610.8999999999996</v>
      </c>
    </row>
    <row r="868" spans="1:7" x14ac:dyDescent="0.35">
      <c r="A868" s="19" t="s">
        <v>17</v>
      </c>
      <c r="B868" s="19"/>
      <c r="C868" s="37">
        <v>45900</v>
      </c>
      <c r="D868" s="31">
        <v>38172</v>
      </c>
      <c r="E868" s="31" t="s">
        <v>50</v>
      </c>
      <c r="F868" s="31" t="s">
        <v>160</v>
      </c>
      <c r="G868" s="38">
        <v>0</v>
      </c>
    </row>
    <row r="869" spans="1:7" x14ac:dyDescent="0.35">
      <c r="A869" s="19" t="s">
        <v>17</v>
      </c>
      <c r="B869" s="19"/>
      <c r="C869" s="37">
        <v>45900</v>
      </c>
      <c r="D869" s="31" t="s">
        <v>1076</v>
      </c>
      <c r="E869" s="31" t="s">
        <v>50</v>
      </c>
      <c r="F869" s="31" t="s">
        <v>160</v>
      </c>
      <c r="G869" s="38">
        <v>0</v>
      </c>
    </row>
    <row r="870" spans="1:7" x14ac:dyDescent="0.35">
      <c r="A870" s="19" t="s">
        <v>17</v>
      </c>
      <c r="B870" s="19"/>
      <c r="C870" s="37">
        <v>45900</v>
      </c>
      <c r="D870" s="31" t="s">
        <v>1077</v>
      </c>
      <c r="E870" s="31" t="s">
        <v>50</v>
      </c>
      <c r="F870" s="31" t="s">
        <v>160</v>
      </c>
      <c r="G870" s="38">
        <v>0</v>
      </c>
    </row>
    <row r="871" spans="1:7" x14ac:dyDescent="0.35">
      <c r="A871" s="19" t="s">
        <v>17</v>
      </c>
      <c r="B871" s="19"/>
      <c r="C871" s="37">
        <v>45900</v>
      </c>
      <c r="D871" s="31" t="s">
        <v>1078</v>
      </c>
      <c r="E871" s="31" t="s">
        <v>50</v>
      </c>
      <c r="F871" s="31" t="s">
        <v>160</v>
      </c>
      <c r="G871" s="38">
        <v>0</v>
      </c>
    </row>
    <row r="872" spans="1:7" x14ac:dyDescent="0.35">
      <c r="A872" s="19" t="s">
        <v>17</v>
      </c>
      <c r="B872" s="19"/>
      <c r="C872" s="37">
        <v>45900</v>
      </c>
      <c r="D872" s="31" t="s">
        <v>1079</v>
      </c>
      <c r="E872" s="31" t="s">
        <v>50</v>
      </c>
      <c r="F872" s="31" t="s">
        <v>160</v>
      </c>
      <c r="G872" s="38">
        <v>0</v>
      </c>
    </row>
    <row r="873" spans="1:7" x14ac:dyDescent="0.35">
      <c r="A873" s="19" t="s">
        <v>17</v>
      </c>
      <c r="B873" s="19"/>
      <c r="C873" s="37">
        <v>45900</v>
      </c>
      <c r="D873" s="31">
        <v>38215</v>
      </c>
      <c r="E873" s="31" t="s">
        <v>1080</v>
      </c>
      <c r="F873" s="31" t="s">
        <v>160</v>
      </c>
      <c r="G873" s="38">
        <v>7903.98</v>
      </c>
    </row>
    <row r="874" spans="1:7" x14ac:dyDescent="0.35">
      <c r="A874" s="19" t="s">
        <v>17</v>
      </c>
      <c r="B874" s="19"/>
      <c r="C874" s="37">
        <v>45900</v>
      </c>
      <c r="D874" s="31" t="s">
        <v>1081</v>
      </c>
      <c r="E874" s="31" t="s">
        <v>50</v>
      </c>
      <c r="F874" s="31" t="s">
        <v>160</v>
      </c>
      <c r="G874" s="38">
        <v>0</v>
      </c>
    </row>
    <row r="875" spans="1:7" x14ac:dyDescent="0.35">
      <c r="A875" s="19" t="s">
        <v>17</v>
      </c>
      <c r="B875" s="19"/>
      <c r="C875" s="37">
        <v>45900</v>
      </c>
      <c r="D875" s="31" t="s">
        <v>1082</v>
      </c>
      <c r="E875" s="31" t="s">
        <v>50</v>
      </c>
      <c r="F875" s="31" t="s">
        <v>160</v>
      </c>
      <c r="G875" s="38">
        <v>0</v>
      </c>
    </row>
    <row r="876" spans="1:7" x14ac:dyDescent="0.35">
      <c r="A876" s="19" t="s">
        <v>17</v>
      </c>
      <c r="B876" s="19"/>
      <c r="C876" s="37">
        <v>45900</v>
      </c>
      <c r="D876" s="31" t="s">
        <v>1083</v>
      </c>
      <c r="E876" s="31" t="s">
        <v>50</v>
      </c>
      <c r="F876" s="31" t="s">
        <v>160</v>
      </c>
      <c r="G876" s="38">
        <v>0</v>
      </c>
    </row>
    <row r="877" spans="1:7" x14ac:dyDescent="0.35">
      <c r="A877" s="19" t="s">
        <v>17</v>
      </c>
      <c r="B877" s="19"/>
      <c r="C877" s="37">
        <v>45900</v>
      </c>
      <c r="D877" s="31" t="s">
        <v>1084</v>
      </c>
      <c r="E877" s="31" t="s">
        <v>50</v>
      </c>
      <c r="F877" s="31" t="s">
        <v>160</v>
      </c>
      <c r="G877" s="38">
        <v>0</v>
      </c>
    </row>
    <row r="878" spans="1:7" x14ac:dyDescent="0.35">
      <c r="A878" s="19" t="s">
        <v>17</v>
      </c>
      <c r="B878" s="19"/>
      <c r="C878" s="37">
        <v>45900</v>
      </c>
      <c r="D878" s="31" t="s">
        <v>1085</v>
      </c>
      <c r="E878" s="31" t="s">
        <v>50</v>
      </c>
      <c r="F878" s="31" t="s">
        <v>160</v>
      </c>
      <c r="G878" s="38">
        <v>0</v>
      </c>
    </row>
    <row r="879" spans="1:7" x14ac:dyDescent="0.35">
      <c r="A879" s="19" t="s">
        <v>17</v>
      </c>
      <c r="B879" s="19"/>
      <c r="C879" s="37">
        <v>45900</v>
      </c>
      <c r="D879" s="31">
        <v>38262</v>
      </c>
      <c r="E879" s="31" t="s">
        <v>177</v>
      </c>
      <c r="F879" s="31" t="s">
        <v>160</v>
      </c>
      <c r="G879" s="38">
        <v>2800.02</v>
      </c>
    </row>
    <row r="880" spans="1:7" x14ac:dyDescent="0.35">
      <c r="A880" s="19" t="s">
        <v>17</v>
      </c>
      <c r="B880" s="19"/>
      <c r="C880" s="37">
        <v>45900</v>
      </c>
      <c r="D880" s="31" t="s">
        <v>1086</v>
      </c>
      <c r="E880" s="31" t="s">
        <v>177</v>
      </c>
      <c r="F880" s="31" t="s">
        <v>160</v>
      </c>
      <c r="G880" s="38">
        <v>19600.199999999997</v>
      </c>
    </row>
    <row r="881" spans="1:7" x14ac:dyDescent="0.35">
      <c r="A881" s="19" t="s">
        <v>17</v>
      </c>
      <c r="B881" s="19"/>
      <c r="C881" s="37">
        <v>45900</v>
      </c>
      <c r="D881" s="31">
        <v>38267</v>
      </c>
      <c r="E881" s="31" t="s">
        <v>177</v>
      </c>
      <c r="F881" s="31" t="s">
        <v>160</v>
      </c>
      <c r="G881" s="38">
        <v>7385.8899999999994</v>
      </c>
    </row>
    <row r="882" spans="1:7" x14ac:dyDescent="0.35">
      <c r="A882" s="19" t="s">
        <v>17</v>
      </c>
      <c r="B882" s="19"/>
      <c r="C882" s="37">
        <v>45900</v>
      </c>
      <c r="D882" s="31">
        <v>38317</v>
      </c>
      <c r="E882" s="31" t="s">
        <v>1087</v>
      </c>
      <c r="F882" s="31" t="s">
        <v>160</v>
      </c>
      <c r="G882" s="38">
        <v>43245.59</v>
      </c>
    </row>
    <row r="883" spans="1:7" x14ac:dyDescent="0.35">
      <c r="A883" s="19" t="s">
        <v>17</v>
      </c>
      <c r="B883" s="19"/>
      <c r="C883" s="37">
        <v>45900</v>
      </c>
      <c r="D883" s="31" t="s">
        <v>1088</v>
      </c>
      <c r="E883" s="31" t="s">
        <v>48</v>
      </c>
      <c r="F883" s="31" t="s">
        <v>160</v>
      </c>
      <c r="G883" s="38">
        <v>747.5</v>
      </c>
    </row>
    <row r="884" spans="1:7" x14ac:dyDescent="0.35">
      <c r="A884" s="19" t="s">
        <v>17</v>
      </c>
      <c r="B884" s="19"/>
      <c r="C884" s="37">
        <v>45900</v>
      </c>
      <c r="D884" s="31" t="s">
        <v>1089</v>
      </c>
      <c r="E884" s="31" t="s">
        <v>48</v>
      </c>
      <c r="F884" s="31" t="s">
        <v>160</v>
      </c>
      <c r="G884" s="38">
        <v>813.28</v>
      </c>
    </row>
    <row r="885" spans="1:7" x14ac:dyDescent="0.35">
      <c r="A885" s="19" t="s">
        <v>17</v>
      </c>
      <c r="B885" s="19"/>
      <c r="C885" s="37">
        <v>45900</v>
      </c>
      <c r="D885" s="31">
        <v>38407</v>
      </c>
      <c r="E885" s="31" t="s">
        <v>59</v>
      </c>
      <c r="F885" s="31" t="s">
        <v>160</v>
      </c>
      <c r="G885" s="38">
        <v>0</v>
      </c>
    </row>
    <row r="886" spans="1:7" x14ac:dyDescent="0.35">
      <c r="A886" s="19" t="s">
        <v>17</v>
      </c>
      <c r="B886" s="19"/>
      <c r="C886" s="37">
        <v>45900</v>
      </c>
      <c r="D886" s="31">
        <v>38473</v>
      </c>
      <c r="E886" s="31" t="s">
        <v>1090</v>
      </c>
      <c r="F886" s="31" t="s">
        <v>160</v>
      </c>
      <c r="G886" s="38">
        <v>17076.490000000002</v>
      </c>
    </row>
    <row r="887" spans="1:7" x14ac:dyDescent="0.35">
      <c r="A887" s="19" t="s">
        <v>17</v>
      </c>
      <c r="B887" s="19"/>
      <c r="C887" s="37">
        <v>45900</v>
      </c>
      <c r="D887" s="31" t="s">
        <v>1091</v>
      </c>
      <c r="E887" s="31" t="s">
        <v>50</v>
      </c>
      <c r="F887" s="31" t="s">
        <v>160</v>
      </c>
      <c r="G887" s="38">
        <v>0</v>
      </c>
    </row>
    <row r="888" spans="1:7" x14ac:dyDescent="0.35">
      <c r="A888" s="19" t="s">
        <v>17</v>
      </c>
      <c r="B888" s="19"/>
      <c r="C888" s="37">
        <v>45900</v>
      </c>
      <c r="D888" s="31" t="s">
        <v>1092</v>
      </c>
      <c r="E888" s="31" t="s">
        <v>1093</v>
      </c>
      <c r="F888" s="31" t="s">
        <v>160</v>
      </c>
      <c r="G888" s="38">
        <v>0</v>
      </c>
    </row>
    <row r="889" spans="1:7" x14ac:dyDescent="0.35">
      <c r="A889" s="19" t="s">
        <v>17</v>
      </c>
      <c r="B889" s="19"/>
      <c r="C889" s="37">
        <v>45900</v>
      </c>
      <c r="D889" s="31" t="s">
        <v>1094</v>
      </c>
      <c r="E889" s="31" t="s">
        <v>1095</v>
      </c>
      <c r="F889" s="31" t="s">
        <v>160</v>
      </c>
      <c r="G889" s="38">
        <v>523.35</v>
      </c>
    </row>
    <row r="890" spans="1:7" x14ac:dyDescent="0.35">
      <c r="A890" s="19" t="s">
        <v>17</v>
      </c>
      <c r="B890" s="19"/>
      <c r="C890" s="37">
        <v>45900</v>
      </c>
      <c r="D890" s="31" t="s">
        <v>1096</v>
      </c>
      <c r="E890" s="31" t="s">
        <v>1097</v>
      </c>
      <c r="F890" s="31" t="s">
        <v>160</v>
      </c>
      <c r="G890" s="38">
        <v>14924.64</v>
      </c>
    </row>
    <row r="891" spans="1:7" x14ac:dyDescent="0.35">
      <c r="A891" s="19" t="s">
        <v>17</v>
      </c>
      <c r="B891" s="19"/>
      <c r="C891" s="37">
        <v>45900</v>
      </c>
      <c r="D891" s="31">
        <v>38527</v>
      </c>
      <c r="E891" s="31" t="s">
        <v>1098</v>
      </c>
      <c r="F891" s="31" t="s">
        <v>160</v>
      </c>
      <c r="G891" s="38">
        <v>2040</v>
      </c>
    </row>
    <row r="892" spans="1:7" x14ac:dyDescent="0.35">
      <c r="A892" s="19" t="s">
        <v>17</v>
      </c>
      <c r="B892" s="19"/>
      <c r="C892" s="37">
        <v>45900</v>
      </c>
      <c r="D892" s="31" t="s">
        <v>1099</v>
      </c>
      <c r="E892" s="31" t="s">
        <v>125</v>
      </c>
      <c r="F892" s="31" t="s">
        <v>160</v>
      </c>
      <c r="G892" s="38">
        <v>0</v>
      </c>
    </row>
    <row r="893" spans="1:7" x14ac:dyDescent="0.35">
      <c r="A893" s="19" t="s">
        <v>17</v>
      </c>
      <c r="B893" s="19"/>
      <c r="C893" s="37">
        <v>45900</v>
      </c>
      <c r="D893" s="31" t="s">
        <v>1100</v>
      </c>
      <c r="E893" s="31" t="s">
        <v>125</v>
      </c>
      <c r="F893" s="31" t="s">
        <v>160</v>
      </c>
      <c r="G893" s="38">
        <v>0</v>
      </c>
    </row>
    <row r="894" spans="1:7" x14ac:dyDescent="0.35">
      <c r="A894" s="19" t="s">
        <v>17</v>
      </c>
      <c r="B894" s="19"/>
      <c r="C894" s="37">
        <v>45900</v>
      </c>
      <c r="D894" s="31" t="s">
        <v>1101</v>
      </c>
      <c r="E894" s="31" t="s">
        <v>125</v>
      </c>
      <c r="F894" s="31" t="s">
        <v>160</v>
      </c>
      <c r="G894" s="38">
        <v>0</v>
      </c>
    </row>
    <row r="895" spans="1:7" x14ac:dyDescent="0.35">
      <c r="A895" s="19" t="s">
        <v>17</v>
      </c>
      <c r="B895" s="19"/>
      <c r="C895" s="37">
        <v>45900</v>
      </c>
      <c r="D895" s="31">
        <v>38553</v>
      </c>
      <c r="E895" s="31" t="s">
        <v>50</v>
      </c>
      <c r="F895" s="31" t="s">
        <v>160</v>
      </c>
      <c r="G895" s="38">
        <v>0</v>
      </c>
    </row>
    <row r="896" spans="1:7" x14ac:dyDescent="0.35">
      <c r="A896" s="19" t="s">
        <v>17</v>
      </c>
      <c r="B896" s="19"/>
      <c r="C896" s="37">
        <v>45900</v>
      </c>
      <c r="D896" s="31" t="s">
        <v>1102</v>
      </c>
      <c r="E896" s="31" t="s">
        <v>50</v>
      </c>
      <c r="F896" s="31" t="s">
        <v>160</v>
      </c>
      <c r="G896" s="38">
        <v>0</v>
      </c>
    </row>
    <row r="897" spans="1:7" x14ac:dyDescent="0.35">
      <c r="A897" s="19" t="s">
        <v>17</v>
      </c>
      <c r="B897" s="19"/>
      <c r="C897" s="37">
        <v>45900</v>
      </c>
      <c r="D897" s="31">
        <v>38557</v>
      </c>
      <c r="E897" s="31" t="s">
        <v>50</v>
      </c>
      <c r="F897" s="31" t="s">
        <v>160</v>
      </c>
      <c r="G897" s="38">
        <v>1981.1000000000001</v>
      </c>
    </row>
    <row r="898" spans="1:7" x14ac:dyDescent="0.35">
      <c r="A898" s="19" t="s">
        <v>17</v>
      </c>
      <c r="B898" s="19"/>
      <c r="C898" s="37">
        <v>45900</v>
      </c>
      <c r="D898" s="31">
        <v>38603</v>
      </c>
      <c r="E898" s="31" t="s">
        <v>1103</v>
      </c>
      <c r="F898" s="31" t="s">
        <v>160</v>
      </c>
      <c r="G898" s="38">
        <v>1025.79</v>
      </c>
    </row>
    <row r="899" spans="1:7" x14ac:dyDescent="0.35">
      <c r="A899" s="19" t="s">
        <v>17</v>
      </c>
      <c r="B899" s="19"/>
      <c r="C899" s="37">
        <v>45900</v>
      </c>
      <c r="D899" s="31" t="s">
        <v>1104</v>
      </c>
      <c r="E899" s="31" t="s">
        <v>253</v>
      </c>
      <c r="F899" s="31" t="s">
        <v>160</v>
      </c>
      <c r="G899" s="38">
        <v>900</v>
      </c>
    </row>
    <row r="900" spans="1:7" x14ac:dyDescent="0.35">
      <c r="A900" s="19" t="s">
        <v>17</v>
      </c>
      <c r="B900" s="19"/>
      <c r="C900" s="37">
        <v>45900</v>
      </c>
      <c r="D900" s="31">
        <v>38607</v>
      </c>
      <c r="E900" s="31" t="s">
        <v>1087</v>
      </c>
      <c r="F900" s="31" t="s">
        <v>160</v>
      </c>
      <c r="G900" s="38">
        <v>4616.5</v>
      </c>
    </row>
    <row r="901" spans="1:7" x14ac:dyDescent="0.35">
      <c r="A901" s="19" t="s">
        <v>17</v>
      </c>
      <c r="B901" s="19"/>
      <c r="C901" s="37">
        <v>45900</v>
      </c>
      <c r="D901" s="31">
        <v>38621</v>
      </c>
      <c r="E901" s="31" t="s">
        <v>1027</v>
      </c>
      <c r="F901" s="31" t="s">
        <v>160</v>
      </c>
      <c r="G901" s="38">
        <v>18109.689999999999</v>
      </c>
    </row>
    <row r="902" spans="1:7" x14ac:dyDescent="0.35">
      <c r="A902" s="19" t="s">
        <v>17</v>
      </c>
      <c r="B902" s="19"/>
      <c r="C902" s="37">
        <v>45900</v>
      </c>
      <c r="D902" s="31">
        <v>38627</v>
      </c>
      <c r="E902" s="31" t="s">
        <v>284</v>
      </c>
      <c r="F902" s="31" t="s">
        <v>160</v>
      </c>
      <c r="G902" s="38">
        <v>3668.16</v>
      </c>
    </row>
    <row r="903" spans="1:7" x14ac:dyDescent="0.35">
      <c r="A903" s="19" t="s">
        <v>17</v>
      </c>
      <c r="B903" s="19"/>
      <c r="C903" s="37">
        <v>45900</v>
      </c>
      <c r="D903" s="31">
        <v>38636</v>
      </c>
      <c r="E903" s="31" t="s">
        <v>903</v>
      </c>
      <c r="F903" s="31" t="s">
        <v>160</v>
      </c>
      <c r="G903" s="38">
        <v>6920</v>
      </c>
    </row>
    <row r="904" spans="1:7" x14ac:dyDescent="0.35">
      <c r="A904" s="19" t="s">
        <v>17</v>
      </c>
      <c r="B904" s="19"/>
      <c r="C904" s="37">
        <v>45900</v>
      </c>
      <c r="D904" s="31">
        <v>38670</v>
      </c>
      <c r="E904" s="31" t="s">
        <v>1105</v>
      </c>
      <c r="F904" s="31" t="s">
        <v>160</v>
      </c>
      <c r="G904" s="38">
        <v>157976</v>
      </c>
    </row>
    <row r="905" spans="1:7" x14ac:dyDescent="0.35">
      <c r="A905" s="19" t="s">
        <v>17</v>
      </c>
      <c r="B905" s="19"/>
      <c r="C905" s="37">
        <v>45900</v>
      </c>
      <c r="D905" s="31">
        <v>38671</v>
      </c>
      <c r="E905" s="31" t="s">
        <v>59</v>
      </c>
      <c r="F905" s="31" t="s">
        <v>160</v>
      </c>
      <c r="G905" s="38">
        <v>28395.789999999997</v>
      </c>
    </row>
    <row r="906" spans="1:7" x14ac:dyDescent="0.35">
      <c r="A906" s="19" t="s">
        <v>17</v>
      </c>
      <c r="B906" s="19"/>
      <c r="C906" s="37">
        <v>45900</v>
      </c>
      <c r="D906" s="31" t="s">
        <v>1106</v>
      </c>
      <c r="E906" s="31" t="s">
        <v>59</v>
      </c>
      <c r="F906" s="31" t="s">
        <v>160</v>
      </c>
      <c r="G906" s="38">
        <v>57659.76</v>
      </c>
    </row>
    <row r="907" spans="1:7" x14ac:dyDescent="0.35">
      <c r="A907" s="19" t="s">
        <v>17</v>
      </c>
      <c r="B907" s="19"/>
      <c r="C907" s="37">
        <v>45900</v>
      </c>
      <c r="D907" s="31">
        <v>38674</v>
      </c>
      <c r="E907" s="31" t="s">
        <v>1107</v>
      </c>
      <c r="F907" s="31" t="s">
        <v>160</v>
      </c>
      <c r="G907" s="38">
        <v>151</v>
      </c>
    </row>
    <row r="908" spans="1:7" x14ac:dyDescent="0.35">
      <c r="A908" s="19" t="s">
        <v>17</v>
      </c>
      <c r="B908" s="19"/>
      <c r="C908" s="37">
        <v>45900</v>
      </c>
      <c r="D908" s="31">
        <v>38701</v>
      </c>
      <c r="E908" s="31" t="s">
        <v>923</v>
      </c>
      <c r="F908" s="31" t="s">
        <v>160</v>
      </c>
      <c r="G908" s="38">
        <v>634.73</v>
      </c>
    </row>
    <row r="909" spans="1:7" x14ac:dyDescent="0.35">
      <c r="A909" s="19" t="s">
        <v>17</v>
      </c>
      <c r="B909" s="19"/>
      <c r="C909" s="37">
        <v>45900</v>
      </c>
      <c r="D909" s="31">
        <v>38718</v>
      </c>
      <c r="E909" s="31" t="s">
        <v>1108</v>
      </c>
      <c r="F909" s="31" t="s">
        <v>160</v>
      </c>
      <c r="G909" s="38">
        <v>1247.75</v>
      </c>
    </row>
    <row r="910" spans="1:7" x14ac:dyDescent="0.35">
      <c r="A910" s="19" t="s">
        <v>17</v>
      </c>
      <c r="B910" s="19"/>
      <c r="C910" s="37">
        <v>45900</v>
      </c>
      <c r="D910" s="31">
        <v>38721</v>
      </c>
      <c r="E910" s="31" t="s">
        <v>1109</v>
      </c>
      <c r="F910" s="31" t="s">
        <v>160</v>
      </c>
      <c r="G910" s="38">
        <v>200</v>
      </c>
    </row>
    <row r="911" spans="1:7" x14ac:dyDescent="0.35">
      <c r="A911" s="19" t="s">
        <v>17</v>
      </c>
      <c r="B911" s="19"/>
      <c r="C911" s="37">
        <v>45900</v>
      </c>
      <c r="D911" s="31">
        <v>38726</v>
      </c>
      <c r="E911" s="31" t="s">
        <v>1110</v>
      </c>
      <c r="F911" s="31" t="s">
        <v>160</v>
      </c>
      <c r="G911" s="38">
        <v>1800</v>
      </c>
    </row>
    <row r="912" spans="1:7" x14ac:dyDescent="0.35">
      <c r="A912" s="19" t="s">
        <v>17</v>
      </c>
      <c r="B912" s="19"/>
      <c r="C912" s="37">
        <v>45900</v>
      </c>
      <c r="D912" s="31" t="s">
        <v>1111</v>
      </c>
      <c r="E912" s="31" t="s">
        <v>1112</v>
      </c>
      <c r="F912" s="31" t="s">
        <v>160</v>
      </c>
      <c r="G912" s="38">
        <v>433.65</v>
      </c>
    </row>
    <row r="913" spans="1:7" x14ac:dyDescent="0.35">
      <c r="A913" s="19" t="s">
        <v>17</v>
      </c>
      <c r="B913" s="19"/>
      <c r="C913" s="37">
        <v>45900</v>
      </c>
      <c r="D913" s="31">
        <v>38744</v>
      </c>
      <c r="E913" s="31" t="s">
        <v>1113</v>
      </c>
      <c r="F913" s="31" t="s">
        <v>160</v>
      </c>
      <c r="G913" s="38">
        <v>1900.32</v>
      </c>
    </row>
    <row r="914" spans="1:7" x14ac:dyDescent="0.35">
      <c r="A914" s="19" t="s">
        <v>17</v>
      </c>
      <c r="B914" s="19"/>
      <c r="C914" s="37">
        <v>45900</v>
      </c>
      <c r="D914" s="31">
        <v>38749</v>
      </c>
      <c r="E914" s="31" t="s">
        <v>655</v>
      </c>
      <c r="F914" s="31" t="s">
        <v>160</v>
      </c>
      <c r="G914" s="38">
        <v>0</v>
      </c>
    </row>
    <row r="915" spans="1:7" x14ac:dyDescent="0.35">
      <c r="A915" s="19" t="s">
        <v>17</v>
      </c>
      <c r="B915" s="19"/>
      <c r="C915" s="37">
        <v>45900</v>
      </c>
      <c r="D915" s="31">
        <v>38758</v>
      </c>
      <c r="E915" s="31" t="s">
        <v>722</v>
      </c>
      <c r="F915" s="31" t="s">
        <v>160</v>
      </c>
      <c r="G915" s="38">
        <v>328.57</v>
      </c>
    </row>
    <row r="916" spans="1:7" x14ac:dyDescent="0.35">
      <c r="A916" s="19" t="s">
        <v>17</v>
      </c>
      <c r="B916" s="19"/>
      <c r="C916" s="37">
        <v>45900</v>
      </c>
      <c r="D916" s="31">
        <v>38785</v>
      </c>
      <c r="E916" s="31" t="s">
        <v>1114</v>
      </c>
      <c r="F916" s="31" t="s">
        <v>160</v>
      </c>
      <c r="G916" s="38">
        <v>2604</v>
      </c>
    </row>
    <row r="917" spans="1:7" x14ac:dyDescent="0.35">
      <c r="A917" s="19" t="s">
        <v>17</v>
      </c>
      <c r="B917" s="19"/>
      <c r="C917" s="37">
        <v>45900</v>
      </c>
      <c r="D917" s="31">
        <v>38793</v>
      </c>
      <c r="E917" s="31" t="s">
        <v>287</v>
      </c>
      <c r="F917" s="31" t="s">
        <v>160</v>
      </c>
      <c r="G917" s="38">
        <v>200</v>
      </c>
    </row>
    <row r="918" spans="1:7" x14ac:dyDescent="0.35">
      <c r="A918" s="19" t="s">
        <v>17</v>
      </c>
      <c r="B918" s="19"/>
      <c r="C918" s="37">
        <v>45900</v>
      </c>
      <c r="D918" s="31">
        <v>38795</v>
      </c>
      <c r="E918" s="31" t="s">
        <v>1115</v>
      </c>
      <c r="F918" s="31" t="s">
        <v>160</v>
      </c>
      <c r="G918" s="38">
        <v>162.78</v>
      </c>
    </row>
    <row r="919" spans="1:7" x14ac:dyDescent="0.35">
      <c r="A919" s="19" t="s">
        <v>17</v>
      </c>
      <c r="B919" s="19"/>
      <c r="C919" s="37">
        <v>45900</v>
      </c>
      <c r="D919" s="31">
        <v>38796</v>
      </c>
      <c r="E919" s="31" t="s">
        <v>1116</v>
      </c>
      <c r="F919" s="31" t="s">
        <v>160</v>
      </c>
      <c r="G919" s="38">
        <v>465</v>
      </c>
    </row>
    <row r="920" spans="1:7" x14ac:dyDescent="0.35">
      <c r="A920" s="19" t="s">
        <v>17</v>
      </c>
      <c r="B920" s="19"/>
      <c r="C920" s="37">
        <v>45900</v>
      </c>
      <c r="D920" s="31">
        <v>38799</v>
      </c>
      <c r="E920" s="31" t="s">
        <v>1117</v>
      </c>
      <c r="F920" s="31" t="s">
        <v>160</v>
      </c>
      <c r="G920" s="38">
        <v>2740</v>
      </c>
    </row>
    <row r="921" spans="1:7" x14ac:dyDescent="0.35">
      <c r="A921" s="19" t="s">
        <v>17</v>
      </c>
      <c r="B921" s="19"/>
      <c r="C921" s="37">
        <v>45900</v>
      </c>
      <c r="D921" s="31">
        <v>38800</v>
      </c>
      <c r="E921" s="31" t="s">
        <v>1118</v>
      </c>
      <c r="F921" s="31" t="s">
        <v>160</v>
      </c>
      <c r="G921" s="38">
        <v>15750</v>
      </c>
    </row>
    <row r="922" spans="1:7" x14ac:dyDescent="0.35">
      <c r="A922" s="19" t="s">
        <v>17</v>
      </c>
      <c r="B922" s="19"/>
      <c r="C922" s="37">
        <v>45900</v>
      </c>
      <c r="D922" s="31">
        <v>38801</v>
      </c>
      <c r="E922" s="31" t="s">
        <v>1119</v>
      </c>
      <c r="F922" s="31" t="s">
        <v>160</v>
      </c>
      <c r="G922" s="38">
        <v>900</v>
      </c>
    </row>
    <row r="923" spans="1:7" x14ac:dyDescent="0.35">
      <c r="A923" s="19" t="s">
        <v>17</v>
      </c>
      <c r="B923" s="19"/>
      <c r="C923" s="37">
        <v>45900</v>
      </c>
      <c r="D923" s="31">
        <v>38803</v>
      </c>
      <c r="E923" s="31" t="s">
        <v>1120</v>
      </c>
      <c r="F923" s="31" t="s">
        <v>160</v>
      </c>
      <c r="G923" s="38">
        <v>3216</v>
      </c>
    </row>
    <row r="924" spans="1:7" x14ac:dyDescent="0.35">
      <c r="A924" s="19" t="s">
        <v>17</v>
      </c>
      <c r="B924" s="19"/>
      <c r="C924" s="37">
        <v>45900</v>
      </c>
      <c r="D924" s="31" t="s">
        <v>1121</v>
      </c>
      <c r="E924" s="31" t="s">
        <v>1122</v>
      </c>
      <c r="F924" s="31" t="s">
        <v>160</v>
      </c>
      <c r="G924" s="38">
        <v>0.06</v>
      </c>
    </row>
    <row r="925" spans="1:7" x14ac:dyDescent="0.35">
      <c r="A925" s="19" t="s">
        <v>17</v>
      </c>
      <c r="B925" s="19"/>
      <c r="C925" s="37">
        <v>45900</v>
      </c>
      <c r="D925" s="31">
        <v>38809</v>
      </c>
      <c r="E925" s="31" t="s">
        <v>1123</v>
      </c>
      <c r="F925" s="31" t="s">
        <v>160</v>
      </c>
      <c r="G925" s="38">
        <v>7476.6999999999989</v>
      </c>
    </row>
    <row r="926" spans="1:7" x14ac:dyDescent="0.35">
      <c r="A926" s="19" t="s">
        <v>17</v>
      </c>
      <c r="B926" s="19"/>
      <c r="C926" s="37">
        <v>45900</v>
      </c>
      <c r="D926" s="31">
        <v>38815</v>
      </c>
      <c r="E926" s="31" t="s">
        <v>1124</v>
      </c>
      <c r="F926" s="31" t="s">
        <v>160</v>
      </c>
      <c r="G926" s="38">
        <v>1708</v>
      </c>
    </row>
    <row r="927" spans="1:7" x14ac:dyDescent="0.35">
      <c r="A927" s="19" t="s">
        <v>17</v>
      </c>
      <c r="B927" s="19"/>
      <c r="C927" s="37">
        <v>45900</v>
      </c>
      <c r="D927" s="31">
        <v>38818</v>
      </c>
      <c r="E927" s="31" t="s">
        <v>1125</v>
      </c>
      <c r="F927" s="31" t="s">
        <v>160</v>
      </c>
      <c r="G927" s="38">
        <v>775</v>
      </c>
    </row>
    <row r="928" spans="1:7" x14ac:dyDescent="0.35">
      <c r="A928" s="19" t="s">
        <v>17</v>
      </c>
      <c r="B928" s="19"/>
      <c r="C928" s="37">
        <v>45900</v>
      </c>
      <c r="D928" s="31">
        <v>38820</v>
      </c>
      <c r="E928" s="31" t="s">
        <v>1126</v>
      </c>
      <c r="F928" s="31" t="s">
        <v>160</v>
      </c>
      <c r="G928" s="38">
        <v>102500.28000000001</v>
      </c>
    </row>
    <row r="929" spans="1:7" x14ac:dyDescent="0.35">
      <c r="A929" s="19" t="s">
        <v>17</v>
      </c>
      <c r="B929" s="19"/>
      <c r="C929" s="37">
        <v>45900</v>
      </c>
      <c r="D929" s="31" t="s">
        <v>1127</v>
      </c>
      <c r="E929" s="31" t="s">
        <v>1126</v>
      </c>
      <c r="F929" s="31" t="s">
        <v>160</v>
      </c>
      <c r="G929" s="38">
        <v>0</v>
      </c>
    </row>
    <row r="930" spans="1:7" x14ac:dyDescent="0.35">
      <c r="A930" s="19" t="s">
        <v>17</v>
      </c>
      <c r="B930" s="19"/>
      <c r="C930" s="37">
        <v>45900</v>
      </c>
      <c r="D930" s="31" t="s">
        <v>1128</v>
      </c>
      <c r="E930" s="31" t="s">
        <v>1126</v>
      </c>
      <c r="F930" s="31" t="s">
        <v>160</v>
      </c>
      <c r="G930" s="38">
        <v>403.22</v>
      </c>
    </row>
    <row r="931" spans="1:7" x14ac:dyDescent="0.35">
      <c r="A931" s="19" t="s">
        <v>17</v>
      </c>
      <c r="B931" s="19"/>
      <c r="C931" s="37">
        <v>45900</v>
      </c>
      <c r="D931" s="31">
        <v>38824</v>
      </c>
      <c r="E931" s="31" t="s">
        <v>1129</v>
      </c>
      <c r="F931" s="31" t="s">
        <v>160</v>
      </c>
      <c r="G931" s="38">
        <v>687.5</v>
      </c>
    </row>
    <row r="932" spans="1:7" x14ac:dyDescent="0.35">
      <c r="A932" s="19" t="s">
        <v>17</v>
      </c>
      <c r="B932" s="19"/>
      <c r="C932" s="37">
        <v>45900</v>
      </c>
      <c r="D932" s="31">
        <v>38835</v>
      </c>
      <c r="E932" s="31" t="s">
        <v>1130</v>
      </c>
      <c r="F932" s="31" t="s">
        <v>160</v>
      </c>
      <c r="G932" s="38">
        <v>1756.69</v>
      </c>
    </row>
    <row r="933" spans="1:7" x14ac:dyDescent="0.35">
      <c r="A933" s="19" t="s">
        <v>17</v>
      </c>
      <c r="B933" s="19"/>
      <c r="C933" s="37">
        <v>45900</v>
      </c>
      <c r="D933" s="31">
        <v>38842</v>
      </c>
      <c r="E933" s="31" t="s">
        <v>1131</v>
      </c>
      <c r="F933" s="31" t="s">
        <v>160</v>
      </c>
      <c r="G933" s="38">
        <v>58630</v>
      </c>
    </row>
    <row r="934" spans="1:7" x14ac:dyDescent="0.35">
      <c r="A934" s="19" t="s">
        <v>17</v>
      </c>
      <c r="B934" s="19"/>
      <c r="C934" s="37">
        <v>45900</v>
      </c>
      <c r="D934" s="31">
        <v>38843</v>
      </c>
      <c r="E934" s="31" t="s">
        <v>918</v>
      </c>
      <c r="F934" s="31" t="s">
        <v>160</v>
      </c>
      <c r="G934" s="38">
        <v>625</v>
      </c>
    </row>
    <row r="935" spans="1:7" x14ac:dyDescent="0.35">
      <c r="A935" s="19" t="s">
        <v>17</v>
      </c>
      <c r="B935" s="19"/>
      <c r="C935" s="37">
        <v>45900</v>
      </c>
      <c r="D935" s="31">
        <v>38849</v>
      </c>
      <c r="E935" s="31" t="s">
        <v>1132</v>
      </c>
      <c r="F935" s="31" t="s">
        <v>160</v>
      </c>
      <c r="G935" s="38">
        <v>33300</v>
      </c>
    </row>
    <row r="936" spans="1:7" x14ac:dyDescent="0.35">
      <c r="A936" s="19" t="s">
        <v>17</v>
      </c>
      <c r="B936" s="19"/>
      <c r="C936" s="37">
        <v>45900</v>
      </c>
      <c r="D936" s="31">
        <v>38853</v>
      </c>
      <c r="E936" s="31" t="s">
        <v>1133</v>
      </c>
      <c r="F936" s="31" t="s">
        <v>160</v>
      </c>
      <c r="G936" s="38">
        <v>1209.6099999999999</v>
      </c>
    </row>
    <row r="937" spans="1:7" x14ac:dyDescent="0.35">
      <c r="A937" s="19" t="s">
        <v>17</v>
      </c>
      <c r="B937" s="19"/>
      <c r="C937" s="37">
        <v>45900</v>
      </c>
      <c r="D937" s="31">
        <v>38854</v>
      </c>
      <c r="E937" s="31" t="s">
        <v>1134</v>
      </c>
      <c r="F937" s="31" t="s">
        <v>160</v>
      </c>
      <c r="G937" s="38">
        <v>31500</v>
      </c>
    </row>
    <row r="938" spans="1:7" x14ac:dyDescent="0.35">
      <c r="A938" s="19" t="s">
        <v>17</v>
      </c>
      <c r="B938" s="19"/>
      <c r="C938" s="37">
        <v>45900</v>
      </c>
      <c r="D938" s="31">
        <v>38855</v>
      </c>
      <c r="E938" s="31" t="s">
        <v>1135</v>
      </c>
      <c r="F938" s="31" t="s">
        <v>160</v>
      </c>
      <c r="G938" s="38">
        <v>15800</v>
      </c>
    </row>
    <row r="939" spans="1:7" x14ac:dyDescent="0.35">
      <c r="A939" s="19" t="s">
        <v>17</v>
      </c>
      <c r="B939" s="19"/>
      <c r="C939" s="37">
        <v>45900</v>
      </c>
      <c r="D939" s="31">
        <v>38856</v>
      </c>
      <c r="E939" s="31" t="s">
        <v>1136</v>
      </c>
      <c r="F939" s="31" t="s">
        <v>160</v>
      </c>
      <c r="G939" s="38">
        <v>900</v>
      </c>
    </row>
    <row r="940" spans="1:7" x14ac:dyDescent="0.35">
      <c r="A940" s="19" t="s">
        <v>17</v>
      </c>
      <c r="B940" s="19"/>
      <c r="C940" s="37">
        <v>45900</v>
      </c>
      <c r="D940" s="31">
        <v>38865</v>
      </c>
      <c r="E940" s="31" t="s">
        <v>1137</v>
      </c>
      <c r="F940" s="31" t="s">
        <v>160</v>
      </c>
      <c r="G940" s="38">
        <v>350</v>
      </c>
    </row>
    <row r="941" spans="1:7" x14ac:dyDescent="0.35">
      <c r="A941" s="19" t="s">
        <v>17</v>
      </c>
      <c r="B941" s="19"/>
      <c r="C941" s="37">
        <v>45900</v>
      </c>
      <c r="D941" s="31">
        <v>38867</v>
      </c>
      <c r="E941" s="31" t="s">
        <v>1138</v>
      </c>
      <c r="F941" s="31" t="s">
        <v>160</v>
      </c>
      <c r="G941" s="38">
        <v>413.1</v>
      </c>
    </row>
    <row r="942" spans="1:7" x14ac:dyDescent="0.35">
      <c r="A942" s="19" t="s">
        <v>17</v>
      </c>
      <c r="B942" s="19"/>
      <c r="C942" s="37">
        <v>45900</v>
      </c>
      <c r="D942" s="31">
        <v>38868</v>
      </c>
      <c r="E942" s="31" t="s">
        <v>1139</v>
      </c>
      <c r="F942" s="31" t="s">
        <v>160</v>
      </c>
      <c r="G942" s="38">
        <v>2306.2399999999998</v>
      </c>
    </row>
    <row r="943" spans="1:7" x14ac:dyDescent="0.35">
      <c r="A943" s="19" t="s">
        <v>17</v>
      </c>
      <c r="B943" s="19"/>
      <c r="C943" s="37">
        <v>45900</v>
      </c>
      <c r="D943" s="31">
        <v>38871</v>
      </c>
      <c r="E943" s="31" t="s">
        <v>921</v>
      </c>
      <c r="F943" s="31" t="s">
        <v>160</v>
      </c>
      <c r="G943" s="38">
        <v>4169.7</v>
      </c>
    </row>
    <row r="944" spans="1:7" x14ac:dyDescent="0.35">
      <c r="A944" s="19" t="s">
        <v>17</v>
      </c>
      <c r="B944" s="19"/>
      <c r="C944" s="37">
        <v>45900</v>
      </c>
      <c r="D944" s="31">
        <v>38873</v>
      </c>
      <c r="E944" s="31" t="s">
        <v>1125</v>
      </c>
      <c r="F944" s="31" t="s">
        <v>160</v>
      </c>
      <c r="G944" s="38">
        <v>759.24</v>
      </c>
    </row>
    <row r="945" spans="1:7" x14ac:dyDescent="0.35">
      <c r="A945" s="19" t="s">
        <v>17</v>
      </c>
      <c r="B945" s="19"/>
      <c r="C945" s="37">
        <v>45900</v>
      </c>
      <c r="D945" s="31">
        <v>38880</v>
      </c>
      <c r="E945" s="31" t="s">
        <v>1140</v>
      </c>
      <c r="F945" s="31" t="s">
        <v>160</v>
      </c>
      <c r="G945" s="38">
        <v>1234.24</v>
      </c>
    </row>
    <row r="946" spans="1:7" x14ac:dyDescent="0.35">
      <c r="A946" s="19" t="s">
        <v>17</v>
      </c>
      <c r="B946" s="19"/>
      <c r="C946" s="37">
        <v>45900</v>
      </c>
      <c r="D946" s="31">
        <v>38884</v>
      </c>
      <c r="E946" s="31" t="s">
        <v>1136</v>
      </c>
      <c r="F946" s="31" t="s">
        <v>160</v>
      </c>
      <c r="G946" s="38">
        <v>450</v>
      </c>
    </row>
    <row r="947" spans="1:7" x14ac:dyDescent="0.35">
      <c r="A947" s="19" t="s">
        <v>17</v>
      </c>
      <c r="B947" s="19"/>
      <c r="C947" s="37">
        <v>45900</v>
      </c>
      <c r="D947" s="31">
        <v>38904</v>
      </c>
      <c r="E947" s="31" t="s">
        <v>1141</v>
      </c>
      <c r="F947" s="31" t="s">
        <v>160</v>
      </c>
      <c r="G947" s="38">
        <v>1247.75</v>
      </c>
    </row>
    <row r="948" spans="1:7" x14ac:dyDescent="0.35">
      <c r="A948" s="19" t="s">
        <v>17</v>
      </c>
      <c r="B948" s="19"/>
      <c r="C948" s="37">
        <v>45900</v>
      </c>
      <c r="D948" s="31">
        <v>38909</v>
      </c>
      <c r="E948" s="31" t="s">
        <v>1142</v>
      </c>
      <c r="F948" s="31" t="s">
        <v>160</v>
      </c>
      <c r="G948" s="38">
        <v>10907.779999999999</v>
      </c>
    </row>
    <row r="949" spans="1:7" x14ac:dyDescent="0.35">
      <c r="A949" s="19" t="s">
        <v>17</v>
      </c>
      <c r="B949" s="19"/>
      <c r="C949" s="37">
        <v>45900</v>
      </c>
      <c r="D949" s="31">
        <v>38911</v>
      </c>
      <c r="E949" s="31" t="s">
        <v>1143</v>
      </c>
      <c r="F949" s="31" t="s">
        <v>160</v>
      </c>
      <c r="G949" s="38">
        <v>880</v>
      </c>
    </row>
    <row r="950" spans="1:7" x14ac:dyDescent="0.35">
      <c r="A950" s="19" t="s">
        <v>17</v>
      </c>
      <c r="B950" s="19"/>
      <c r="C950" s="37">
        <v>45900</v>
      </c>
      <c r="D950" s="31">
        <v>38912</v>
      </c>
      <c r="E950" s="31" t="s">
        <v>1144</v>
      </c>
      <c r="F950" s="31" t="s">
        <v>160</v>
      </c>
      <c r="G950" s="38">
        <v>23482</v>
      </c>
    </row>
    <row r="951" spans="1:7" x14ac:dyDescent="0.35">
      <c r="A951" s="19" t="s">
        <v>17</v>
      </c>
      <c r="B951" s="19"/>
      <c r="C951" s="37">
        <v>45900</v>
      </c>
      <c r="D951" s="31">
        <v>38913</v>
      </c>
      <c r="E951" s="31" t="s">
        <v>1145</v>
      </c>
      <c r="F951" s="31" t="s">
        <v>160</v>
      </c>
      <c r="G951" s="38">
        <v>200</v>
      </c>
    </row>
    <row r="952" spans="1:7" x14ac:dyDescent="0.35">
      <c r="A952" s="19" t="s">
        <v>17</v>
      </c>
      <c r="B952" s="19"/>
      <c r="C952" s="37">
        <v>45900</v>
      </c>
      <c r="D952" s="31">
        <v>38915</v>
      </c>
      <c r="E952" s="31" t="s">
        <v>1146</v>
      </c>
      <c r="F952" s="31" t="s">
        <v>160</v>
      </c>
      <c r="G952" s="38">
        <v>177.19</v>
      </c>
    </row>
    <row r="953" spans="1:7" x14ac:dyDescent="0.35">
      <c r="A953" s="19" t="s">
        <v>17</v>
      </c>
      <c r="B953" s="19"/>
      <c r="C953" s="37">
        <v>45900</v>
      </c>
      <c r="D953" s="31">
        <v>38916</v>
      </c>
      <c r="E953" s="31" t="s">
        <v>1147</v>
      </c>
      <c r="F953" s="31" t="s">
        <v>160</v>
      </c>
      <c r="G953" s="38">
        <v>108.5</v>
      </c>
    </row>
    <row r="954" spans="1:7" x14ac:dyDescent="0.35">
      <c r="A954" s="19" t="s">
        <v>17</v>
      </c>
      <c r="B954" s="19"/>
      <c r="C954" s="37">
        <v>45900</v>
      </c>
      <c r="D954" s="31">
        <v>38921</v>
      </c>
      <c r="E954" s="31" t="s">
        <v>1148</v>
      </c>
      <c r="F954" s="31" t="s">
        <v>160</v>
      </c>
      <c r="G954" s="38">
        <v>54.25</v>
      </c>
    </row>
    <row r="955" spans="1:7" x14ac:dyDescent="0.35">
      <c r="A955" s="19" t="s">
        <v>17</v>
      </c>
      <c r="B955" s="19"/>
      <c r="C955" s="37">
        <v>45900</v>
      </c>
      <c r="D955" s="31">
        <v>38942</v>
      </c>
      <c r="E955" s="31" t="s">
        <v>1149</v>
      </c>
      <c r="F955" s="31" t="s">
        <v>160</v>
      </c>
      <c r="G955" s="38">
        <v>462.5</v>
      </c>
    </row>
    <row r="956" spans="1:7" x14ac:dyDescent="0.35">
      <c r="A956" s="19" t="s">
        <v>17</v>
      </c>
      <c r="B956" s="19"/>
      <c r="C956" s="37">
        <v>45900</v>
      </c>
      <c r="D956" s="31">
        <v>38946</v>
      </c>
      <c r="E956" s="31" t="s">
        <v>1150</v>
      </c>
      <c r="F956" s="31" t="s">
        <v>160</v>
      </c>
      <c r="G956" s="38">
        <v>2800</v>
      </c>
    </row>
    <row r="957" spans="1:7" x14ac:dyDescent="0.35">
      <c r="A957" s="19" t="s">
        <v>17</v>
      </c>
      <c r="B957" s="19"/>
      <c r="C957" s="37">
        <v>45900</v>
      </c>
      <c r="D957" s="31">
        <v>38957</v>
      </c>
      <c r="E957" s="31" t="s">
        <v>1151</v>
      </c>
      <c r="F957" s="31" t="s">
        <v>160</v>
      </c>
      <c r="G957" s="38">
        <v>569.63</v>
      </c>
    </row>
    <row r="958" spans="1:7" x14ac:dyDescent="0.35">
      <c r="A958" s="19" t="s">
        <v>17</v>
      </c>
      <c r="B958" s="19"/>
      <c r="C958" s="37">
        <v>45900</v>
      </c>
      <c r="D958" s="31">
        <v>38962</v>
      </c>
      <c r="E958" s="31" t="s">
        <v>1152</v>
      </c>
      <c r="F958" s="31" t="s">
        <v>160</v>
      </c>
      <c r="G958" s="38">
        <v>92.4</v>
      </c>
    </row>
    <row r="959" spans="1:7" x14ac:dyDescent="0.35">
      <c r="A959" s="19" t="s">
        <v>17</v>
      </c>
      <c r="B959" s="19"/>
      <c r="C959" s="37">
        <v>45900</v>
      </c>
      <c r="D959" s="31">
        <v>38963</v>
      </c>
      <c r="E959" s="31" t="s">
        <v>1153</v>
      </c>
      <c r="F959" s="31" t="s">
        <v>160</v>
      </c>
      <c r="G959" s="38">
        <v>103.27</v>
      </c>
    </row>
    <row r="960" spans="1:7" x14ac:dyDescent="0.35">
      <c r="A960" s="19" t="s">
        <v>17</v>
      </c>
      <c r="B960" s="19"/>
      <c r="C960" s="37">
        <v>45900</v>
      </c>
      <c r="D960" s="31">
        <v>38965</v>
      </c>
      <c r="E960" s="31" t="s">
        <v>1154</v>
      </c>
      <c r="F960" s="31" t="s">
        <v>160</v>
      </c>
      <c r="G960" s="38">
        <v>350</v>
      </c>
    </row>
    <row r="961" spans="1:7" x14ac:dyDescent="0.35">
      <c r="A961" s="19" t="s">
        <v>17</v>
      </c>
      <c r="B961" s="19"/>
      <c r="C961" s="37">
        <v>45900</v>
      </c>
      <c r="D961" s="31">
        <v>38974</v>
      </c>
      <c r="E961" s="31" t="s">
        <v>1155</v>
      </c>
      <c r="F961" s="31" t="s">
        <v>160</v>
      </c>
      <c r="G961" s="38">
        <v>450</v>
      </c>
    </row>
    <row r="962" spans="1:7" x14ac:dyDescent="0.35">
      <c r="A962" s="19" t="s">
        <v>17</v>
      </c>
      <c r="B962" s="19"/>
      <c r="C962" s="37">
        <v>45900</v>
      </c>
      <c r="D962" s="31">
        <v>38984</v>
      </c>
      <c r="E962" s="31" t="s">
        <v>1156</v>
      </c>
      <c r="F962" s="31" t="s">
        <v>160</v>
      </c>
      <c r="G962" s="38">
        <v>1984</v>
      </c>
    </row>
    <row r="963" spans="1:7" x14ac:dyDescent="0.35">
      <c r="A963" s="19" t="s">
        <v>17</v>
      </c>
      <c r="B963" s="19"/>
      <c r="C963" s="37">
        <v>45900</v>
      </c>
      <c r="D963" s="31">
        <v>38985</v>
      </c>
      <c r="E963" s="31" t="s">
        <v>1157</v>
      </c>
      <c r="F963" s="31" t="s">
        <v>160</v>
      </c>
      <c r="G963" s="38">
        <v>2248</v>
      </c>
    </row>
    <row r="964" spans="1:7" x14ac:dyDescent="0.35">
      <c r="A964" s="19" t="s">
        <v>17</v>
      </c>
      <c r="B964" s="19"/>
      <c r="C964" s="37">
        <v>45900</v>
      </c>
      <c r="D964" s="31">
        <v>38992</v>
      </c>
      <c r="E964" s="31" t="s">
        <v>1158</v>
      </c>
      <c r="F964" s="31" t="s">
        <v>160</v>
      </c>
      <c r="G964" s="38">
        <v>14079.71</v>
      </c>
    </row>
    <row r="965" spans="1:7" x14ac:dyDescent="0.35">
      <c r="A965" s="19" t="s">
        <v>17</v>
      </c>
      <c r="B965" s="19"/>
      <c r="C965" s="37">
        <v>45900</v>
      </c>
      <c r="D965" s="31">
        <v>38997</v>
      </c>
      <c r="E965" s="31" t="s">
        <v>128</v>
      </c>
      <c r="F965" s="31" t="s">
        <v>160</v>
      </c>
      <c r="G965" s="38">
        <v>15560</v>
      </c>
    </row>
    <row r="966" spans="1:7" x14ac:dyDescent="0.35">
      <c r="A966" s="19" t="s">
        <v>17</v>
      </c>
      <c r="B966" s="19"/>
      <c r="C966" s="37">
        <v>45900</v>
      </c>
      <c r="D966" s="31">
        <v>38998</v>
      </c>
      <c r="E966" s="31" t="s">
        <v>1159</v>
      </c>
      <c r="F966" s="31" t="s">
        <v>160</v>
      </c>
      <c r="G966" s="38">
        <v>697.5</v>
      </c>
    </row>
    <row r="967" spans="1:7" x14ac:dyDescent="0.35">
      <c r="A967" s="19" t="s">
        <v>17</v>
      </c>
      <c r="B967" s="19"/>
      <c r="C967" s="37">
        <v>45900</v>
      </c>
      <c r="D967" s="31">
        <v>39003</v>
      </c>
      <c r="E967" s="31" t="s">
        <v>1160</v>
      </c>
      <c r="F967" s="31" t="s">
        <v>160</v>
      </c>
      <c r="G967" s="38">
        <v>11883.55</v>
      </c>
    </row>
    <row r="968" spans="1:7" x14ac:dyDescent="0.35">
      <c r="A968" s="19" t="s">
        <v>17</v>
      </c>
      <c r="B968" s="19"/>
      <c r="C968" s="37">
        <v>45900</v>
      </c>
      <c r="D968" s="31">
        <v>39009</v>
      </c>
      <c r="E968" s="31" t="s">
        <v>1159</v>
      </c>
      <c r="F968" s="31" t="s">
        <v>160</v>
      </c>
      <c r="G968" s="38">
        <v>4500</v>
      </c>
    </row>
    <row r="969" spans="1:7" x14ac:dyDescent="0.35">
      <c r="A969" s="19" t="s">
        <v>17</v>
      </c>
      <c r="B969" s="19"/>
      <c r="C969" s="37">
        <v>45900</v>
      </c>
      <c r="D969" s="31">
        <v>39063</v>
      </c>
      <c r="E969" s="31" t="s">
        <v>1161</v>
      </c>
      <c r="F969" s="31" t="s">
        <v>160</v>
      </c>
      <c r="G969" s="38">
        <v>4464</v>
      </c>
    </row>
    <row r="970" spans="1:7" x14ac:dyDescent="0.35">
      <c r="A970" s="19" t="s">
        <v>17</v>
      </c>
      <c r="B970" s="19"/>
      <c r="C970" s="37">
        <v>45900</v>
      </c>
      <c r="D970" s="31">
        <v>39073</v>
      </c>
      <c r="E970" s="31" t="s">
        <v>1135</v>
      </c>
      <c r="F970" s="31" t="s">
        <v>160</v>
      </c>
      <c r="G970" s="38">
        <v>13200</v>
      </c>
    </row>
    <row r="971" spans="1:7" x14ac:dyDescent="0.35">
      <c r="A971" s="19" t="s">
        <v>17</v>
      </c>
      <c r="B971" s="19"/>
      <c r="C971" s="37">
        <v>45900</v>
      </c>
      <c r="D971" s="31">
        <v>39074</v>
      </c>
      <c r="E971" s="31" t="s">
        <v>1135</v>
      </c>
      <c r="F971" s="31" t="s">
        <v>160</v>
      </c>
      <c r="G971" s="38">
        <v>10200</v>
      </c>
    </row>
    <row r="972" spans="1:7" x14ac:dyDescent="0.35">
      <c r="A972" s="19" t="s">
        <v>17</v>
      </c>
      <c r="B972" s="19"/>
      <c r="C972" s="37">
        <v>45900</v>
      </c>
      <c r="D972" s="31">
        <v>39084</v>
      </c>
      <c r="E972" s="31" t="s">
        <v>1027</v>
      </c>
      <c r="F972" s="31" t="s">
        <v>160</v>
      </c>
      <c r="G972" s="38">
        <v>12023.44</v>
      </c>
    </row>
    <row r="973" spans="1:7" x14ac:dyDescent="0.35">
      <c r="A973" s="19" t="s">
        <v>17</v>
      </c>
      <c r="B973" s="19"/>
      <c r="C973" s="37">
        <v>45900</v>
      </c>
      <c r="D973" s="31">
        <v>39086</v>
      </c>
      <c r="E973" s="31" t="s">
        <v>50</v>
      </c>
      <c r="F973" s="31" t="s">
        <v>160</v>
      </c>
      <c r="G973" s="38">
        <v>0</v>
      </c>
    </row>
    <row r="974" spans="1:7" x14ac:dyDescent="0.35">
      <c r="A974" s="19" t="s">
        <v>17</v>
      </c>
      <c r="B974" s="19"/>
      <c r="C974" s="37">
        <v>45900</v>
      </c>
      <c r="D974" s="31" t="s">
        <v>1162</v>
      </c>
      <c r="E974" s="31" t="s">
        <v>50</v>
      </c>
      <c r="F974" s="31" t="s">
        <v>160</v>
      </c>
      <c r="G974" s="38">
        <v>0</v>
      </c>
    </row>
    <row r="975" spans="1:7" x14ac:dyDescent="0.35">
      <c r="A975" s="19" t="s">
        <v>17</v>
      </c>
      <c r="B975" s="19"/>
      <c r="C975" s="37">
        <v>45900</v>
      </c>
      <c r="D975" s="31">
        <v>39088</v>
      </c>
      <c r="E975" s="31" t="s">
        <v>1163</v>
      </c>
      <c r="F975" s="31" t="s">
        <v>160</v>
      </c>
      <c r="G975" s="38">
        <v>6417</v>
      </c>
    </row>
    <row r="976" spans="1:7" x14ac:dyDescent="0.35">
      <c r="A976" s="19" t="s">
        <v>17</v>
      </c>
      <c r="B976" s="19"/>
      <c r="C976" s="37">
        <v>45900</v>
      </c>
      <c r="D976" s="31">
        <v>39089</v>
      </c>
      <c r="E976" s="31" t="s">
        <v>921</v>
      </c>
      <c r="F976" s="31" t="s">
        <v>160</v>
      </c>
      <c r="G976" s="38">
        <v>355.95</v>
      </c>
    </row>
    <row r="977" spans="1:7" x14ac:dyDescent="0.35">
      <c r="A977" s="19" t="s">
        <v>17</v>
      </c>
      <c r="B977" s="19"/>
      <c r="C977" s="37">
        <v>45900</v>
      </c>
      <c r="D977" s="31">
        <v>39091</v>
      </c>
      <c r="E977" s="31" t="s">
        <v>132</v>
      </c>
      <c r="F977" s="31" t="s">
        <v>160</v>
      </c>
      <c r="G977" s="38">
        <v>44.55</v>
      </c>
    </row>
    <row r="978" spans="1:7" x14ac:dyDescent="0.35">
      <c r="A978" s="19" t="s">
        <v>17</v>
      </c>
      <c r="B978" s="19"/>
      <c r="C978" s="37">
        <v>45900</v>
      </c>
      <c r="D978" s="31">
        <v>39092</v>
      </c>
      <c r="E978" s="31" t="s">
        <v>787</v>
      </c>
      <c r="F978" s="31" t="s">
        <v>160</v>
      </c>
      <c r="G978" s="38">
        <v>29496.36</v>
      </c>
    </row>
    <row r="979" spans="1:7" x14ac:dyDescent="0.35">
      <c r="A979" s="19" t="s">
        <v>17</v>
      </c>
      <c r="B979" s="19"/>
      <c r="C979" s="37">
        <v>45900</v>
      </c>
      <c r="D979" s="31">
        <v>39093</v>
      </c>
      <c r="E979" s="31" t="s">
        <v>238</v>
      </c>
      <c r="F979" s="31" t="s">
        <v>160</v>
      </c>
      <c r="G979" s="38">
        <v>1050.5</v>
      </c>
    </row>
    <row r="980" spans="1:7" x14ac:dyDescent="0.35">
      <c r="A980" s="19" t="s">
        <v>17</v>
      </c>
      <c r="B980" s="19"/>
      <c r="C980" s="37">
        <v>45900</v>
      </c>
      <c r="D980" s="31">
        <v>39094</v>
      </c>
      <c r="E980" s="31" t="s">
        <v>52</v>
      </c>
      <c r="F980" s="31" t="s">
        <v>160</v>
      </c>
      <c r="G980" s="38">
        <v>7871.44</v>
      </c>
    </row>
    <row r="981" spans="1:7" x14ac:dyDescent="0.35">
      <c r="A981" s="19" t="s">
        <v>17</v>
      </c>
      <c r="B981" s="19"/>
      <c r="C981" s="37">
        <v>45900</v>
      </c>
      <c r="D981" s="31">
        <v>39095</v>
      </c>
      <c r="E981" s="31" t="s">
        <v>635</v>
      </c>
      <c r="F981" s="31" t="s">
        <v>160</v>
      </c>
      <c r="G981" s="38">
        <v>458.63</v>
      </c>
    </row>
    <row r="982" spans="1:7" x14ac:dyDescent="0.35">
      <c r="A982" s="19" t="s">
        <v>17</v>
      </c>
      <c r="B982" s="19"/>
      <c r="C982" s="37">
        <v>45900</v>
      </c>
      <c r="D982" s="31">
        <v>39096</v>
      </c>
      <c r="E982" s="31" t="s">
        <v>570</v>
      </c>
      <c r="F982" s="31" t="s">
        <v>160</v>
      </c>
      <c r="G982" s="38">
        <v>2244.7600000000002</v>
      </c>
    </row>
    <row r="983" spans="1:7" x14ac:dyDescent="0.35">
      <c r="A983" s="19" t="s">
        <v>17</v>
      </c>
      <c r="B983" s="19"/>
      <c r="C983" s="37">
        <v>45900</v>
      </c>
      <c r="D983" s="31">
        <v>39097</v>
      </c>
      <c r="E983" s="31" t="s">
        <v>1164</v>
      </c>
      <c r="F983" s="31" t="s">
        <v>160</v>
      </c>
      <c r="G983" s="38">
        <v>12.82</v>
      </c>
    </row>
    <row r="984" spans="1:7" x14ac:dyDescent="0.35">
      <c r="A984" s="19" t="s">
        <v>17</v>
      </c>
      <c r="B984" s="19"/>
      <c r="C984" s="37">
        <v>45900</v>
      </c>
      <c r="D984" s="31">
        <v>39098</v>
      </c>
      <c r="E984" s="31" t="s">
        <v>57</v>
      </c>
      <c r="F984" s="31" t="s">
        <v>160</v>
      </c>
      <c r="G984" s="38">
        <v>6125.19</v>
      </c>
    </row>
    <row r="985" spans="1:7" x14ac:dyDescent="0.35">
      <c r="A985" s="19" t="s">
        <v>17</v>
      </c>
      <c r="B985" s="19"/>
      <c r="C985" s="37">
        <v>45900</v>
      </c>
      <c r="D985" s="31">
        <v>39099</v>
      </c>
      <c r="E985" s="31" t="s">
        <v>715</v>
      </c>
      <c r="F985" s="31" t="s">
        <v>160</v>
      </c>
      <c r="G985" s="38">
        <v>8009.75</v>
      </c>
    </row>
    <row r="986" spans="1:7" x14ac:dyDescent="0.35">
      <c r="A986" s="19" t="s">
        <v>17</v>
      </c>
      <c r="B986" s="19"/>
      <c r="C986" s="37">
        <v>45900</v>
      </c>
      <c r="D986" s="31">
        <v>39100</v>
      </c>
      <c r="E986" s="31" t="s">
        <v>1165</v>
      </c>
      <c r="F986" s="31" t="s">
        <v>160</v>
      </c>
      <c r="G986" s="38">
        <v>613.85</v>
      </c>
    </row>
    <row r="987" spans="1:7" x14ac:dyDescent="0.35">
      <c r="A987" s="19" t="s">
        <v>17</v>
      </c>
      <c r="B987" s="19"/>
      <c r="C987" s="37">
        <v>45900</v>
      </c>
      <c r="D987" s="31">
        <v>39101</v>
      </c>
      <c r="E987" s="31" t="s">
        <v>1146</v>
      </c>
      <c r="F987" s="31" t="s">
        <v>160</v>
      </c>
      <c r="G987" s="38">
        <v>18.72</v>
      </c>
    </row>
    <row r="988" spans="1:7" x14ac:dyDescent="0.35">
      <c r="A988" s="19" t="s">
        <v>17</v>
      </c>
      <c r="B988" s="19"/>
      <c r="C988" s="37">
        <v>45900</v>
      </c>
      <c r="D988" s="31">
        <v>39102</v>
      </c>
      <c r="E988" s="31" t="s">
        <v>1166</v>
      </c>
      <c r="F988" s="31" t="s">
        <v>160</v>
      </c>
      <c r="G988" s="38">
        <v>4326.6000000000004</v>
      </c>
    </row>
    <row r="989" spans="1:7" x14ac:dyDescent="0.35">
      <c r="A989" s="19" t="s">
        <v>17</v>
      </c>
      <c r="B989" s="19"/>
      <c r="C989" s="37">
        <v>45900</v>
      </c>
      <c r="D989" s="31">
        <v>39103</v>
      </c>
      <c r="E989" s="31" t="s">
        <v>1140</v>
      </c>
      <c r="F989" s="31" t="s">
        <v>160</v>
      </c>
      <c r="G989" s="38">
        <v>9360</v>
      </c>
    </row>
    <row r="990" spans="1:7" x14ac:dyDescent="0.35">
      <c r="A990" s="19" t="s">
        <v>17</v>
      </c>
      <c r="B990" s="19"/>
      <c r="C990" s="37">
        <v>45900</v>
      </c>
      <c r="D990" s="31">
        <v>39104</v>
      </c>
      <c r="E990" s="31" t="s">
        <v>248</v>
      </c>
      <c r="F990" s="31" t="s">
        <v>160</v>
      </c>
      <c r="G990" s="38">
        <v>1254.52</v>
      </c>
    </row>
    <row r="991" spans="1:7" x14ac:dyDescent="0.35">
      <c r="A991" s="19" t="s">
        <v>17</v>
      </c>
      <c r="B991" s="19"/>
      <c r="C991" s="37">
        <v>45900</v>
      </c>
      <c r="D991" s="31">
        <v>39105</v>
      </c>
      <c r="E991" s="31" t="s">
        <v>1123</v>
      </c>
      <c r="F991" s="31" t="s">
        <v>160</v>
      </c>
      <c r="G991" s="38">
        <v>1125.1500000000001</v>
      </c>
    </row>
    <row r="992" spans="1:7" x14ac:dyDescent="0.35">
      <c r="A992" s="19" t="s">
        <v>17</v>
      </c>
      <c r="B992" s="19"/>
      <c r="C992" s="37">
        <v>45900</v>
      </c>
      <c r="D992" s="31">
        <v>39106</v>
      </c>
      <c r="E992" s="31" t="s">
        <v>1167</v>
      </c>
      <c r="F992" s="31" t="s">
        <v>160</v>
      </c>
      <c r="G992" s="38">
        <v>93.11</v>
      </c>
    </row>
    <row r="993" spans="1:7" x14ac:dyDescent="0.35">
      <c r="A993" s="19" t="s">
        <v>17</v>
      </c>
      <c r="B993" s="19"/>
      <c r="C993" s="37">
        <v>45900</v>
      </c>
      <c r="D993" s="31">
        <v>39107</v>
      </c>
      <c r="E993" s="31" t="s">
        <v>464</v>
      </c>
      <c r="F993" s="31" t="s">
        <v>160</v>
      </c>
      <c r="G993" s="38">
        <v>117734.84</v>
      </c>
    </row>
    <row r="994" spans="1:7" x14ac:dyDescent="0.35">
      <c r="A994" s="19" t="s">
        <v>17</v>
      </c>
      <c r="B994" s="19"/>
      <c r="C994" s="37">
        <v>45900</v>
      </c>
      <c r="D994" s="31">
        <v>39108</v>
      </c>
      <c r="E994" s="31" t="s">
        <v>970</v>
      </c>
      <c r="F994" s="31" t="s">
        <v>160</v>
      </c>
      <c r="G994" s="38">
        <v>29470.66</v>
      </c>
    </row>
    <row r="995" spans="1:7" x14ac:dyDescent="0.35">
      <c r="A995" s="19" t="s">
        <v>17</v>
      </c>
      <c r="B995" s="19"/>
      <c r="C995" s="37">
        <v>45900</v>
      </c>
      <c r="D995" s="31">
        <v>39109</v>
      </c>
      <c r="E995" s="31" t="s">
        <v>171</v>
      </c>
      <c r="F995" s="31" t="s">
        <v>160</v>
      </c>
      <c r="G995" s="38">
        <v>5470.79</v>
      </c>
    </row>
    <row r="996" spans="1:7" x14ac:dyDescent="0.35">
      <c r="A996" s="19" t="s">
        <v>17</v>
      </c>
      <c r="B996" s="19"/>
      <c r="C996" s="37">
        <v>45900</v>
      </c>
      <c r="D996" s="31">
        <v>39110</v>
      </c>
      <c r="E996" s="31" t="s">
        <v>1168</v>
      </c>
      <c r="F996" s="31" t="s">
        <v>160</v>
      </c>
      <c r="G996" s="38">
        <v>359.32</v>
      </c>
    </row>
    <row r="997" spans="1:7" x14ac:dyDescent="0.35">
      <c r="A997" s="19" t="s">
        <v>17</v>
      </c>
      <c r="B997" s="19"/>
      <c r="C997" s="37">
        <v>45900</v>
      </c>
      <c r="D997" s="31">
        <v>39111</v>
      </c>
      <c r="E997" s="31" t="s">
        <v>148</v>
      </c>
      <c r="F997" s="31" t="s">
        <v>160</v>
      </c>
      <c r="G997" s="38">
        <v>44417.43</v>
      </c>
    </row>
    <row r="998" spans="1:7" x14ac:dyDescent="0.35">
      <c r="A998" s="19" t="s">
        <v>17</v>
      </c>
      <c r="B998" s="19"/>
      <c r="C998" s="37">
        <v>45900</v>
      </c>
      <c r="D998" s="31">
        <v>39112</v>
      </c>
      <c r="E998" s="31" t="s">
        <v>29</v>
      </c>
      <c r="F998" s="31" t="s">
        <v>160</v>
      </c>
      <c r="G998" s="38">
        <v>8081.07</v>
      </c>
    </row>
    <row r="999" spans="1:7" x14ac:dyDescent="0.35">
      <c r="A999" s="19" t="s">
        <v>17</v>
      </c>
      <c r="B999" s="19"/>
      <c r="C999" s="37">
        <v>45900</v>
      </c>
      <c r="D999" s="31">
        <v>39113</v>
      </c>
      <c r="E999" s="31" t="s">
        <v>225</v>
      </c>
      <c r="F999" s="31" t="s">
        <v>160</v>
      </c>
      <c r="G999" s="38">
        <v>4721.4400000000005</v>
      </c>
    </row>
    <row r="1000" spans="1:7" x14ac:dyDescent="0.35">
      <c r="A1000" s="19" t="s">
        <v>17</v>
      </c>
      <c r="B1000" s="19"/>
      <c r="C1000" s="37">
        <v>45900</v>
      </c>
      <c r="D1000" s="31">
        <v>39114</v>
      </c>
      <c r="E1000" s="31" t="s">
        <v>559</v>
      </c>
      <c r="F1000" s="31" t="s">
        <v>160</v>
      </c>
      <c r="G1000" s="38">
        <v>22883.119999999999</v>
      </c>
    </row>
    <row r="1001" spans="1:7" x14ac:dyDescent="0.35">
      <c r="A1001" s="19" t="s">
        <v>17</v>
      </c>
      <c r="B1001" s="19"/>
      <c r="C1001" s="37">
        <v>45900</v>
      </c>
      <c r="D1001" s="31">
        <v>39115</v>
      </c>
      <c r="E1001" s="31" t="s">
        <v>261</v>
      </c>
      <c r="F1001" s="31" t="s">
        <v>160</v>
      </c>
      <c r="G1001" s="38">
        <v>29074.390000000003</v>
      </c>
    </row>
    <row r="1002" spans="1:7" x14ac:dyDescent="0.35">
      <c r="A1002" s="19" t="s">
        <v>17</v>
      </c>
      <c r="B1002" s="19"/>
      <c r="C1002" s="37">
        <v>45900</v>
      </c>
      <c r="D1002" s="31">
        <v>39116</v>
      </c>
      <c r="E1002" s="31" t="s">
        <v>47</v>
      </c>
      <c r="F1002" s="31" t="s">
        <v>160</v>
      </c>
      <c r="G1002" s="38">
        <v>235.88</v>
      </c>
    </row>
    <row r="1003" spans="1:7" x14ac:dyDescent="0.35">
      <c r="A1003" s="19" t="s">
        <v>17</v>
      </c>
      <c r="B1003" s="19"/>
      <c r="C1003" s="37">
        <v>45900</v>
      </c>
      <c r="D1003" s="31">
        <v>39117</v>
      </c>
      <c r="E1003" s="31" t="s">
        <v>284</v>
      </c>
      <c r="F1003" s="31" t="s">
        <v>160</v>
      </c>
      <c r="G1003" s="38">
        <v>11048.619999999999</v>
      </c>
    </row>
    <row r="1004" spans="1:7" x14ac:dyDescent="0.35">
      <c r="A1004" s="19" t="s">
        <v>17</v>
      </c>
      <c r="B1004" s="19"/>
      <c r="C1004" s="37">
        <v>45900</v>
      </c>
      <c r="D1004" s="31">
        <v>39118</v>
      </c>
      <c r="E1004" s="31" t="s">
        <v>107</v>
      </c>
      <c r="F1004" s="31" t="s">
        <v>160</v>
      </c>
      <c r="G1004" s="38">
        <v>8730.48</v>
      </c>
    </row>
    <row r="1005" spans="1:7" x14ac:dyDescent="0.35">
      <c r="A1005" s="19" t="s">
        <v>17</v>
      </c>
      <c r="B1005" s="19"/>
      <c r="C1005" s="37">
        <v>45900</v>
      </c>
      <c r="D1005" s="31">
        <v>39119</v>
      </c>
      <c r="E1005" s="31" t="s">
        <v>727</v>
      </c>
      <c r="F1005" s="31" t="s">
        <v>160</v>
      </c>
      <c r="G1005" s="38">
        <v>768.7</v>
      </c>
    </row>
    <row r="1006" spans="1:7" x14ac:dyDescent="0.35">
      <c r="A1006" s="19" t="s">
        <v>17</v>
      </c>
      <c r="B1006" s="19"/>
      <c r="C1006" s="37">
        <v>45900</v>
      </c>
      <c r="D1006" s="31">
        <v>39120</v>
      </c>
      <c r="E1006" s="31" t="s">
        <v>1169</v>
      </c>
      <c r="F1006" s="31" t="s">
        <v>160</v>
      </c>
      <c r="G1006" s="38">
        <v>181.41</v>
      </c>
    </row>
    <row r="1007" spans="1:7" x14ac:dyDescent="0.35">
      <c r="A1007" s="19" t="s">
        <v>17</v>
      </c>
      <c r="B1007" s="19"/>
      <c r="C1007" s="37">
        <v>45900</v>
      </c>
      <c r="D1007" s="31">
        <v>39121</v>
      </c>
      <c r="E1007" s="31" t="s">
        <v>408</v>
      </c>
      <c r="F1007" s="31" t="s">
        <v>160</v>
      </c>
      <c r="G1007" s="38">
        <v>330.77</v>
      </c>
    </row>
    <row r="1008" spans="1:7" x14ac:dyDescent="0.35">
      <c r="A1008" s="19" t="s">
        <v>17</v>
      </c>
      <c r="B1008" s="19"/>
      <c r="C1008" s="37">
        <v>45900</v>
      </c>
      <c r="D1008" s="31">
        <v>39122</v>
      </c>
      <c r="E1008" s="31" t="s">
        <v>1027</v>
      </c>
      <c r="F1008" s="31" t="s">
        <v>160</v>
      </c>
      <c r="G1008" s="38">
        <v>4462.1899999999996</v>
      </c>
    </row>
    <row r="1009" spans="1:7" x14ac:dyDescent="0.35">
      <c r="A1009" s="19" t="s">
        <v>17</v>
      </c>
      <c r="B1009" s="19"/>
      <c r="C1009" s="37">
        <v>45900</v>
      </c>
      <c r="D1009" s="31">
        <v>39124</v>
      </c>
      <c r="E1009" s="31" t="s">
        <v>767</v>
      </c>
      <c r="F1009" s="31" t="s">
        <v>160</v>
      </c>
      <c r="G1009" s="38">
        <v>10792.45</v>
      </c>
    </row>
    <row r="1010" spans="1:7" x14ac:dyDescent="0.35">
      <c r="A1010" s="19" t="s">
        <v>17</v>
      </c>
      <c r="B1010" s="1"/>
      <c r="C1010" s="37">
        <v>45877</v>
      </c>
      <c r="D1010" s="39" t="s">
        <v>174</v>
      </c>
      <c r="E1010" s="31" t="s">
        <v>173</v>
      </c>
      <c r="F1010" s="31" t="s">
        <v>1170</v>
      </c>
      <c r="G1010" s="38">
        <v>120</v>
      </c>
    </row>
    <row r="1011" spans="1:7" x14ac:dyDescent="0.35">
      <c r="A1011" s="19" t="s">
        <v>17</v>
      </c>
      <c r="B1011" s="1"/>
      <c r="C1011" s="37">
        <v>45881</v>
      </c>
      <c r="D1011" s="31" t="s">
        <v>188</v>
      </c>
      <c r="E1011" s="31" t="s">
        <v>75</v>
      </c>
      <c r="F1011" s="31" t="s">
        <v>1170</v>
      </c>
      <c r="G1011" s="38">
        <v>1955</v>
      </c>
    </row>
    <row r="1012" spans="1:7" x14ac:dyDescent="0.35">
      <c r="A1012" s="19" t="s">
        <v>17</v>
      </c>
      <c r="B1012" s="1"/>
      <c r="C1012" s="37">
        <v>45895</v>
      </c>
      <c r="D1012" s="31" t="s">
        <v>1171</v>
      </c>
      <c r="E1012" s="31" t="s">
        <v>33</v>
      </c>
      <c r="F1012" s="31" t="s">
        <v>1170</v>
      </c>
      <c r="G1012" s="38">
        <v>-18900</v>
      </c>
    </row>
    <row r="1013" spans="1:7" x14ac:dyDescent="0.35">
      <c r="A1013" s="19" t="s">
        <v>17</v>
      </c>
      <c r="B1013" s="1"/>
      <c r="C1013" s="37">
        <v>45898</v>
      </c>
      <c r="D1013" s="31">
        <v>38881</v>
      </c>
      <c r="E1013" s="31" t="s">
        <v>239</v>
      </c>
      <c r="F1013" s="31" t="s">
        <v>1170</v>
      </c>
      <c r="G1013" s="38">
        <v>16.97</v>
      </c>
    </row>
    <row r="1014" spans="1:7" x14ac:dyDescent="0.35">
      <c r="A1014" s="19" t="s">
        <v>17</v>
      </c>
      <c r="B1014" s="1"/>
      <c r="C1014" s="37">
        <v>45899</v>
      </c>
      <c r="D1014" s="31">
        <v>32888</v>
      </c>
      <c r="E1014" s="31" t="s">
        <v>266</v>
      </c>
      <c r="F1014" s="31" t="s">
        <v>1170</v>
      </c>
      <c r="G1014" s="38">
        <v>0</v>
      </c>
    </row>
    <row r="1015" spans="1:7" x14ac:dyDescent="0.35">
      <c r="A1015" s="19" t="s">
        <v>17</v>
      </c>
      <c r="B1015" s="1"/>
      <c r="C1015" s="37">
        <v>45899</v>
      </c>
      <c r="D1015" s="31" t="s">
        <v>294</v>
      </c>
      <c r="E1015" s="31" t="s">
        <v>26</v>
      </c>
      <c r="F1015" s="31" t="s">
        <v>1170</v>
      </c>
      <c r="G1015" s="38">
        <v>0</v>
      </c>
    </row>
    <row r="1016" spans="1:7" x14ac:dyDescent="0.35">
      <c r="A1016" s="19" t="s">
        <v>17</v>
      </c>
      <c r="B1016" s="1"/>
      <c r="C1016" s="37">
        <v>45899</v>
      </c>
      <c r="D1016" s="31" t="s">
        <v>427</v>
      </c>
      <c r="E1016" s="31" t="s">
        <v>349</v>
      </c>
      <c r="F1016" s="31" t="s">
        <v>1170</v>
      </c>
      <c r="G1016" s="38">
        <v>484.5</v>
      </c>
    </row>
    <row r="1017" spans="1:7" x14ac:dyDescent="0.35">
      <c r="A1017" s="19" t="s">
        <v>17</v>
      </c>
      <c r="B1017" s="1"/>
      <c r="C1017" s="37">
        <v>45899</v>
      </c>
      <c r="D1017" s="31" t="s">
        <v>483</v>
      </c>
      <c r="E1017" s="31" t="s">
        <v>337</v>
      </c>
      <c r="F1017" s="31" t="s">
        <v>1170</v>
      </c>
      <c r="G1017" s="38">
        <v>22888.74</v>
      </c>
    </row>
    <row r="1018" spans="1:7" x14ac:dyDescent="0.35">
      <c r="A1018" s="19" t="s">
        <v>17</v>
      </c>
      <c r="B1018" s="1"/>
      <c r="C1018" s="37">
        <v>45899</v>
      </c>
      <c r="D1018" s="31" t="s">
        <v>490</v>
      </c>
      <c r="E1018" s="31" t="s">
        <v>55</v>
      </c>
      <c r="F1018" s="31" t="s">
        <v>1170</v>
      </c>
      <c r="G1018" s="38">
        <v>9987.5</v>
      </c>
    </row>
    <row r="1019" spans="1:7" x14ac:dyDescent="0.35">
      <c r="A1019" s="19" t="s">
        <v>17</v>
      </c>
      <c r="B1019" s="1"/>
      <c r="C1019" s="37">
        <v>45899</v>
      </c>
      <c r="D1019" s="31" t="s">
        <v>500</v>
      </c>
      <c r="E1019" s="31" t="s">
        <v>55</v>
      </c>
      <c r="F1019" s="31" t="s">
        <v>1170</v>
      </c>
      <c r="G1019" s="38">
        <v>56736.619999999995</v>
      </c>
    </row>
    <row r="1020" spans="1:7" x14ac:dyDescent="0.35">
      <c r="A1020" s="19" t="s">
        <v>17</v>
      </c>
      <c r="B1020" s="1"/>
      <c r="C1020" s="37">
        <v>45899</v>
      </c>
      <c r="D1020" s="31">
        <v>36512</v>
      </c>
      <c r="E1020" s="31" t="s">
        <v>586</v>
      </c>
      <c r="F1020" s="31" t="s">
        <v>1170</v>
      </c>
      <c r="G1020" s="38">
        <v>355</v>
      </c>
    </row>
    <row r="1021" spans="1:7" x14ac:dyDescent="0.35">
      <c r="A1021" s="19" t="s">
        <v>17</v>
      </c>
      <c r="B1021" s="1"/>
      <c r="C1021" s="37">
        <v>45899</v>
      </c>
      <c r="D1021" s="31" t="s">
        <v>778</v>
      </c>
      <c r="E1021" s="31" t="s">
        <v>779</v>
      </c>
      <c r="F1021" s="31" t="s">
        <v>1170</v>
      </c>
      <c r="G1021" s="38">
        <v>0</v>
      </c>
    </row>
    <row r="1022" spans="1:7" x14ac:dyDescent="0.35">
      <c r="A1022" s="19" t="s">
        <v>17</v>
      </c>
      <c r="B1022" s="1"/>
      <c r="C1022" s="37">
        <v>45899</v>
      </c>
      <c r="D1022" s="31">
        <v>38051</v>
      </c>
      <c r="E1022" s="31" t="s">
        <v>682</v>
      </c>
      <c r="F1022" s="31" t="s">
        <v>1170</v>
      </c>
      <c r="G1022" s="38">
        <v>680</v>
      </c>
    </row>
    <row r="1023" spans="1:7" x14ac:dyDescent="0.35">
      <c r="A1023" s="19" t="s">
        <v>17</v>
      </c>
      <c r="B1023" s="1"/>
      <c r="C1023" s="37">
        <v>45899</v>
      </c>
      <c r="D1023" s="31">
        <v>38230</v>
      </c>
      <c r="E1023" s="31" t="s">
        <v>831</v>
      </c>
      <c r="F1023" s="31" t="s">
        <v>1170</v>
      </c>
      <c r="G1023" s="38">
        <v>85</v>
      </c>
    </row>
    <row r="1024" spans="1:7" x14ac:dyDescent="0.35">
      <c r="A1024" s="19" t="s">
        <v>17</v>
      </c>
      <c r="B1024" s="1"/>
      <c r="C1024" s="37">
        <v>45899</v>
      </c>
      <c r="D1024" s="31">
        <v>38254</v>
      </c>
      <c r="E1024" s="31" t="s">
        <v>177</v>
      </c>
      <c r="F1024" s="31" t="s">
        <v>1170</v>
      </c>
      <c r="G1024" s="38">
        <v>9650</v>
      </c>
    </row>
    <row r="1025" spans="1:7" x14ac:dyDescent="0.35">
      <c r="A1025" s="19" t="s">
        <v>17</v>
      </c>
      <c r="B1025" s="1"/>
      <c r="C1025" s="37">
        <v>45899</v>
      </c>
      <c r="D1025" s="31" t="s">
        <v>840</v>
      </c>
      <c r="E1025" s="31" t="s">
        <v>177</v>
      </c>
      <c r="F1025" s="31" t="s">
        <v>1170</v>
      </c>
      <c r="G1025" s="38">
        <v>7155.75</v>
      </c>
    </row>
    <row r="1026" spans="1:7" x14ac:dyDescent="0.35">
      <c r="A1026" s="19" t="s">
        <v>17</v>
      </c>
      <c r="B1026" s="1"/>
      <c r="C1026" s="37">
        <v>45899</v>
      </c>
      <c r="D1026" s="31" t="s">
        <v>841</v>
      </c>
      <c r="E1026" s="31" t="s">
        <v>177</v>
      </c>
      <c r="F1026" s="31" t="s">
        <v>1170</v>
      </c>
      <c r="G1026" s="38">
        <v>9270.7800000000007</v>
      </c>
    </row>
    <row r="1027" spans="1:7" x14ac:dyDescent="0.35">
      <c r="A1027" s="19" t="s">
        <v>17</v>
      </c>
      <c r="B1027" s="1"/>
      <c r="C1027" s="37">
        <v>45899</v>
      </c>
      <c r="D1027" s="31">
        <v>38546</v>
      </c>
      <c r="E1027" s="31" t="s">
        <v>86</v>
      </c>
      <c r="F1027" s="31" t="s">
        <v>1170</v>
      </c>
      <c r="G1027" s="38">
        <v>0</v>
      </c>
    </row>
    <row r="1028" spans="1:7" x14ac:dyDescent="0.35">
      <c r="A1028" s="19" t="s">
        <v>17</v>
      </c>
      <c r="B1028" s="1"/>
      <c r="C1028" s="37">
        <v>45899</v>
      </c>
      <c r="D1028" s="31">
        <v>38651</v>
      </c>
      <c r="E1028" s="31" t="s">
        <v>586</v>
      </c>
      <c r="F1028" s="31" t="s">
        <v>1170</v>
      </c>
      <c r="G1028" s="38">
        <v>450</v>
      </c>
    </row>
    <row r="1029" spans="1:7" x14ac:dyDescent="0.35">
      <c r="A1029" s="19" t="s">
        <v>17</v>
      </c>
      <c r="B1029" s="1"/>
      <c r="C1029" s="37">
        <v>45899</v>
      </c>
      <c r="D1029" s="31" t="s">
        <v>907</v>
      </c>
      <c r="E1029" s="31" t="s">
        <v>59</v>
      </c>
      <c r="F1029" s="31" t="s">
        <v>1170</v>
      </c>
      <c r="G1029" s="38">
        <v>983.73</v>
      </c>
    </row>
    <row r="1030" spans="1:7" x14ac:dyDescent="0.35">
      <c r="A1030" s="19" t="s">
        <v>17</v>
      </c>
      <c r="B1030" s="1"/>
      <c r="C1030" s="37">
        <v>45899</v>
      </c>
      <c r="D1030" s="31">
        <v>38806</v>
      </c>
      <c r="E1030" s="31" t="s">
        <v>918</v>
      </c>
      <c r="F1030" s="31" t="s">
        <v>1170</v>
      </c>
      <c r="G1030" s="38">
        <v>750</v>
      </c>
    </row>
    <row r="1031" spans="1:7" x14ac:dyDescent="0.35">
      <c r="A1031" s="19" t="s">
        <v>17</v>
      </c>
      <c r="B1031" s="1"/>
      <c r="C1031" s="37">
        <v>45899</v>
      </c>
      <c r="D1031" s="31">
        <v>38817</v>
      </c>
      <c r="E1031" s="31" t="s">
        <v>919</v>
      </c>
      <c r="F1031" s="31" t="s">
        <v>1170</v>
      </c>
      <c r="G1031" s="38">
        <v>110.1</v>
      </c>
    </row>
    <row r="1032" spans="1:7" x14ac:dyDescent="0.35">
      <c r="A1032" s="19" t="s">
        <v>17</v>
      </c>
      <c r="B1032" s="1"/>
      <c r="C1032" s="37">
        <v>45899</v>
      </c>
      <c r="D1032" s="31">
        <v>38846</v>
      </c>
      <c r="E1032" s="31" t="s">
        <v>922</v>
      </c>
      <c r="F1032" s="31" t="s">
        <v>1170</v>
      </c>
      <c r="G1032" s="38">
        <v>209.05</v>
      </c>
    </row>
    <row r="1033" spans="1:7" x14ac:dyDescent="0.35">
      <c r="A1033" s="19" t="s">
        <v>17</v>
      </c>
      <c r="B1033" s="1"/>
      <c r="C1033" s="37">
        <v>45899</v>
      </c>
      <c r="D1033" s="31">
        <v>38889</v>
      </c>
      <c r="E1033" s="31" t="s">
        <v>107</v>
      </c>
      <c r="F1033" s="31" t="s">
        <v>1170</v>
      </c>
      <c r="G1033" s="38">
        <v>118.52</v>
      </c>
    </row>
    <row r="1034" spans="1:7" x14ac:dyDescent="0.35">
      <c r="A1034" s="19" t="s">
        <v>17</v>
      </c>
      <c r="B1034" s="1"/>
      <c r="C1034" s="37">
        <v>45899</v>
      </c>
      <c r="D1034" s="31">
        <v>38954</v>
      </c>
      <c r="E1034" s="31" t="s">
        <v>924</v>
      </c>
      <c r="F1034" s="31" t="s">
        <v>1170</v>
      </c>
      <c r="G1034" s="38">
        <v>455</v>
      </c>
    </row>
    <row r="1035" spans="1:7" x14ac:dyDescent="0.35">
      <c r="A1035" s="19" t="s">
        <v>17</v>
      </c>
      <c r="B1035" s="1"/>
      <c r="C1035" s="37">
        <v>45900</v>
      </c>
      <c r="D1035" s="31" t="s">
        <v>944</v>
      </c>
      <c r="E1035" s="31" t="s">
        <v>50</v>
      </c>
      <c r="F1035" s="31" t="s">
        <v>1170</v>
      </c>
      <c r="G1035" s="38">
        <v>0</v>
      </c>
    </row>
    <row r="1036" spans="1:7" x14ac:dyDescent="0.35">
      <c r="A1036" s="19" t="s">
        <v>17</v>
      </c>
      <c r="B1036" s="1"/>
      <c r="C1036" s="37">
        <v>45900</v>
      </c>
      <c r="D1036" s="31" t="s">
        <v>1172</v>
      </c>
      <c r="E1036" s="31" t="s">
        <v>932</v>
      </c>
      <c r="F1036" s="31" t="s">
        <v>1170</v>
      </c>
      <c r="G1036" s="38">
        <v>2907.31</v>
      </c>
    </row>
    <row r="1037" spans="1:7" x14ac:dyDescent="0.35">
      <c r="A1037" s="19" t="s">
        <v>17</v>
      </c>
      <c r="B1037" s="1"/>
      <c r="C1037" s="37">
        <v>45900</v>
      </c>
      <c r="D1037" s="31" t="s">
        <v>957</v>
      </c>
      <c r="E1037" s="31" t="s">
        <v>50</v>
      </c>
      <c r="F1037" s="31" t="s">
        <v>1170</v>
      </c>
      <c r="G1037" s="38">
        <v>0</v>
      </c>
    </row>
    <row r="1038" spans="1:7" x14ac:dyDescent="0.35">
      <c r="A1038" s="19" t="s">
        <v>17</v>
      </c>
      <c r="B1038" s="1"/>
      <c r="C1038" s="37">
        <v>45900</v>
      </c>
      <c r="D1038" s="31" t="s">
        <v>959</v>
      </c>
      <c r="E1038" s="31" t="s">
        <v>50</v>
      </c>
      <c r="F1038" s="31" t="s">
        <v>1170</v>
      </c>
      <c r="G1038" s="38">
        <v>0</v>
      </c>
    </row>
    <row r="1039" spans="1:7" x14ac:dyDescent="0.35">
      <c r="A1039" s="19" t="s">
        <v>17</v>
      </c>
      <c r="B1039" s="1"/>
      <c r="C1039" s="37">
        <v>45900</v>
      </c>
      <c r="D1039" s="31" t="s">
        <v>960</v>
      </c>
      <c r="E1039" s="31" t="s">
        <v>50</v>
      </c>
      <c r="F1039" s="31" t="s">
        <v>1170</v>
      </c>
      <c r="G1039" s="38">
        <v>0</v>
      </c>
    </row>
    <row r="1040" spans="1:7" x14ac:dyDescent="0.35">
      <c r="A1040" s="19" t="s">
        <v>17</v>
      </c>
      <c r="B1040" s="1"/>
      <c r="C1040" s="37">
        <v>45900</v>
      </c>
      <c r="D1040" s="31" t="s">
        <v>961</v>
      </c>
      <c r="E1040" s="31" t="s">
        <v>50</v>
      </c>
      <c r="F1040" s="31" t="s">
        <v>1170</v>
      </c>
      <c r="G1040" s="38">
        <v>0</v>
      </c>
    </row>
    <row r="1041" spans="1:7" x14ac:dyDescent="0.35">
      <c r="A1041" s="19" t="s">
        <v>17</v>
      </c>
      <c r="B1041" s="1"/>
      <c r="C1041" s="37">
        <v>45900</v>
      </c>
      <c r="D1041" s="31" t="s">
        <v>962</v>
      </c>
      <c r="E1041" s="31" t="s">
        <v>50</v>
      </c>
      <c r="F1041" s="31" t="s">
        <v>1170</v>
      </c>
      <c r="G1041" s="38">
        <v>0</v>
      </c>
    </row>
    <row r="1042" spans="1:7" x14ac:dyDescent="0.35">
      <c r="A1042" s="19" t="s">
        <v>17</v>
      </c>
      <c r="B1042" s="1"/>
      <c r="C1042" s="37">
        <v>45900</v>
      </c>
      <c r="D1042" s="31" t="s">
        <v>985</v>
      </c>
      <c r="E1042" s="31" t="s">
        <v>50</v>
      </c>
      <c r="F1042" s="31" t="s">
        <v>1170</v>
      </c>
      <c r="G1042" s="38">
        <v>0</v>
      </c>
    </row>
    <row r="1043" spans="1:7" x14ac:dyDescent="0.35">
      <c r="A1043" s="19" t="s">
        <v>17</v>
      </c>
      <c r="B1043" s="1"/>
      <c r="C1043" s="37">
        <v>45900</v>
      </c>
      <c r="D1043" s="31" t="s">
        <v>992</v>
      </c>
      <c r="E1043" s="31" t="s">
        <v>990</v>
      </c>
      <c r="F1043" s="31" t="s">
        <v>1170</v>
      </c>
      <c r="G1043" s="38">
        <v>0</v>
      </c>
    </row>
    <row r="1044" spans="1:7" x14ac:dyDescent="0.35">
      <c r="A1044" s="19" t="s">
        <v>17</v>
      </c>
      <c r="B1044" s="1"/>
      <c r="C1044" s="37">
        <v>45900</v>
      </c>
      <c r="D1044" s="31" t="s">
        <v>993</v>
      </c>
      <c r="E1044" s="31" t="s">
        <v>80</v>
      </c>
      <c r="F1044" s="31" t="s">
        <v>1170</v>
      </c>
      <c r="G1044" s="38">
        <v>8003.78</v>
      </c>
    </row>
    <row r="1045" spans="1:7" x14ac:dyDescent="0.35">
      <c r="A1045" s="19" t="s">
        <v>17</v>
      </c>
      <c r="B1045" s="1"/>
      <c r="C1045" s="37">
        <v>45900</v>
      </c>
      <c r="D1045" s="31" t="s">
        <v>999</v>
      </c>
      <c r="E1045" s="31" t="s">
        <v>80</v>
      </c>
      <c r="F1045" s="31" t="s">
        <v>1170</v>
      </c>
      <c r="G1045" s="38">
        <v>3603.25</v>
      </c>
    </row>
    <row r="1046" spans="1:7" x14ac:dyDescent="0.35">
      <c r="A1046" s="19" t="s">
        <v>17</v>
      </c>
      <c r="B1046" s="1"/>
      <c r="C1046" s="37">
        <v>45900</v>
      </c>
      <c r="D1046" s="31" t="s">
        <v>1009</v>
      </c>
      <c r="E1046" s="31" t="s">
        <v>453</v>
      </c>
      <c r="F1046" s="31" t="s">
        <v>1170</v>
      </c>
      <c r="G1046" s="38">
        <v>121.39</v>
      </c>
    </row>
    <row r="1047" spans="1:7" x14ac:dyDescent="0.35">
      <c r="A1047" s="19" t="s">
        <v>17</v>
      </c>
      <c r="B1047" s="1"/>
      <c r="C1047" s="37">
        <v>45900</v>
      </c>
      <c r="D1047" s="31" t="s">
        <v>1026</v>
      </c>
      <c r="E1047" s="31" t="s">
        <v>1027</v>
      </c>
      <c r="F1047" s="31" t="s">
        <v>1170</v>
      </c>
      <c r="G1047" s="38">
        <v>300</v>
      </c>
    </row>
    <row r="1048" spans="1:7" x14ac:dyDescent="0.35">
      <c r="A1048" s="19" t="s">
        <v>17</v>
      </c>
      <c r="B1048" s="1"/>
      <c r="C1048" s="37">
        <v>45900</v>
      </c>
      <c r="D1048" s="31" t="s">
        <v>1173</v>
      </c>
      <c r="E1048" s="31" t="s">
        <v>1174</v>
      </c>
      <c r="F1048" s="31" t="s">
        <v>1170</v>
      </c>
      <c r="G1048" s="38">
        <v>7000</v>
      </c>
    </row>
    <row r="1049" spans="1:7" x14ac:dyDescent="0.35">
      <c r="A1049" s="19" t="s">
        <v>17</v>
      </c>
      <c r="B1049" s="1"/>
      <c r="C1049" s="37">
        <v>45900</v>
      </c>
      <c r="D1049" s="31" t="s">
        <v>1030</v>
      </c>
      <c r="E1049" s="31" t="s">
        <v>50</v>
      </c>
      <c r="F1049" s="31" t="s">
        <v>1170</v>
      </c>
      <c r="G1049" s="38">
        <v>0</v>
      </c>
    </row>
    <row r="1050" spans="1:7" x14ac:dyDescent="0.35">
      <c r="A1050" s="19" t="s">
        <v>17</v>
      </c>
      <c r="B1050" s="1"/>
      <c r="C1050" s="37">
        <v>45900</v>
      </c>
      <c r="D1050" s="31" t="s">
        <v>1031</v>
      </c>
      <c r="E1050" s="31" t="s">
        <v>50</v>
      </c>
      <c r="F1050" s="31" t="s">
        <v>1170</v>
      </c>
      <c r="G1050" s="38">
        <v>0</v>
      </c>
    </row>
    <row r="1051" spans="1:7" x14ac:dyDescent="0.35">
      <c r="A1051" s="19" t="s">
        <v>17</v>
      </c>
      <c r="B1051" s="1"/>
      <c r="C1051" s="37">
        <v>45900</v>
      </c>
      <c r="D1051" s="31" t="s">
        <v>1032</v>
      </c>
      <c r="E1051" s="31" t="s">
        <v>50</v>
      </c>
      <c r="F1051" s="31" t="s">
        <v>1170</v>
      </c>
      <c r="G1051" s="38">
        <v>0</v>
      </c>
    </row>
    <row r="1052" spans="1:7" x14ac:dyDescent="0.35">
      <c r="A1052" s="19" t="s">
        <v>17</v>
      </c>
      <c r="B1052" s="1"/>
      <c r="C1052" s="37">
        <v>45900</v>
      </c>
      <c r="D1052" s="31" t="s">
        <v>1033</v>
      </c>
      <c r="E1052" s="31" t="s">
        <v>50</v>
      </c>
      <c r="F1052" s="31" t="s">
        <v>1170</v>
      </c>
      <c r="G1052" s="38">
        <v>0</v>
      </c>
    </row>
    <row r="1053" spans="1:7" x14ac:dyDescent="0.35">
      <c r="A1053" s="19" t="s">
        <v>17</v>
      </c>
      <c r="B1053" s="1"/>
      <c r="C1053" s="37">
        <v>45900</v>
      </c>
      <c r="D1053" s="31" t="s">
        <v>1045</v>
      </c>
      <c r="E1053" s="31" t="s">
        <v>148</v>
      </c>
      <c r="F1053" s="31" t="s">
        <v>1170</v>
      </c>
      <c r="G1053" s="38">
        <v>3099.25</v>
      </c>
    </row>
    <row r="1054" spans="1:7" x14ac:dyDescent="0.35">
      <c r="A1054" s="19" t="s">
        <v>17</v>
      </c>
      <c r="B1054" s="1"/>
      <c r="C1054" s="37">
        <v>45900</v>
      </c>
      <c r="D1054" s="31" t="s">
        <v>1049</v>
      </c>
      <c r="E1054" s="31" t="s">
        <v>50</v>
      </c>
      <c r="F1054" s="31" t="s">
        <v>1170</v>
      </c>
      <c r="G1054" s="38">
        <v>0</v>
      </c>
    </row>
    <row r="1055" spans="1:7" x14ac:dyDescent="0.35">
      <c r="A1055" s="19" t="s">
        <v>17</v>
      </c>
      <c r="B1055" s="1"/>
      <c r="C1055" s="37">
        <v>45900</v>
      </c>
      <c r="D1055" s="31">
        <v>37354</v>
      </c>
      <c r="E1055" s="31" t="s">
        <v>1050</v>
      </c>
      <c r="F1055" s="31" t="s">
        <v>1170</v>
      </c>
      <c r="G1055" s="38">
        <v>400</v>
      </c>
    </row>
    <row r="1056" spans="1:7" x14ac:dyDescent="0.35">
      <c r="A1056" s="19" t="s">
        <v>17</v>
      </c>
      <c r="B1056" s="1"/>
      <c r="C1056" s="37">
        <v>45900</v>
      </c>
      <c r="D1056" s="31" t="s">
        <v>1063</v>
      </c>
      <c r="E1056" s="31" t="s">
        <v>284</v>
      </c>
      <c r="F1056" s="31" t="s">
        <v>1170</v>
      </c>
      <c r="G1056" s="38">
        <v>15488.2</v>
      </c>
    </row>
    <row r="1057" spans="1:7" x14ac:dyDescent="0.35">
      <c r="A1057" s="19" t="s">
        <v>17</v>
      </c>
      <c r="B1057" s="1"/>
      <c r="C1057" s="37">
        <v>45900</v>
      </c>
      <c r="D1057" s="31" t="s">
        <v>1069</v>
      </c>
      <c r="E1057" s="31" t="s">
        <v>59</v>
      </c>
      <c r="F1057" s="31" t="s">
        <v>1170</v>
      </c>
      <c r="G1057" s="38">
        <v>78228.36</v>
      </c>
    </row>
    <row r="1058" spans="1:7" x14ac:dyDescent="0.35">
      <c r="A1058" s="19" t="s">
        <v>17</v>
      </c>
      <c r="B1058" s="1"/>
      <c r="C1058" s="37">
        <v>45900</v>
      </c>
      <c r="D1058" s="31" t="s">
        <v>1081</v>
      </c>
      <c r="E1058" s="31" t="s">
        <v>50</v>
      </c>
      <c r="F1058" s="31" t="s">
        <v>1170</v>
      </c>
      <c r="G1058" s="38">
        <v>0</v>
      </c>
    </row>
    <row r="1059" spans="1:7" x14ac:dyDescent="0.35">
      <c r="A1059" s="19" t="s">
        <v>17</v>
      </c>
      <c r="B1059" s="1"/>
      <c r="C1059" s="37">
        <v>45900</v>
      </c>
      <c r="D1059" s="31">
        <v>38262</v>
      </c>
      <c r="E1059" s="31" t="s">
        <v>177</v>
      </c>
      <c r="F1059" s="31" t="s">
        <v>1170</v>
      </c>
      <c r="G1059" s="38">
        <v>9650</v>
      </c>
    </row>
    <row r="1060" spans="1:7" x14ac:dyDescent="0.35">
      <c r="A1060" s="19" t="s">
        <v>17</v>
      </c>
      <c r="B1060" s="1"/>
      <c r="C1060" s="37">
        <v>45900</v>
      </c>
      <c r="D1060" s="31" t="s">
        <v>1086</v>
      </c>
      <c r="E1060" s="31" t="s">
        <v>177</v>
      </c>
      <c r="F1060" s="31" t="s">
        <v>1170</v>
      </c>
      <c r="G1060" s="38">
        <v>3395.46</v>
      </c>
    </row>
    <row r="1061" spans="1:7" x14ac:dyDescent="0.35">
      <c r="A1061" s="19" t="s">
        <v>17</v>
      </c>
      <c r="B1061" s="1"/>
      <c r="C1061" s="37">
        <v>45900</v>
      </c>
      <c r="D1061" s="31">
        <v>38527</v>
      </c>
      <c r="E1061" s="31" t="s">
        <v>1098</v>
      </c>
      <c r="F1061" s="31" t="s">
        <v>1170</v>
      </c>
      <c r="G1061" s="38">
        <v>500</v>
      </c>
    </row>
    <row r="1062" spans="1:7" x14ac:dyDescent="0.35">
      <c r="A1062" s="19" t="s">
        <v>17</v>
      </c>
      <c r="B1062" s="1"/>
      <c r="C1062" s="37">
        <v>45900</v>
      </c>
      <c r="D1062" s="31">
        <v>38557</v>
      </c>
      <c r="E1062" s="31" t="s">
        <v>50</v>
      </c>
      <c r="F1062" s="31" t="s">
        <v>1170</v>
      </c>
      <c r="G1062" s="38">
        <v>4381.5</v>
      </c>
    </row>
    <row r="1063" spans="1:7" x14ac:dyDescent="0.35">
      <c r="A1063" s="19" t="s">
        <v>17</v>
      </c>
      <c r="B1063" s="1"/>
      <c r="C1063" s="37">
        <v>45900</v>
      </c>
      <c r="D1063" s="31">
        <v>38621</v>
      </c>
      <c r="E1063" s="31" t="s">
        <v>1027</v>
      </c>
      <c r="F1063" s="31" t="s">
        <v>1170</v>
      </c>
      <c r="G1063" s="38">
        <v>600</v>
      </c>
    </row>
    <row r="1064" spans="1:7" x14ac:dyDescent="0.35">
      <c r="A1064" s="19" t="s">
        <v>17</v>
      </c>
      <c r="B1064" s="1"/>
      <c r="C1064" s="37">
        <v>45900</v>
      </c>
      <c r="D1064" s="31">
        <v>38726</v>
      </c>
      <c r="E1064" s="31" t="s">
        <v>1110</v>
      </c>
      <c r="F1064" s="31" t="s">
        <v>1170</v>
      </c>
      <c r="G1064" s="38">
        <v>170</v>
      </c>
    </row>
    <row r="1065" spans="1:7" x14ac:dyDescent="0.35">
      <c r="A1065" s="19" t="s">
        <v>17</v>
      </c>
      <c r="B1065" s="1"/>
      <c r="C1065" s="37">
        <v>45900</v>
      </c>
      <c r="D1065" s="31">
        <v>38744</v>
      </c>
      <c r="E1065" s="31" t="s">
        <v>1113</v>
      </c>
      <c r="F1065" s="31" t="s">
        <v>1170</v>
      </c>
      <c r="G1065" s="38">
        <v>650</v>
      </c>
    </row>
    <row r="1066" spans="1:7" x14ac:dyDescent="0.35">
      <c r="A1066" s="19" t="s">
        <v>17</v>
      </c>
      <c r="B1066" s="1"/>
      <c r="C1066" s="37">
        <v>45900</v>
      </c>
      <c r="D1066" s="31">
        <v>38758</v>
      </c>
      <c r="E1066" s="31" t="s">
        <v>722</v>
      </c>
      <c r="F1066" s="31" t="s">
        <v>1170</v>
      </c>
      <c r="G1066" s="38">
        <v>16.260000000000002</v>
      </c>
    </row>
    <row r="1067" spans="1:7" x14ac:dyDescent="0.35">
      <c r="A1067" s="19" t="s">
        <v>17</v>
      </c>
      <c r="B1067" s="1"/>
      <c r="C1067" s="37">
        <v>45900</v>
      </c>
      <c r="D1067" s="31">
        <v>38800</v>
      </c>
      <c r="E1067" s="31" t="s">
        <v>1118</v>
      </c>
      <c r="F1067" s="31" t="s">
        <v>1170</v>
      </c>
      <c r="G1067" s="38">
        <v>534.33000000000004</v>
      </c>
    </row>
    <row r="1068" spans="1:7" x14ac:dyDescent="0.35">
      <c r="A1068" s="19" t="s">
        <v>17</v>
      </c>
      <c r="B1068" s="1"/>
      <c r="C1068" s="37">
        <v>45900</v>
      </c>
      <c r="D1068" s="31">
        <v>38801</v>
      </c>
      <c r="E1068" s="31" t="s">
        <v>1119</v>
      </c>
      <c r="F1068" s="31" t="s">
        <v>1170</v>
      </c>
      <c r="G1068" s="38">
        <v>44.73</v>
      </c>
    </row>
    <row r="1069" spans="1:7" x14ac:dyDescent="0.35">
      <c r="A1069" s="19" t="s">
        <v>17</v>
      </c>
      <c r="B1069" s="1"/>
      <c r="C1069" s="37">
        <v>45900</v>
      </c>
      <c r="D1069" s="31">
        <v>38803</v>
      </c>
      <c r="E1069" s="31" t="s">
        <v>1120</v>
      </c>
      <c r="F1069" s="31" t="s">
        <v>1170</v>
      </c>
      <c r="G1069" s="38">
        <v>250</v>
      </c>
    </row>
    <row r="1070" spans="1:7" x14ac:dyDescent="0.35">
      <c r="A1070" s="19" t="s">
        <v>17</v>
      </c>
      <c r="B1070" s="1"/>
      <c r="C1070" s="37">
        <v>45900</v>
      </c>
      <c r="D1070" s="31">
        <v>38807</v>
      </c>
      <c r="E1070" s="31" t="s">
        <v>1175</v>
      </c>
      <c r="F1070" s="31" t="s">
        <v>1170</v>
      </c>
      <c r="G1070" s="38">
        <v>9967.1999999999989</v>
      </c>
    </row>
    <row r="1071" spans="1:7" x14ac:dyDescent="0.35">
      <c r="A1071" s="19" t="s">
        <v>17</v>
      </c>
      <c r="B1071" s="1"/>
      <c r="C1071" s="37">
        <v>45900</v>
      </c>
      <c r="D1071" s="31">
        <v>38820</v>
      </c>
      <c r="E1071" s="31" t="s">
        <v>1126</v>
      </c>
      <c r="F1071" s="31" t="s">
        <v>1170</v>
      </c>
      <c r="G1071" s="38">
        <v>-50000</v>
      </c>
    </row>
    <row r="1072" spans="1:7" x14ac:dyDescent="0.35">
      <c r="A1072" s="19" t="s">
        <v>17</v>
      </c>
      <c r="B1072" s="1"/>
      <c r="C1072" s="37">
        <v>45900</v>
      </c>
      <c r="D1072" s="31">
        <v>38822</v>
      </c>
      <c r="E1072" s="31" t="s">
        <v>1176</v>
      </c>
      <c r="F1072" s="31" t="s">
        <v>1170</v>
      </c>
      <c r="G1072" s="38">
        <v>4332.9799999999996</v>
      </c>
    </row>
    <row r="1073" spans="1:7" x14ac:dyDescent="0.35">
      <c r="A1073" s="19" t="s">
        <v>17</v>
      </c>
      <c r="B1073" s="1"/>
      <c r="C1073" s="37">
        <v>45900</v>
      </c>
      <c r="D1073" s="31">
        <v>38835</v>
      </c>
      <c r="E1073" s="31" t="s">
        <v>1130</v>
      </c>
      <c r="F1073" s="31" t="s">
        <v>1170</v>
      </c>
      <c r="G1073" s="38">
        <v>51.69</v>
      </c>
    </row>
    <row r="1074" spans="1:7" x14ac:dyDescent="0.35">
      <c r="A1074" s="19" t="s">
        <v>17</v>
      </c>
      <c r="B1074" s="1"/>
      <c r="C1074" s="37">
        <v>45900</v>
      </c>
      <c r="D1074" s="31">
        <v>38843</v>
      </c>
      <c r="E1074" s="31" t="s">
        <v>918</v>
      </c>
      <c r="F1074" s="31" t="s">
        <v>1170</v>
      </c>
      <c r="G1074" s="38">
        <v>17.18</v>
      </c>
    </row>
    <row r="1075" spans="1:7" x14ac:dyDescent="0.35">
      <c r="A1075" s="19" t="s">
        <v>17</v>
      </c>
      <c r="B1075" s="1"/>
      <c r="C1075" s="37">
        <v>45900</v>
      </c>
      <c r="D1075" s="31">
        <v>38852</v>
      </c>
      <c r="E1075" s="31" t="s">
        <v>886</v>
      </c>
      <c r="F1075" s="31" t="s">
        <v>1170</v>
      </c>
      <c r="G1075" s="38">
        <v>2894.52</v>
      </c>
    </row>
    <row r="1076" spans="1:7" x14ac:dyDescent="0.35">
      <c r="A1076" s="19" t="s">
        <v>17</v>
      </c>
      <c r="B1076" s="1"/>
      <c r="C1076" s="37">
        <v>45900</v>
      </c>
      <c r="D1076" s="31">
        <v>38853</v>
      </c>
      <c r="E1076" s="31" t="s">
        <v>1133</v>
      </c>
      <c r="F1076" s="31" t="s">
        <v>1170</v>
      </c>
      <c r="G1076" s="38">
        <v>55</v>
      </c>
    </row>
    <row r="1077" spans="1:7" x14ac:dyDescent="0.35">
      <c r="A1077" s="19" t="s">
        <v>17</v>
      </c>
      <c r="B1077" s="1"/>
      <c r="C1077" s="37">
        <v>45900</v>
      </c>
      <c r="D1077" s="31">
        <v>38854</v>
      </c>
      <c r="E1077" s="31" t="s">
        <v>1134</v>
      </c>
      <c r="F1077" s="31" t="s">
        <v>1170</v>
      </c>
      <c r="G1077" s="38">
        <v>189.46</v>
      </c>
    </row>
    <row r="1078" spans="1:7" x14ac:dyDescent="0.35">
      <c r="A1078" s="19" t="s">
        <v>17</v>
      </c>
      <c r="B1078" s="1"/>
      <c r="C1078" s="37">
        <v>45900</v>
      </c>
      <c r="D1078" s="31">
        <v>38865</v>
      </c>
      <c r="E1078" s="31" t="s">
        <v>1137</v>
      </c>
      <c r="F1078" s="31" t="s">
        <v>1170</v>
      </c>
      <c r="G1078" s="38">
        <v>10.41</v>
      </c>
    </row>
    <row r="1079" spans="1:7" x14ac:dyDescent="0.35">
      <c r="A1079" s="19" t="s">
        <v>17</v>
      </c>
      <c r="B1079" s="1"/>
      <c r="C1079" s="37">
        <v>45900</v>
      </c>
      <c r="D1079" s="31">
        <v>38884</v>
      </c>
      <c r="E1079" s="31" t="s">
        <v>1136</v>
      </c>
      <c r="F1079" s="31" t="s">
        <v>1170</v>
      </c>
      <c r="G1079" s="38">
        <v>13.39</v>
      </c>
    </row>
    <row r="1080" spans="1:7" x14ac:dyDescent="0.35">
      <c r="A1080" s="19" t="s">
        <v>17</v>
      </c>
      <c r="B1080" s="1"/>
      <c r="C1080" s="37">
        <v>45900</v>
      </c>
      <c r="D1080" s="31">
        <v>38905</v>
      </c>
      <c r="E1080" s="31" t="s">
        <v>1177</v>
      </c>
      <c r="F1080" s="31" t="s">
        <v>1170</v>
      </c>
      <c r="G1080" s="38">
        <v>45000</v>
      </c>
    </row>
    <row r="1081" spans="1:7" x14ac:dyDescent="0.35">
      <c r="A1081" s="19" t="s">
        <v>17</v>
      </c>
      <c r="B1081" s="1"/>
      <c r="C1081" s="37">
        <v>45900</v>
      </c>
      <c r="D1081" s="31">
        <v>38942</v>
      </c>
      <c r="E1081" s="31" t="s">
        <v>1149</v>
      </c>
      <c r="F1081" s="31" t="s">
        <v>1170</v>
      </c>
      <c r="G1081" s="38">
        <v>14.91</v>
      </c>
    </row>
    <row r="1082" spans="1:7" x14ac:dyDescent="0.35">
      <c r="A1082" s="19" t="s">
        <v>17</v>
      </c>
      <c r="B1082" s="1"/>
      <c r="C1082" s="37">
        <v>45900</v>
      </c>
      <c r="D1082" s="31">
        <v>38959</v>
      </c>
      <c r="E1082" s="31" t="s">
        <v>228</v>
      </c>
      <c r="F1082" s="31" t="s">
        <v>1170</v>
      </c>
      <c r="G1082" s="38">
        <v>1415.38</v>
      </c>
    </row>
    <row r="1083" spans="1:7" x14ac:dyDescent="0.35">
      <c r="A1083" s="19" t="s">
        <v>17</v>
      </c>
      <c r="B1083" s="1"/>
      <c r="C1083" s="37">
        <v>45900</v>
      </c>
      <c r="D1083" s="31">
        <v>38987</v>
      </c>
      <c r="E1083" s="31" t="s">
        <v>248</v>
      </c>
      <c r="F1083" s="31" t="s">
        <v>1170</v>
      </c>
      <c r="G1083" s="38">
        <v>514.48</v>
      </c>
    </row>
    <row r="1084" spans="1:7" x14ac:dyDescent="0.35">
      <c r="A1084" s="19" t="s">
        <v>17</v>
      </c>
      <c r="B1084" s="1"/>
      <c r="C1084" s="37">
        <v>45900</v>
      </c>
      <c r="D1084" s="31">
        <v>38997</v>
      </c>
      <c r="E1084" s="31" t="s">
        <v>128</v>
      </c>
      <c r="F1084" s="31" t="s">
        <v>1170</v>
      </c>
      <c r="G1084" s="38">
        <v>1094.5</v>
      </c>
    </row>
    <row r="1085" spans="1:7" x14ac:dyDescent="0.35">
      <c r="A1085" s="19" t="s">
        <v>17</v>
      </c>
      <c r="B1085" s="1"/>
      <c r="C1085" s="37">
        <v>45900</v>
      </c>
      <c r="D1085" s="31">
        <v>39012</v>
      </c>
      <c r="E1085" s="31" t="s">
        <v>918</v>
      </c>
      <c r="F1085" s="31" t="s">
        <v>1170</v>
      </c>
      <c r="G1085" s="38">
        <v>36000</v>
      </c>
    </row>
    <row r="1086" spans="1:7" x14ac:dyDescent="0.35">
      <c r="A1086" s="19" t="s">
        <v>17</v>
      </c>
      <c r="B1086" s="1"/>
      <c r="C1086" s="37">
        <v>45900</v>
      </c>
      <c r="D1086" s="31">
        <v>39073</v>
      </c>
      <c r="E1086" s="31" t="s">
        <v>1135</v>
      </c>
      <c r="F1086" s="31" t="s">
        <v>1170</v>
      </c>
      <c r="G1086" s="38">
        <v>425</v>
      </c>
    </row>
    <row r="1087" spans="1:7" x14ac:dyDescent="0.35">
      <c r="A1087" s="19" t="s">
        <v>17</v>
      </c>
      <c r="B1087" s="1"/>
      <c r="C1087" s="37">
        <v>45900</v>
      </c>
      <c r="D1087" s="31">
        <v>39074</v>
      </c>
      <c r="E1087" s="31" t="s">
        <v>1135</v>
      </c>
      <c r="F1087" s="31" t="s">
        <v>1170</v>
      </c>
      <c r="G1087" s="38">
        <v>425</v>
      </c>
    </row>
    <row r="1088" spans="1:7" x14ac:dyDescent="0.35">
      <c r="A1088" s="19" t="s">
        <v>17</v>
      </c>
      <c r="B1088" s="1"/>
      <c r="C1088" s="37">
        <v>45900</v>
      </c>
      <c r="D1088" s="31">
        <v>39084</v>
      </c>
      <c r="E1088" s="31" t="s">
        <v>1027</v>
      </c>
      <c r="F1088" s="31" t="s">
        <v>1170</v>
      </c>
      <c r="G1088" s="38">
        <v>600</v>
      </c>
    </row>
    <row r="1089" spans="1:7" x14ac:dyDescent="0.35">
      <c r="A1089" s="19" t="s">
        <v>17</v>
      </c>
      <c r="B1089" s="1"/>
      <c r="C1089" s="37">
        <v>45900</v>
      </c>
      <c r="D1089" s="31">
        <v>39086</v>
      </c>
      <c r="E1089" s="31" t="s">
        <v>50</v>
      </c>
      <c r="F1089" s="31" t="s">
        <v>1170</v>
      </c>
      <c r="G1089" s="38">
        <v>0</v>
      </c>
    </row>
    <row r="1090" spans="1:7" x14ac:dyDescent="0.35">
      <c r="A1090" s="19" t="s">
        <v>17</v>
      </c>
      <c r="B1090" s="1"/>
      <c r="C1090" s="37">
        <v>45900</v>
      </c>
      <c r="D1090" s="31" t="s">
        <v>1162</v>
      </c>
      <c r="E1090" s="31" t="s">
        <v>50</v>
      </c>
      <c r="F1090" s="31" t="s">
        <v>1170</v>
      </c>
      <c r="G1090" s="38">
        <v>0</v>
      </c>
    </row>
    <row r="1091" spans="1:7" x14ac:dyDescent="0.35">
      <c r="A1091" s="19" t="s">
        <v>17</v>
      </c>
      <c r="C1091" s="37">
        <v>45873</v>
      </c>
      <c r="D1091" s="31" t="s">
        <v>162</v>
      </c>
      <c r="E1091" s="31" t="s">
        <v>55</v>
      </c>
      <c r="F1091" s="31" t="s">
        <v>1178</v>
      </c>
      <c r="G1091" s="38">
        <v>22599.1</v>
      </c>
    </row>
    <row r="1092" spans="1:7" x14ac:dyDescent="0.35">
      <c r="A1092" s="19" t="s">
        <v>17</v>
      </c>
      <c r="C1092" s="37">
        <v>45873</v>
      </c>
      <c r="D1092" s="31">
        <v>38633</v>
      </c>
      <c r="E1092" s="31" t="s">
        <v>164</v>
      </c>
      <c r="F1092" s="31" t="s">
        <v>1178</v>
      </c>
      <c r="G1092" s="38">
        <v>257.11</v>
      </c>
    </row>
    <row r="1093" spans="1:7" x14ac:dyDescent="0.35">
      <c r="A1093" s="19" t="s">
        <v>17</v>
      </c>
      <c r="C1093" s="37">
        <v>45876</v>
      </c>
      <c r="D1093" s="31">
        <v>37687</v>
      </c>
      <c r="E1093" s="31" t="s">
        <v>75</v>
      </c>
      <c r="F1093" s="31" t="s">
        <v>1178</v>
      </c>
      <c r="G1093" s="38">
        <v>50.4</v>
      </c>
    </row>
    <row r="1094" spans="1:7" x14ac:dyDescent="0.35">
      <c r="A1094" s="19" t="s">
        <v>17</v>
      </c>
      <c r="C1094" s="37">
        <v>45876</v>
      </c>
      <c r="D1094" s="31">
        <v>38661</v>
      </c>
      <c r="E1094" s="31" t="s">
        <v>170</v>
      </c>
      <c r="F1094" s="31" t="s">
        <v>1178</v>
      </c>
      <c r="G1094" s="38">
        <v>2100</v>
      </c>
    </row>
    <row r="1095" spans="1:7" x14ac:dyDescent="0.35">
      <c r="A1095" s="19" t="s">
        <v>17</v>
      </c>
      <c r="C1095" s="37">
        <v>45877</v>
      </c>
      <c r="D1095" s="31">
        <v>36248</v>
      </c>
      <c r="E1095" s="31" t="s">
        <v>171</v>
      </c>
      <c r="F1095" s="31" t="s">
        <v>1178</v>
      </c>
      <c r="G1095" s="38">
        <v>7.28</v>
      </c>
    </row>
    <row r="1096" spans="1:7" x14ac:dyDescent="0.35">
      <c r="A1096" s="19" t="s">
        <v>17</v>
      </c>
      <c r="C1096" s="37">
        <v>45877</v>
      </c>
      <c r="D1096" s="31">
        <v>36250</v>
      </c>
      <c r="E1096" s="31" t="s">
        <v>171</v>
      </c>
      <c r="F1096" s="31" t="s">
        <v>1178</v>
      </c>
      <c r="G1096" s="38">
        <v>1499.88</v>
      </c>
    </row>
    <row r="1097" spans="1:7" x14ac:dyDescent="0.35">
      <c r="A1097" s="19" t="s">
        <v>17</v>
      </c>
      <c r="C1097" s="37">
        <v>45880</v>
      </c>
      <c r="D1097" s="31">
        <v>38260</v>
      </c>
      <c r="E1097" s="31" t="s">
        <v>177</v>
      </c>
      <c r="F1097" s="31" t="s">
        <v>1178</v>
      </c>
      <c r="G1097" s="38">
        <v>770.3</v>
      </c>
    </row>
    <row r="1098" spans="1:7" x14ac:dyDescent="0.35">
      <c r="A1098" s="19" t="s">
        <v>17</v>
      </c>
      <c r="C1098" s="37">
        <v>45880</v>
      </c>
      <c r="D1098" s="31">
        <v>38579</v>
      </c>
      <c r="E1098" s="31" t="s">
        <v>178</v>
      </c>
      <c r="F1098" s="31" t="s">
        <v>1178</v>
      </c>
      <c r="G1098" s="38">
        <v>1455</v>
      </c>
    </row>
    <row r="1099" spans="1:7" x14ac:dyDescent="0.35">
      <c r="A1099" s="19" t="s">
        <v>17</v>
      </c>
      <c r="C1099" s="37">
        <v>45881</v>
      </c>
      <c r="D1099" s="31" t="s">
        <v>191</v>
      </c>
      <c r="E1099" s="31" t="s">
        <v>75</v>
      </c>
      <c r="F1099" s="31" t="s">
        <v>1178</v>
      </c>
      <c r="G1099" s="38">
        <v>4433.1099999999997</v>
      </c>
    </row>
    <row r="1100" spans="1:7" x14ac:dyDescent="0.35">
      <c r="A1100" s="19" t="s">
        <v>17</v>
      </c>
      <c r="C1100" s="37">
        <v>45881</v>
      </c>
      <c r="D1100" s="31" t="s">
        <v>196</v>
      </c>
      <c r="E1100" s="31" t="s">
        <v>177</v>
      </c>
      <c r="F1100" s="31" t="s">
        <v>1178</v>
      </c>
      <c r="G1100" s="38">
        <v>3119.06</v>
      </c>
    </row>
    <row r="1101" spans="1:7" x14ac:dyDescent="0.35">
      <c r="A1101" s="19" t="s">
        <v>17</v>
      </c>
      <c r="C1101" s="37">
        <v>45881</v>
      </c>
      <c r="D1101" s="31">
        <v>38268</v>
      </c>
      <c r="E1101" s="31" t="s">
        <v>177</v>
      </c>
      <c r="F1101" s="31" t="s">
        <v>1178</v>
      </c>
      <c r="G1101" s="38">
        <v>59.89</v>
      </c>
    </row>
    <row r="1102" spans="1:7" x14ac:dyDescent="0.35">
      <c r="A1102" s="19" t="s">
        <v>17</v>
      </c>
      <c r="C1102" s="37">
        <v>45882</v>
      </c>
      <c r="D1102" s="31" t="s">
        <v>201</v>
      </c>
      <c r="E1102" s="31" t="s">
        <v>70</v>
      </c>
      <c r="F1102" s="31" t="s">
        <v>1178</v>
      </c>
      <c r="G1102" s="38">
        <v>538.21</v>
      </c>
    </row>
    <row r="1103" spans="1:7" x14ac:dyDescent="0.35">
      <c r="A1103" s="19" t="s">
        <v>17</v>
      </c>
      <c r="C1103" s="37">
        <v>45887</v>
      </c>
      <c r="D1103" s="31">
        <v>38857</v>
      </c>
      <c r="E1103" s="31" t="s">
        <v>202</v>
      </c>
      <c r="F1103" s="31" t="s">
        <v>1178</v>
      </c>
      <c r="G1103" s="38">
        <v>1820</v>
      </c>
    </row>
    <row r="1104" spans="1:7" x14ac:dyDescent="0.35">
      <c r="A1104" s="19" t="s">
        <v>17</v>
      </c>
      <c r="C1104" s="37">
        <v>45894</v>
      </c>
      <c r="D1104" s="31">
        <v>33571</v>
      </c>
      <c r="E1104" s="31" t="s">
        <v>33</v>
      </c>
      <c r="F1104" s="31" t="s">
        <v>1178</v>
      </c>
      <c r="G1104" s="38">
        <v>109.04</v>
      </c>
    </row>
    <row r="1105" spans="1:7" x14ac:dyDescent="0.35">
      <c r="A1105" s="19" t="s">
        <v>17</v>
      </c>
      <c r="C1105" s="37">
        <v>45894</v>
      </c>
      <c r="D1105" s="31" t="s">
        <v>1179</v>
      </c>
      <c r="E1105" s="31" t="s">
        <v>33</v>
      </c>
      <c r="F1105" s="31" t="s">
        <v>1178</v>
      </c>
      <c r="G1105" s="38">
        <v>1.83</v>
      </c>
    </row>
    <row r="1106" spans="1:7" x14ac:dyDescent="0.35">
      <c r="A1106" s="19" t="s">
        <v>17</v>
      </c>
      <c r="C1106" s="37">
        <v>45894</v>
      </c>
      <c r="D1106" s="31" t="s">
        <v>214</v>
      </c>
      <c r="E1106" s="31" t="s">
        <v>33</v>
      </c>
      <c r="F1106" s="31" t="s">
        <v>1178</v>
      </c>
      <c r="G1106" s="38">
        <v>5434.29</v>
      </c>
    </row>
    <row r="1107" spans="1:7" x14ac:dyDescent="0.35">
      <c r="A1107" s="19" t="s">
        <v>17</v>
      </c>
      <c r="C1107" s="37">
        <v>45894</v>
      </c>
      <c r="D1107" s="31" t="s">
        <v>218</v>
      </c>
      <c r="E1107" s="31" t="s">
        <v>33</v>
      </c>
      <c r="F1107" s="31" t="s">
        <v>1178</v>
      </c>
      <c r="G1107" s="38">
        <v>13225.78</v>
      </c>
    </row>
    <row r="1108" spans="1:7" x14ac:dyDescent="0.35">
      <c r="A1108" s="19" t="s">
        <v>17</v>
      </c>
      <c r="C1108" s="37">
        <v>45894</v>
      </c>
      <c r="D1108" s="31">
        <v>36943</v>
      </c>
      <c r="E1108" s="31" t="s">
        <v>131</v>
      </c>
      <c r="F1108" s="31" t="s">
        <v>1178</v>
      </c>
      <c r="G1108" s="38">
        <v>0</v>
      </c>
    </row>
    <row r="1109" spans="1:7" x14ac:dyDescent="0.35">
      <c r="A1109" s="19" t="s">
        <v>17</v>
      </c>
      <c r="C1109" s="37">
        <v>45898</v>
      </c>
      <c r="D1109" s="31">
        <v>38185</v>
      </c>
      <c r="E1109" s="31" t="s">
        <v>70</v>
      </c>
      <c r="F1109" s="31" t="s">
        <v>1178</v>
      </c>
      <c r="G1109" s="38">
        <v>4800.01</v>
      </c>
    </row>
    <row r="1110" spans="1:7" x14ac:dyDescent="0.35">
      <c r="A1110" s="19" t="s">
        <v>17</v>
      </c>
      <c r="C1110" s="37">
        <v>45898</v>
      </c>
      <c r="D1110" s="31">
        <v>38199</v>
      </c>
      <c r="E1110" s="31" t="s">
        <v>70</v>
      </c>
      <c r="F1110" s="31" t="s">
        <v>1178</v>
      </c>
      <c r="G1110" s="38">
        <v>5718.88</v>
      </c>
    </row>
    <row r="1111" spans="1:7" x14ac:dyDescent="0.35">
      <c r="A1111" s="19" t="s">
        <v>17</v>
      </c>
      <c r="C1111" s="37">
        <v>45898</v>
      </c>
      <c r="D1111" s="31" t="s">
        <v>236</v>
      </c>
      <c r="E1111" s="31" t="s">
        <v>70</v>
      </c>
      <c r="F1111" s="31" t="s">
        <v>1178</v>
      </c>
      <c r="G1111" s="38">
        <v>4539.33</v>
      </c>
    </row>
    <row r="1112" spans="1:7" x14ac:dyDescent="0.35">
      <c r="A1112" s="19" t="s">
        <v>17</v>
      </c>
      <c r="C1112" s="37">
        <v>45898</v>
      </c>
      <c r="D1112" s="31">
        <v>38851</v>
      </c>
      <c r="E1112" s="31" t="s">
        <v>238</v>
      </c>
      <c r="F1112" s="31" t="s">
        <v>1178</v>
      </c>
      <c r="G1112" s="38">
        <v>4550</v>
      </c>
    </row>
    <row r="1113" spans="1:7" x14ac:dyDescent="0.35">
      <c r="A1113" s="19" t="s">
        <v>17</v>
      </c>
      <c r="C1113" s="37">
        <v>45898</v>
      </c>
      <c r="D1113" s="31">
        <v>38881</v>
      </c>
      <c r="E1113" s="31" t="s">
        <v>239</v>
      </c>
      <c r="F1113" s="31" t="s">
        <v>1178</v>
      </c>
      <c r="G1113" s="38">
        <v>250</v>
      </c>
    </row>
    <row r="1114" spans="1:7" x14ac:dyDescent="0.35">
      <c r="A1114" s="19" t="s">
        <v>17</v>
      </c>
      <c r="C1114" s="37">
        <v>45898</v>
      </c>
      <c r="D1114" s="31">
        <v>38893</v>
      </c>
      <c r="E1114" s="31" t="s">
        <v>239</v>
      </c>
      <c r="F1114" s="31" t="s">
        <v>1178</v>
      </c>
      <c r="G1114" s="38">
        <v>887</v>
      </c>
    </row>
    <row r="1115" spans="1:7" x14ac:dyDescent="0.35">
      <c r="A1115" s="19" t="s">
        <v>17</v>
      </c>
      <c r="C1115" s="37">
        <v>45898</v>
      </c>
      <c r="D1115" s="31">
        <v>39125</v>
      </c>
      <c r="E1115" s="31" t="s">
        <v>137</v>
      </c>
      <c r="F1115" s="31" t="s">
        <v>1178</v>
      </c>
      <c r="G1115" s="38">
        <v>509579.86</v>
      </c>
    </row>
    <row r="1116" spans="1:7" x14ac:dyDescent="0.35">
      <c r="A1116" s="19" t="s">
        <v>17</v>
      </c>
      <c r="C1116" s="37">
        <v>45899</v>
      </c>
      <c r="D1116" s="31">
        <v>35818</v>
      </c>
      <c r="E1116" s="31" t="s">
        <v>370</v>
      </c>
      <c r="F1116" s="31" t="s">
        <v>1178</v>
      </c>
      <c r="G1116" s="38">
        <v>7735.76</v>
      </c>
    </row>
    <row r="1117" spans="1:7" x14ac:dyDescent="0.35">
      <c r="A1117" s="19" t="s">
        <v>17</v>
      </c>
      <c r="C1117" s="37">
        <v>45899</v>
      </c>
      <c r="D1117" s="31">
        <v>36512</v>
      </c>
      <c r="E1117" s="31" t="s">
        <v>586</v>
      </c>
      <c r="F1117" s="31" t="s">
        <v>1178</v>
      </c>
      <c r="G1117" s="38">
        <v>2472.11</v>
      </c>
    </row>
    <row r="1118" spans="1:7" x14ac:dyDescent="0.35">
      <c r="A1118" s="19" t="s">
        <v>17</v>
      </c>
      <c r="C1118" s="37">
        <v>45899</v>
      </c>
      <c r="D1118" s="31" t="s">
        <v>706</v>
      </c>
      <c r="E1118" s="31" t="s">
        <v>707</v>
      </c>
      <c r="F1118" s="31" t="s">
        <v>1178</v>
      </c>
      <c r="G1118" s="38">
        <v>632.30999999999995</v>
      </c>
    </row>
    <row r="1119" spans="1:7" x14ac:dyDescent="0.35">
      <c r="A1119" s="19" t="s">
        <v>17</v>
      </c>
      <c r="C1119" s="37">
        <v>45899</v>
      </c>
      <c r="D1119" s="31">
        <v>38051</v>
      </c>
      <c r="E1119" s="31" t="s">
        <v>682</v>
      </c>
      <c r="F1119" s="31" t="s">
        <v>1178</v>
      </c>
      <c r="G1119" s="38">
        <v>2440</v>
      </c>
    </row>
    <row r="1120" spans="1:7" x14ac:dyDescent="0.35">
      <c r="A1120" s="19" t="s">
        <v>17</v>
      </c>
      <c r="C1120" s="37">
        <v>45899</v>
      </c>
      <c r="D1120" s="31">
        <v>38229</v>
      </c>
      <c r="E1120" s="31" t="s">
        <v>57</v>
      </c>
      <c r="F1120" s="31" t="s">
        <v>1178</v>
      </c>
      <c r="G1120" s="38">
        <v>749.08</v>
      </c>
    </row>
    <row r="1121" spans="1:7" x14ac:dyDescent="0.35">
      <c r="A1121" s="19" t="s">
        <v>17</v>
      </c>
      <c r="C1121" s="37">
        <v>45899</v>
      </c>
      <c r="D1121" s="31">
        <v>38230</v>
      </c>
      <c r="E1121" s="31" t="s">
        <v>831</v>
      </c>
      <c r="F1121" s="31" t="s">
        <v>1178</v>
      </c>
      <c r="G1121" s="38">
        <v>1725</v>
      </c>
    </row>
    <row r="1122" spans="1:7" x14ac:dyDescent="0.35">
      <c r="A1122" s="19" t="s">
        <v>17</v>
      </c>
      <c r="C1122" s="37">
        <v>45899</v>
      </c>
      <c r="D1122" s="31" t="s">
        <v>838</v>
      </c>
      <c r="E1122" s="31" t="s">
        <v>177</v>
      </c>
      <c r="F1122" s="31" t="s">
        <v>1178</v>
      </c>
      <c r="G1122" s="38">
        <v>3894.55</v>
      </c>
    </row>
    <row r="1123" spans="1:7" x14ac:dyDescent="0.35">
      <c r="A1123" s="19" t="s">
        <v>17</v>
      </c>
      <c r="C1123" s="37">
        <v>45899</v>
      </c>
      <c r="D1123" s="31">
        <v>38254</v>
      </c>
      <c r="E1123" s="31" t="s">
        <v>177</v>
      </c>
      <c r="F1123" s="31" t="s">
        <v>1178</v>
      </c>
      <c r="G1123" s="38">
        <v>9126.7800000000007</v>
      </c>
    </row>
    <row r="1124" spans="1:7" x14ac:dyDescent="0.35">
      <c r="A1124" s="19" t="s">
        <v>17</v>
      </c>
      <c r="C1124" s="37">
        <v>45899</v>
      </c>
      <c r="D1124" s="31" t="s">
        <v>839</v>
      </c>
      <c r="E1124" s="31" t="s">
        <v>177</v>
      </c>
      <c r="F1124" s="31" t="s">
        <v>1178</v>
      </c>
      <c r="G1124" s="38">
        <v>36013.69</v>
      </c>
    </row>
    <row r="1125" spans="1:7" x14ac:dyDescent="0.35">
      <c r="A1125" s="19" t="s">
        <v>17</v>
      </c>
      <c r="C1125" s="37">
        <v>45899</v>
      </c>
      <c r="D1125" s="31" t="s">
        <v>840</v>
      </c>
      <c r="E1125" s="31" t="s">
        <v>177</v>
      </c>
      <c r="F1125" s="31" t="s">
        <v>1178</v>
      </c>
      <c r="G1125" s="38">
        <v>3623.9</v>
      </c>
    </row>
    <row r="1126" spans="1:7" x14ac:dyDescent="0.35">
      <c r="A1126" s="19" t="s">
        <v>17</v>
      </c>
      <c r="C1126" s="37">
        <v>45899</v>
      </c>
      <c r="D1126" s="31" t="s">
        <v>841</v>
      </c>
      <c r="E1126" s="31" t="s">
        <v>177</v>
      </c>
      <c r="F1126" s="31" t="s">
        <v>1178</v>
      </c>
      <c r="G1126" s="38">
        <v>15172</v>
      </c>
    </row>
    <row r="1127" spans="1:7" x14ac:dyDescent="0.35">
      <c r="A1127" s="19" t="s">
        <v>17</v>
      </c>
      <c r="C1127" s="37">
        <v>45899</v>
      </c>
      <c r="D1127" s="31">
        <v>38263</v>
      </c>
      <c r="E1127" s="31" t="s">
        <v>177</v>
      </c>
      <c r="F1127" s="31" t="s">
        <v>1178</v>
      </c>
      <c r="G1127" s="38">
        <v>156.41999999999999</v>
      </c>
    </row>
    <row r="1128" spans="1:7" x14ac:dyDescent="0.35">
      <c r="A1128" s="19" t="s">
        <v>17</v>
      </c>
      <c r="C1128" s="37">
        <v>45899</v>
      </c>
      <c r="D1128" s="31">
        <v>38265</v>
      </c>
      <c r="E1128" s="31" t="s">
        <v>177</v>
      </c>
      <c r="F1128" s="31" t="s">
        <v>1178</v>
      </c>
      <c r="G1128" s="38">
        <v>2826.34</v>
      </c>
    </row>
    <row r="1129" spans="1:7" x14ac:dyDescent="0.35">
      <c r="A1129" s="19" t="s">
        <v>17</v>
      </c>
      <c r="C1129" s="37">
        <v>45899</v>
      </c>
      <c r="D1129" s="31">
        <v>38266</v>
      </c>
      <c r="E1129" s="31" t="s">
        <v>177</v>
      </c>
      <c r="F1129" s="31" t="s">
        <v>1178</v>
      </c>
      <c r="G1129" s="38">
        <v>2840.25</v>
      </c>
    </row>
    <row r="1130" spans="1:7" x14ac:dyDescent="0.35">
      <c r="A1130" s="19" t="s">
        <v>17</v>
      </c>
      <c r="C1130" s="37">
        <v>45899</v>
      </c>
      <c r="D1130" s="31">
        <v>38546</v>
      </c>
      <c r="E1130" s="31" t="s">
        <v>86</v>
      </c>
      <c r="F1130" s="31" t="s">
        <v>1178</v>
      </c>
      <c r="G1130" s="38">
        <v>2018</v>
      </c>
    </row>
    <row r="1131" spans="1:7" x14ac:dyDescent="0.35">
      <c r="A1131" s="19" t="s">
        <v>17</v>
      </c>
      <c r="C1131" s="37">
        <v>45899</v>
      </c>
      <c r="D1131" s="31" t="s">
        <v>904</v>
      </c>
      <c r="E1131" s="31" t="s">
        <v>64</v>
      </c>
      <c r="F1131" s="31" t="s">
        <v>1178</v>
      </c>
      <c r="G1131" s="38">
        <v>26382.55</v>
      </c>
    </row>
    <row r="1132" spans="1:7" x14ac:dyDescent="0.35">
      <c r="A1132" s="19" t="s">
        <v>17</v>
      </c>
      <c r="C1132" s="37">
        <v>45899</v>
      </c>
      <c r="D1132" s="31">
        <v>38651</v>
      </c>
      <c r="E1132" s="31" t="s">
        <v>586</v>
      </c>
      <c r="F1132" s="31" t="s">
        <v>1178</v>
      </c>
      <c r="G1132" s="38">
        <v>2064.11</v>
      </c>
    </row>
    <row r="1133" spans="1:7" x14ac:dyDescent="0.35">
      <c r="A1133" s="19" t="s">
        <v>17</v>
      </c>
      <c r="C1133" s="37">
        <v>45899</v>
      </c>
      <c r="D1133" s="31">
        <v>38791</v>
      </c>
      <c r="E1133" s="31" t="s">
        <v>917</v>
      </c>
      <c r="F1133" s="31" t="s">
        <v>1178</v>
      </c>
      <c r="G1133" s="38">
        <v>847.22</v>
      </c>
    </row>
    <row r="1134" spans="1:7" x14ac:dyDescent="0.35">
      <c r="A1134" s="19" t="s">
        <v>17</v>
      </c>
      <c r="C1134" s="37">
        <v>45899</v>
      </c>
      <c r="D1134" s="31">
        <v>38817</v>
      </c>
      <c r="E1134" s="31" t="s">
        <v>919</v>
      </c>
      <c r="F1134" s="31" t="s">
        <v>1178</v>
      </c>
      <c r="G1134" s="38">
        <v>665.5</v>
      </c>
    </row>
    <row r="1135" spans="1:7" x14ac:dyDescent="0.35">
      <c r="A1135" s="19" t="s">
        <v>17</v>
      </c>
      <c r="C1135" s="37">
        <v>45899</v>
      </c>
      <c r="D1135" s="31">
        <v>38834</v>
      </c>
      <c r="E1135" s="31" t="s">
        <v>920</v>
      </c>
      <c r="F1135" s="31" t="s">
        <v>1178</v>
      </c>
      <c r="G1135" s="38">
        <v>4313.13</v>
      </c>
    </row>
    <row r="1136" spans="1:7" x14ac:dyDescent="0.35">
      <c r="A1136" s="19" t="s">
        <v>17</v>
      </c>
      <c r="C1136" s="37">
        <v>45899</v>
      </c>
      <c r="D1136" s="31">
        <v>38839</v>
      </c>
      <c r="E1136" s="31" t="s">
        <v>921</v>
      </c>
      <c r="F1136" s="31" t="s">
        <v>1178</v>
      </c>
      <c r="G1136" s="38">
        <v>500</v>
      </c>
    </row>
    <row r="1137" spans="1:7" x14ac:dyDescent="0.35">
      <c r="A1137" s="19" t="s">
        <v>17</v>
      </c>
      <c r="C1137" s="37">
        <v>45899</v>
      </c>
      <c r="D1137" s="31">
        <v>38846</v>
      </c>
      <c r="E1137" s="31" t="s">
        <v>922</v>
      </c>
      <c r="F1137" s="31" t="s">
        <v>1178</v>
      </c>
      <c r="G1137" s="38">
        <v>1600</v>
      </c>
    </row>
    <row r="1138" spans="1:7" x14ac:dyDescent="0.35">
      <c r="A1138" s="19" t="s">
        <v>17</v>
      </c>
      <c r="C1138" s="37">
        <v>45899</v>
      </c>
      <c r="D1138" s="31">
        <v>38874</v>
      </c>
      <c r="E1138" s="31" t="s">
        <v>923</v>
      </c>
      <c r="F1138" s="31" t="s">
        <v>1178</v>
      </c>
      <c r="G1138" s="38">
        <v>2200</v>
      </c>
    </row>
    <row r="1139" spans="1:7" x14ac:dyDescent="0.35">
      <c r="A1139" s="19" t="s">
        <v>17</v>
      </c>
      <c r="C1139" s="37">
        <v>45899</v>
      </c>
      <c r="D1139" s="31">
        <v>38889</v>
      </c>
      <c r="E1139" s="31" t="s">
        <v>107</v>
      </c>
      <c r="F1139" s="31" t="s">
        <v>1178</v>
      </c>
      <c r="G1139" s="38">
        <v>2057.27</v>
      </c>
    </row>
    <row r="1140" spans="1:7" x14ac:dyDescent="0.35">
      <c r="A1140" s="19" t="s">
        <v>17</v>
      </c>
      <c r="C1140" s="37">
        <v>45899</v>
      </c>
      <c r="D1140" s="31">
        <v>38953</v>
      </c>
      <c r="E1140" s="31" t="s">
        <v>917</v>
      </c>
      <c r="F1140" s="31" t="s">
        <v>1178</v>
      </c>
      <c r="G1140" s="38">
        <v>600</v>
      </c>
    </row>
    <row r="1141" spans="1:7" x14ac:dyDescent="0.35">
      <c r="A1141" s="19" t="s">
        <v>17</v>
      </c>
      <c r="C1141" s="37">
        <v>45899</v>
      </c>
      <c r="D1141" s="31">
        <v>38954</v>
      </c>
      <c r="E1141" s="31" t="s">
        <v>924</v>
      </c>
      <c r="F1141" s="31" t="s">
        <v>1178</v>
      </c>
      <c r="G1141" s="38">
        <v>350</v>
      </c>
    </row>
    <row r="1142" spans="1:7" x14ac:dyDescent="0.35">
      <c r="A1142" s="19" t="s">
        <v>17</v>
      </c>
      <c r="C1142" s="37">
        <v>45899</v>
      </c>
      <c r="D1142" s="31">
        <v>38970</v>
      </c>
      <c r="E1142" s="31" t="s">
        <v>925</v>
      </c>
      <c r="F1142" s="31" t="s">
        <v>1178</v>
      </c>
      <c r="G1142" s="38">
        <v>350</v>
      </c>
    </row>
    <row r="1143" spans="1:7" x14ac:dyDescent="0.35">
      <c r="A1143" s="19" t="s">
        <v>17</v>
      </c>
      <c r="C1143" s="37">
        <v>45899</v>
      </c>
      <c r="D1143" s="31">
        <v>38981</v>
      </c>
      <c r="E1143" s="31" t="s">
        <v>917</v>
      </c>
      <c r="F1143" s="31" t="s">
        <v>1178</v>
      </c>
      <c r="G1143" s="38">
        <v>370</v>
      </c>
    </row>
    <row r="1144" spans="1:7" x14ac:dyDescent="0.35">
      <c r="A1144" s="19" t="s">
        <v>17</v>
      </c>
      <c r="C1144" s="37">
        <v>45899</v>
      </c>
      <c r="D1144" s="31">
        <v>38993</v>
      </c>
      <c r="E1144" s="31" t="s">
        <v>55</v>
      </c>
      <c r="F1144" s="31" t="s">
        <v>1178</v>
      </c>
      <c r="G1144" s="38">
        <v>6712.5</v>
      </c>
    </row>
    <row r="1145" spans="1:7" x14ac:dyDescent="0.35">
      <c r="A1145" s="19" t="s">
        <v>17</v>
      </c>
      <c r="C1145" s="37">
        <v>45899</v>
      </c>
      <c r="D1145" s="31">
        <v>38996</v>
      </c>
      <c r="E1145" s="31" t="s">
        <v>128</v>
      </c>
      <c r="F1145" s="31" t="s">
        <v>1178</v>
      </c>
      <c r="G1145" s="38">
        <v>350</v>
      </c>
    </row>
    <row r="1146" spans="1:7" x14ac:dyDescent="0.35">
      <c r="A1146" s="19" t="s">
        <v>17</v>
      </c>
      <c r="C1146" s="37">
        <v>45899</v>
      </c>
      <c r="D1146" s="31">
        <v>39002</v>
      </c>
      <c r="E1146" s="31" t="s">
        <v>926</v>
      </c>
      <c r="F1146" s="31" t="s">
        <v>1178</v>
      </c>
      <c r="G1146" s="38">
        <v>1900</v>
      </c>
    </row>
    <row r="1147" spans="1:7" x14ac:dyDescent="0.35">
      <c r="A1147" s="19" t="s">
        <v>17</v>
      </c>
      <c r="C1147" s="37">
        <v>45899</v>
      </c>
      <c r="D1147" s="31">
        <v>39010</v>
      </c>
      <c r="E1147" s="31" t="s">
        <v>927</v>
      </c>
      <c r="F1147" s="31" t="s">
        <v>1178</v>
      </c>
      <c r="G1147" s="38">
        <v>693</v>
      </c>
    </row>
    <row r="1148" spans="1:7" x14ac:dyDescent="0.35">
      <c r="A1148" s="19" t="s">
        <v>17</v>
      </c>
      <c r="C1148" s="37">
        <v>45900</v>
      </c>
      <c r="D1148" s="31" t="s">
        <v>1180</v>
      </c>
      <c r="E1148" s="31" t="s">
        <v>1181</v>
      </c>
      <c r="F1148" s="31" t="s">
        <v>1178</v>
      </c>
      <c r="G1148" s="38">
        <v>541.25</v>
      </c>
    </row>
    <row r="1149" spans="1:7" x14ac:dyDescent="0.35">
      <c r="A1149" s="19" t="s">
        <v>17</v>
      </c>
      <c r="C1149" s="37">
        <v>45900</v>
      </c>
      <c r="D1149" s="31" t="s">
        <v>955</v>
      </c>
      <c r="E1149" s="31" t="s">
        <v>29</v>
      </c>
      <c r="F1149" s="31" t="s">
        <v>1178</v>
      </c>
      <c r="G1149" s="38">
        <v>730.89</v>
      </c>
    </row>
    <row r="1150" spans="1:7" x14ac:dyDescent="0.35">
      <c r="A1150" s="19" t="s">
        <v>17</v>
      </c>
      <c r="C1150" s="37">
        <v>45900</v>
      </c>
      <c r="D1150" s="31">
        <v>33967</v>
      </c>
      <c r="E1150" s="31" t="s">
        <v>50</v>
      </c>
      <c r="F1150" s="31" t="s">
        <v>1178</v>
      </c>
      <c r="G1150" s="38">
        <v>0</v>
      </c>
    </row>
    <row r="1151" spans="1:7" x14ac:dyDescent="0.35">
      <c r="A1151" s="19" t="s">
        <v>17</v>
      </c>
      <c r="C1151" s="37">
        <v>45900</v>
      </c>
      <c r="D1151" s="31" t="s">
        <v>967</v>
      </c>
      <c r="E1151" s="31" t="s">
        <v>44</v>
      </c>
      <c r="F1151" s="31" t="s">
        <v>1178</v>
      </c>
      <c r="G1151" s="38">
        <v>7230.75</v>
      </c>
    </row>
    <row r="1152" spans="1:7" x14ac:dyDescent="0.35">
      <c r="A1152" s="19" t="s">
        <v>17</v>
      </c>
      <c r="C1152" s="37">
        <v>45900</v>
      </c>
      <c r="D1152" s="31">
        <v>34382</v>
      </c>
      <c r="E1152" s="31" t="s">
        <v>50</v>
      </c>
      <c r="F1152" s="31" t="s">
        <v>1178</v>
      </c>
      <c r="G1152" s="38">
        <v>0</v>
      </c>
    </row>
    <row r="1153" spans="1:7" x14ac:dyDescent="0.35">
      <c r="A1153" s="19" t="s">
        <v>17</v>
      </c>
      <c r="C1153" s="37">
        <v>45900</v>
      </c>
      <c r="D1153" s="31" t="s">
        <v>1182</v>
      </c>
      <c r="E1153" s="31" t="s">
        <v>405</v>
      </c>
      <c r="F1153" s="31" t="s">
        <v>1178</v>
      </c>
      <c r="G1153" s="38">
        <v>0.28000000000000003</v>
      </c>
    </row>
    <row r="1154" spans="1:7" x14ac:dyDescent="0.35">
      <c r="A1154" s="19" t="s">
        <v>17</v>
      </c>
      <c r="C1154" s="37">
        <v>45900</v>
      </c>
      <c r="D1154" s="31" t="s">
        <v>978</v>
      </c>
      <c r="E1154" s="31" t="s">
        <v>408</v>
      </c>
      <c r="F1154" s="31" t="s">
        <v>1178</v>
      </c>
      <c r="G1154" s="38">
        <v>13366.38</v>
      </c>
    </row>
    <row r="1155" spans="1:7" x14ac:dyDescent="0.35">
      <c r="A1155" s="19" t="s">
        <v>17</v>
      </c>
      <c r="C1155" s="37">
        <v>45900</v>
      </c>
      <c r="D1155" s="31" t="s">
        <v>993</v>
      </c>
      <c r="E1155" s="31" t="s">
        <v>80</v>
      </c>
      <c r="F1155" s="31" t="s">
        <v>1178</v>
      </c>
      <c r="G1155" s="38">
        <v>12512.58</v>
      </c>
    </row>
    <row r="1156" spans="1:7" x14ac:dyDescent="0.35">
      <c r="A1156" s="19" t="s">
        <v>17</v>
      </c>
      <c r="C1156" s="37">
        <v>45900</v>
      </c>
      <c r="D1156" s="31">
        <v>35434</v>
      </c>
      <c r="E1156" s="31" t="s">
        <v>80</v>
      </c>
      <c r="F1156" s="31" t="s">
        <v>1178</v>
      </c>
      <c r="G1156" s="38">
        <v>1847.68</v>
      </c>
    </row>
    <row r="1157" spans="1:7" x14ac:dyDescent="0.35">
      <c r="A1157" s="19" t="s">
        <v>17</v>
      </c>
      <c r="C1157" s="37">
        <v>45900</v>
      </c>
      <c r="D1157" s="31" t="s">
        <v>1002</v>
      </c>
      <c r="E1157" s="31" t="s">
        <v>80</v>
      </c>
      <c r="F1157" s="31" t="s">
        <v>1178</v>
      </c>
      <c r="G1157" s="38">
        <v>1471.5</v>
      </c>
    </row>
    <row r="1158" spans="1:7" x14ac:dyDescent="0.35">
      <c r="A1158" s="19" t="s">
        <v>17</v>
      </c>
      <c r="C1158" s="37">
        <v>45900</v>
      </c>
      <c r="D1158" s="31">
        <v>35494</v>
      </c>
      <c r="E1158" s="31" t="s">
        <v>449</v>
      </c>
      <c r="F1158" s="31" t="s">
        <v>1178</v>
      </c>
      <c r="G1158" s="38">
        <v>292.52</v>
      </c>
    </row>
    <row r="1159" spans="1:7" x14ac:dyDescent="0.35">
      <c r="A1159" s="19" t="s">
        <v>17</v>
      </c>
      <c r="C1159" s="37">
        <v>45900</v>
      </c>
      <c r="D1159" s="31" t="s">
        <v>1009</v>
      </c>
      <c r="E1159" s="31" t="s">
        <v>453</v>
      </c>
      <c r="F1159" s="31" t="s">
        <v>1178</v>
      </c>
      <c r="G1159" s="38">
        <v>4315.75</v>
      </c>
    </row>
    <row r="1160" spans="1:7" x14ac:dyDescent="0.35">
      <c r="A1160" s="19" t="s">
        <v>17</v>
      </c>
      <c r="C1160" s="37">
        <v>45900</v>
      </c>
      <c r="D1160" s="31" t="s">
        <v>1011</v>
      </c>
      <c r="E1160" s="31" t="s">
        <v>453</v>
      </c>
      <c r="F1160" s="31" t="s">
        <v>1178</v>
      </c>
      <c r="G1160" s="38">
        <v>1194.6300000000001</v>
      </c>
    </row>
    <row r="1161" spans="1:7" x14ac:dyDescent="0.35">
      <c r="A1161" s="19" t="s">
        <v>17</v>
      </c>
      <c r="C1161" s="37">
        <v>45900</v>
      </c>
      <c r="D1161" s="31" t="s">
        <v>1018</v>
      </c>
      <c r="E1161" s="31" t="s">
        <v>55</v>
      </c>
      <c r="F1161" s="31" t="s">
        <v>1178</v>
      </c>
      <c r="G1161" s="38">
        <v>4817.0200000000004</v>
      </c>
    </row>
    <row r="1162" spans="1:7" x14ac:dyDescent="0.35">
      <c r="A1162" s="19" t="s">
        <v>17</v>
      </c>
      <c r="C1162" s="37">
        <v>45900</v>
      </c>
      <c r="D1162" s="31" t="s">
        <v>1020</v>
      </c>
      <c r="E1162" s="31" t="s">
        <v>55</v>
      </c>
      <c r="F1162" s="31" t="s">
        <v>1178</v>
      </c>
      <c r="G1162" s="38">
        <v>9505.74</v>
      </c>
    </row>
    <row r="1163" spans="1:7" x14ac:dyDescent="0.35">
      <c r="A1163" s="19" t="s">
        <v>17</v>
      </c>
      <c r="C1163" s="37">
        <v>45900</v>
      </c>
      <c r="D1163" s="31">
        <v>35797</v>
      </c>
      <c r="E1163" s="31" t="s">
        <v>55</v>
      </c>
      <c r="F1163" s="31" t="s">
        <v>1178</v>
      </c>
      <c r="G1163" s="38">
        <v>10327.44</v>
      </c>
    </row>
    <row r="1164" spans="1:7" x14ac:dyDescent="0.35">
      <c r="A1164" s="19" t="s">
        <v>17</v>
      </c>
      <c r="C1164" s="37">
        <v>45900</v>
      </c>
      <c r="D1164" s="31" t="s">
        <v>1021</v>
      </c>
      <c r="E1164" s="31" t="s">
        <v>55</v>
      </c>
      <c r="F1164" s="31" t="s">
        <v>1178</v>
      </c>
      <c r="G1164" s="38">
        <v>8252.7000000000007</v>
      </c>
    </row>
    <row r="1165" spans="1:7" x14ac:dyDescent="0.35">
      <c r="A1165" s="19" t="s">
        <v>17</v>
      </c>
      <c r="C1165" s="37">
        <v>45900</v>
      </c>
      <c r="D1165" s="31" t="s">
        <v>1022</v>
      </c>
      <c r="E1165" s="31" t="s">
        <v>55</v>
      </c>
      <c r="F1165" s="31" t="s">
        <v>1178</v>
      </c>
      <c r="G1165" s="38">
        <v>11819.71</v>
      </c>
    </row>
    <row r="1166" spans="1:7" x14ac:dyDescent="0.35">
      <c r="A1166" s="19" t="s">
        <v>17</v>
      </c>
      <c r="C1166" s="37">
        <v>45900</v>
      </c>
      <c r="D1166" s="31">
        <v>35806</v>
      </c>
      <c r="E1166" s="31" t="s">
        <v>55</v>
      </c>
      <c r="F1166" s="31" t="s">
        <v>1178</v>
      </c>
      <c r="G1166" s="38">
        <v>1022.42</v>
      </c>
    </row>
    <row r="1167" spans="1:7" x14ac:dyDescent="0.35">
      <c r="A1167" s="19" t="s">
        <v>17</v>
      </c>
      <c r="C1167" s="37">
        <v>45900</v>
      </c>
      <c r="D1167" s="31" t="s">
        <v>1023</v>
      </c>
      <c r="E1167" s="31" t="s">
        <v>55</v>
      </c>
      <c r="F1167" s="31" t="s">
        <v>1178</v>
      </c>
      <c r="G1167" s="38">
        <v>19232.13</v>
      </c>
    </row>
    <row r="1168" spans="1:7" x14ac:dyDescent="0.35">
      <c r="A1168" s="19" t="s">
        <v>17</v>
      </c>
      <c r="C1168" s="37">
        <v>45900</v>
      </c>
      <c r="D1168" s="31" t="s">
        <v>1024</v>
      </c>
      <c r="E1168" s="31" t="s">
        <v>55</v>
      </c>
      <c r="F1168" s="31" t="s">
        <v>1178</v>
      </c>
      <c r="G1168" s="38">
        <v>4901.51</v>
      </c>
    </row>
    <row r="1169" spans="1:7" x14ac:dyDescent="0.35">
      <c r="A1169" s="19" t="s">
        <v>17</v>
      </c>
      <c r="C1169" s="37">
        <v>45900</v>
      </c>
      <c r="D1169" s="31">
        <v>35811</v>
      </c>
      <c r="E1169" s="31" t="s">
        <v>55</v>
      </c>
      <c r="F1169" s="31" t="s">
        <v>1178</v>
      </c>
      <c r="G1169" s="38">
        <v>16880.89</v>
      </c>
    </row>
    <row r="1170" spans="1:7" x14ac:dyDescent="0.35">
      <c r="A1170" s="19" t="s">
        <v>17</v>
      </c>
      <c r="C1170" s="37">
        <v>45900</v>
      </c>
      <c r="D1170" s="31" t="s">
        <v>1025</v>
      </c>
      <c r="E1170" s="31" t="s">
        <v>55</v>
      </c>
      <c r="F1170" s="31" t="s">
        <v>1178</v>
      </c>
      <c r="G1170" s="38">
        <v>7960.82</v>
      </c>
    </row>
    <row r="1171" spans="1:7" x14ac:dyDescent="0.35">
      <c r="A1171" s="19" t="s">
        <v>17</v>
      </c>
      <c r="C1171" s="37">
        <v>45900</v>
      </c>
      <c r="D1171" s="31" t="s">
        <v>1026</v>
      </c>
      <c r="E1171" s="31" t="s">
        <v>1027</v>
      </c>
      <c r="F1171" s="31" t="s">
        <v>1178</v>
      </c>
      <c r="G1171" s="38">
        <v>-500</v>
      </c>
    </row>
    <row r="1172" spans="1:7" x14ac:dyDescent="0.35">
      <c r="A1172" s="19" t="s">
        <v>17</v>
      </c>
      <c r="C1172" s="37">
        <v>45900</v>
      </c>
      <c r="D1172" s="31" t="s">
        <v>1173</v>
      </c>
      <c r="E1172" s="31" t="s">
        <v>1174</v>
      </c>
      <c r="F1172" s="31" t="s">
        <v>1178</v>
      </c>
      <c r="G1172" s="38">
        <v>4923</v>
      </c>
    </row>
    <row r="1173" spans="1:7" x14ac:dyDescent="0.35">
      <c r="A1173" s="19" t="s">
        <v>17</v>
      </c>
      <c r="C1173" s="37">
        <v>45900</v>
      </c>
      <c r="D1173" s="31" t="s">
        <v>1183</v>
      </c>
      <c r="E1173" s="31" t="s">
        <v>221</v>
      </c>
      <c r="F1173" s="31" t="s">
        <v>1178</v>
      </c>
      <c r="G1173" s="38">
        <v>0.01</v>
      </c>
    </row>
    <row r="1174" spans="1:7" x14ac:dyDescent="0.35">
      <c r="A1174" s="19" t="s">
        <v>17</v>
      </c>
      <c r="C1174" s="37">
        <v>45900</v>
      </c>
      <c r="D1174" s="31" t="s">
        <v>1040</v>
      </c>
      <c r="E1174" s="31" t="s">
        <v>57</v>
      </c>
      <c r="F1174" s="31" t="s">
        <v>1178</v>
      </c>
      <c r="G1174" s="38">
        <v>4729.99</v>
      </c>
    </row>
    <row r="1175" spans="1:7" x14ac:dyDescent="0.35">
      <c r="A1175" s="19" t="s">
        <v>17</v>
      </c>
      <c r="C1175" s="37">
        <v>45900</v>
      </c>
      <c r="D1175" s="31" t="s">
        <v>1042</v>
      </c>
      <c r="E1175" s="31" t="s">
        <v>1043</v>
      </c>
      <c r="F1175" s="31" t="s">
        <v>1178</v>
      </c>
      <c r="G1175" s="38">
        <v>1162.5899999999999</v>
      </c>
    </row>
    <row r="1176" spans="1:7" x14ac:dyDescent="0.35">
      <c r="A1176" s="19" t="s">
        <v>17</v>
      </c>
      <c r="C1176" s="37">
        <v>45900</v>
      </c>
      <c r="D1176" s="31" t="s">
        <v>1184</v>
      </c>
      <c r="E1176" s="31" t="s">
        <v>529</v>
      </c>
      <c r="F1176" s="31" t="s">
        <v>1178</v>
      </c>
      <c r="G1176" s="38">
        <v>1</v>
      </c>
    </row>
    <row r="1177" spans="1:7" x14ac:dyDescent="0.35">
      <c r="A1177" s="19" t="s">
        <v>17</v>
      </c>
      <c r="C1177" s="37">
        <v>45900</v>
      </c>
      <c r="D1177" s="31">
        <v>37354</v>
      </c>
      <c r="E1177" s="31" t="s">
        <v>1050</v>
      </c>
      <c r="F1177" s="31" t="s">
        <v>1178</v>
      </c>
      <c r="G1177" s="38">
        <v>4000</v>
      </c>
    </row>
    <row r="1178" spans="1:7" x14ac:dyDescent="0.35">
      <c r="A1178" s="19" t="s">
        <v>17</v>
      </c>
      <c r="C1178" s="37">
        <v>45900</v>
      </c>
      <c r="D1178" s="31">
        <v>37625</v>
      </c>
      <c r="E1178" s="31" t="s">
        <v>725</v>
      </c>
      <c r="F1178" s="31" t="s">
        <v>1178</v>
      </c>
      <c r="G1178" s="38">
        <v>15690.18</v>
      </c>
    </row>
    <row r="1179" spans="1:7" x14ac:dyDescent="0.35">
      <c r="A1179" s="19" t="s">
        <v>17</v>
      </c>
      <c r="C1179" s="37">
        <v>45900</v>
      </c>
      <c r="D1179" s="31">
        <v>37644</v>
      </c>
      <c r="E1179" s="31" t="s">
        <v>725</v>
      </c>
      <c r="F1179" s="31" t="s">
        <v>1178</v>
      </c>
      <c r="G1179" s="38">
        <v>3264.14</v>
      </c>
    </row>
    <row r="1180" spans="1:7" x14ac:dyDescent="0.35">
      <c r="A1180" s="19" t="s">
        <v>17</v>
      </c>
      <c r="C1180" s="37">
        <v>45900</v>
      </c>
      <c r="D1180" s="31">
        <v>37776</v>
      </c>
      <c r="E1180" s="31" t="s">
        <v>741</v>
      </c>
      <c r="F1180" s="31" t="s">
        <v>1178</v>
      </c>
      <c r="G1180" s="38">
        <v>86.73</v>
      </c>
    </row>
    <row r="1181" spans="1:7" x14ac:dyDescent="0.35">
      <c r="A1181" s="19" t="s">
        <v>17</v>
      </c>
      <c r="C1181" s="37">
        <v>45900</v>
      </c>
      <c r="D1181" s="31">
        <v>37903</v>
      </c>
      <c r="E1181" s="31" t="s">
        <v>284</v>
      </c>
      <c r="F1181" s="31" t="s">
        <v>1178</v>
      </c>
      <c r="G1181" s="38">
        <v>1050</v>
      </c>
    </row>
    <row r="1182" spans="1:7" x14ac:dyDescent="0.35">
      <c r="A1182" s="19" t="s">
        <v>17</v>
      </c>
      <c r="C1182" s="37">
        <v>45900</v>
      </c>
      <c r="D1182" s="31" t="s">
        <v>1064</v>
      </c>
      <c r="E1182" s="31" t="s">
        <v>59</v>
      </c>
      <c r="F1182" s="31" t="s">
        <v>1178</v>
      </c>
      <c r="G1182" s="38">
        <v>8195.0400000000009</v>
      </c>
    </row>
    <row r="1183" spans="1:7" x14ac:dyDescent="0.35">
      <c r="A1183" s="19" t="s">
        <v>17</v>
      </c>
      <c r="C1183" s="37">
        <v>45900</v>
      </c>
      <c r="D1183" s="31" t="s">
        <v>1069</v>
      </c>
      <c r="E1183" s="31" t="s">
        <v>59</v>
      </c>
      <c r="F1183" s="31" t="s">
        <v>1178</v>
      </c>
      <c r="G1183" s="38">
        <v>18305.29</v>
      </c>
    </row>
    <row r="1184" spans="1:7" x14ac:dyDescent="0.35">
      <c r="A1184" s="19" t="s">
        <v>17</v>
      </c>
      <c r="C1184" s="37">
        <v>45900</v>
      </c>
      <c r="D1184" s="31" t="s">
        <v>1071</v>
      </c>
      <c r="E1184" s="31" t="s">
        <v>59</v>
      </c>
      <c r="F1184" s="31" t="s">
        <v>1178</v>
      </c>
      <c r="G1184" s="38">
        <v>1711.96</v>
      </c>
    </row>
    <row r="1185" spans="1:7" x14ac:dyDescent="0.35">
      <c r="A1185" s="19" t="s">
        <v>17</v>
      </c>
      <c r="C1185" s="37">
        <v>45900</v>
      </c>
      <c r="D1185" s="31" t="s">
        <v>1185</v>
      </c>
      <c r="E1185" s="31" t="s">
        <v>1186</v>
      </c>
      <c r="F1185" s="31" t="s">
        <v>1178</v>
      </c>
      <c r="G1185" s="38">
        <v>0.02</v>
      </c>
    </row>
    <row r="1186" spans="1:7" x14ac:dyDescent="0.35">
      <c r="A1186" s="19" t="s">
        <v>17</v>
      </c>
      <c r="C1186" s="37">
        <v>45900</v>
      </c>
      <c r="D1186" s="31" t="s">
        <v>1187</v>
      </c>
      <c r="E1186" s="31" t="s">
        <v>1188</v>
      </c>
      <c r="F1186" s="31" t="s">
        <v>1178</v>
      </c>
      <c r="G1186" s="38">
        <v>114.07</v>
      </c>
    </row>
    <row r="1187" spans="1:7" x14ac:dyDescent="0.35">
      <c r="A1187" s="19" t="s">
        <v>17</v>
      </c>
      <c r="C1187" s="37">
        <v>45900</v>
      </c>
      <c r="D1187" s="31">
        <v>38215</v>
      </c>
      <c r="E1187" s="31" t="s">
        <v>1080</v>
      </c>
      <c r="F1187" s="31" t="s">
        <v>1178</v>
      </c>
      <c r="G1187" s="38">
        <v>2513.25</v>
      </c>
    </row>
    <row r="1188" spans="1:7" x14ac:dyDescent="0.35">
      <c r="A1188" s="19" t="s">
        <v>17</v>
      </c>
      <c r="C1188" s="37">
        <v>45900</v>
      </c>
      <c r="D1188" s="31">
        <v>38262</v>
      </c>
      <c r="E1188" s="31" t="s">
        <v>177</v>
      </c>
      <c r="F1188" s="31" t="s">
        <v>1178</v>
      </c>
      <c r="G1188" s="38">
        <v>364</v>
      </c>
    </row>
    <row r="1189" spans="1:7" x14ac:dyDescent="0.35">
      <c r="A1189" s="19" t="s">
        <v>17</v>
      </c>
      <c r="C1189" s="37">
        <v>45900</v>
      </c>
      <c r="D1189" s="31" t="s">
        <v>1086</v>
      </c>
      <c r="E1189" s="31" t="s">
        <v>177</v>
      </c>
      <c r="F1189" s="31" t="s">
        <v>1178</v>
      </c>
      <c r="G1189" s="38">
        <v>7850.61</v>
      </c>
    </row>
    <row r="1190" spans="1:7" x14ac:dyDescent="0.35">
      <c r="A1190" s="19" t="s">
        <v>17</v>
      </c>
      <c r="C1190" s="37">
        <v>45900</v>
      </c>
      <c r="D1190" s="31">
        <v>38267</v>
      </c>
      <c r="E1190" s="31" t="s">
        <v>177</v>
      </c>
      <c r="F1190" s="31" t="s">
        <v>1178</v>
      </c>
      <c r="G1190" s="38">
        <v>960.17</v>
      </c>
    </row>
    <row r="1191" spans="1:7" x14ac:dyDescent="0.35">
      <c r="A1191" s="19" t="s">
        <v>17</v>
      </c>
      <c r="C1191" s="37">
        <v>45900</v>
      </c>
      <c r="D1191" s="31">
        <v>38317</v>
      </c>
      <c r="E1191" s="31" t="s">
        <v>1087</v>
      </c>
      <c r="F1191" s="31" t="s">
        <v>1178</v>
      </c>
      <c r="G1191" s="38">
        <v>2500</v>
      </c>
    </row>
    <row r="1192" spans="1:7" x14ac:dyDescent="0.35">
      <c r="A1192" s="19" t="s">
        <v>17</v>
      </c>
      <c r="C1192" s="37">
        <v>45900</v>
      </c>
      <c r="D1192" s="31">
        <v>38473</v>
      </c>
      <c r="E1192" s="31" t="s">
        <v>1090</v>
      </c>
      <c r="F1192" s="31" t="s">
        <v>1178</v>
      </c>
      <c r="G1192" s="38">
        <v>8645</v>
      </c>
    </row>
    <row r="1193" spans="1:7" x14ac:dyDescent="0.35">
      <c r="A1193" s="19" t="s">
        <v>17</v>
      </c>
      <c r="C1193" s="37">
        <v>45900</v>
      </c>
      <c r="D1193" s="31" t="s">
        <v>1104</v>
      </c>
      <c r="E1193" s="31" t="s">
        <v>253</v>
      </c>
      <c r="F1193" s="31" t="s">
        <v>1178</v>
      </c>
      <c r="G1193" s="38">
        <v>135</v>
      </c>
    </row>
    <row r="1194" spans="1:7" x14ac:dyDescent="0.35">
      <c r="A1194" s="19" t="s">
        <v>17</v>
      </c>
      <c r="C1194" s="37">
        <v>45900</v>
      </c>
      <c r="D1194" s="31">
        <v>38607</v>
      </c>
      <c r="E1194" s="31" t="s">
        <v>1087</v>
      </c>
      <c r="F1194" s="31" t="s">
        <v>1178</v>
      </c>
      <c r="G1194" s="38">
        <v>1400</v>
      </c>
    </row>
    <row r="1195" spans="1:7" x14ac:dyDescent="0.35">
      <c r="A1195" s="19" t="s">
        <v>17</v>
      </c>
      <c r="C1195" s="37">
        <v>45900</v>
      </c>
      <c r="D1195" s="31">
        <v>38621</v>
      </c>
      <c r="E1195" s="31" t="s">
        <v>1027</v>
      </c>
      <c r="F1195" s="31" t="s">
        <v>1178</v>
      </c>
      <c r="G1195" s="38">
        <v>5537.5</v>
      </c>
    </row>
    <row r="1196" spans="1:7" x14ac:dyDescent="0.35">
      <c r="A1196" s="19" t="s">
        <v>17</v>
      </c>
      <c r="C1196" s="37">
        <v>45900</v>
      </c>
      <c r="D1196" s="31">
        <v>38627</v>
      </c>
      <c r="E1196" s="31" t="s">
        <v>284</v>
      </c>
      <c r="F1196" s="31" t="s">
        <v>1178</v>
      </c>
      <c r="G1196" s="38">
        <v>307.20999999999998</v>
      </c>
    </row>
    <row r="1197" spans="1:7" x14ac:dyDescent="0.35">
      <c r="A1197" s="19" t="s">
        <v>17</v>
      </c>
      <c r="C1197" s="37">
        <v>45900</v>
      </c>
      <c r="D1197" s="31">
        <v>38636</v>
      </c>
      <c r="E1197" s="31" t="s">
        <v>903</v>
      </c>
      <c r="F1197" s="31" t="s">
        <v>1178</v>
      </c>
      <c r="G1197" s="38">
        <v>1850</v>
      </c>
    </row>
    <row r="1198" spans="1:7" x14ac:dyDescent="0.35">
      <c r="A1198" s="19" t="s">
        <v>17</v>
      </c>
      <c r="C1198" s="37">
        <v>45900</v>
      </c>
      <c r="D1198" s="31" t="s">
        <v>1189</v>
      </c>
      <c r="E1198" s="31" t="s">
        <v>228</v>
      </c>
      <c r="F1198" s="31" t="s">
        <v>1178</v>
      </c>
      <c r="G1198" s="38">
        <v>2700</v>
      </c>
    </row>
    <row r="1199" spans="1:7" x14ac:dyDescent="0.35">
      <c r="A1199" s="19" t="s">
        <v>17</v>
      </c>
      <c r="C1199" s="37">
        <v>45900</v>
      </c>
      <c r="D1199" s="31">
        <v>38670</v>
      </c>
      <c r="E1199" s="31" t="s">
        <v>1105</v>
      </c>
      <c r="F1199" s="31" t="s">
        <v>1178</v>
      </c>
      <c r="G1199" s="38">
        <v>0</v>
      </c>
    </row>
    <row r="1200" spans="1:7" x14ac:dyDescent="0.35">
      <c r="A1200" s="19" t="s">
        <v>17</v>
      </c>
      <c r="C1200" s="37">
        <v>45900</v>
      </c>
      <c r="D1200" s="31" t="s">
        <v>1106</v>
      </c>
      <c r="E1200" s="31" t="s">
        <v>59</v>
      </c>
      <c r="F1200" s="31" t="s">
        <v>1178</v>
      </c>
      <c r="G1200" s="38">
        <v>25843.3</v>
      </c>
    </row>
    <row r="1201" spans="1:7" x14ac:dyDescent="0.35">
      <c r="A1201" s="19" t="s">
        <v>17</v>
      </c>
      <c r="C1201" s="37">
        <v>45900</v>
      </c>
      <c r="D1201" s="31" t="s">
        <v>1190</v>
      </c>
      <c r="E1201" s="31" t="s">
        <v>1191</v>
      </c>
      <c r="F1201" s="31" t="s">
        <v>1178</v>
      </c>
      <c r="G1201" s="38">
        <v>0.01</v>
      </c>
    </row>
    <row r="1202" spans="1:7" x14ac:dyDescent="0.35">
      <c r="A1202" s="19" t="s">
        <v>17</v>
      </c>
      <c r="C1202" s="37">
        <v>45900</v>
      </c>
      <c r="D1202" s="31">
        <v>38701</v>
      </c>
      <c r="E1202" s="31" t="s">
        <v>923</v>
      </c>
      <c r="F1202" s="31" t="s">
        <v>1178</v>
      </c>
      <c r="G1202" s="38">
        <v>1975</v>
      </c>
    </row>
    <row r="1203" spans="1:7" x14ac:dyDescent="0.35">
      <c r="A1203" s="19" t="s">
        <v>17</v>
      </c>
      <c r="C1203" s="37">
        <v>45900</v>
      </c>
      <c r="D1203" s="31">
        <v>38718</v>
      </c>
      <c r="E1203" s="31" t="s">
        <v>1108</v>
      </c>
      <c r="F1203" s="31" t="s">
        <v>1178</v>
      </c>
      <c r="G1203" s="38">
        <v>750</v>
      </c>
    </row>
    <row r="1204" spans="1:7" x14ac:dyDescent="0.35">
      <c r="A1204" s="19" t="s">
        <v>17</v>
      </c>
      <c r="C1204" s="37">
        <v>45900</v>
      </c>
      <c r="D1204" s="31">
        <v>38726</v>
      </c>
      <c r="E1204" s="31" t="s">
        <v>1110</v>
      </c>
      <c r="F1204" s="31" t="s">
        <v>1178</v>
      </c>
      <c r="G1204" s="38">
        <v>1250</v>
      </c>
    </row>
    <row r="1205" spans="1:7" x14ac:dyDescent="0.35">
      <c r="A1205" s="19" t="s">
        <v>17</v>
      </c>
      <c r="C1205" s="37">
        <v>45900</v>
      </c>
      <c r="D1205" s="31">
        <v>38758</v>
      </c>
      <c r="E1205" s="31" t="s">
        <v>722</v>
      </c>
      <c r="F1205" s="31" t="s">
        <v>1178</v>
      </c>
      <c r="G1205" s="38">
        <v>700</v>
      </c>
    </row>
    <row r="1206" spans="1:7" x14ac:dyDescent="0.35">
      <c r="A1206" s="19" t="s">
        <v>17</v>
      </c>
      <c r="C1206" s="37">
        <v>45900</v>
      </c>
      <c r="D1206" s="31">
        <v>38785</v>
      </c>
      <c r="E1206" s="31" t="s">
        <v>1114</v>
      </c>
      <c r="F1206" s="31" t="s">
        <v>1178</v>
      </c>
      <c r="G1206" s="38">
        <v>857.38</v>
      </c>
    </row>
    <row r="1207" spans="1:7" x14ac:dyDescent="0.35">
      <c r="A1207" s="19" t="s">
        <v>17</v>
      </c>
      <c r="C1207" s="37">
        <v>45900</v>
      </c>
      <c r="D1207" s="31">
        <v>38793</v>
      </c>
      <c r="E1207" s="31" t="s">
        <v>287</v>
      </c>
      <c r="F1207" s="31" t="s">
        <v>1178</v>
      </c>
      <c r="G1207" s="38">
        <v>25</v>
      </c>
    </row>
    <row r="1208" spans="1:7" x14ac:dyDescent="0.35">
      <c r="A1208" s="19" t="s">
        <v>17</v>
      </c>
      <c r="C1208" s="37">
        <v>45900</v>
      </c>
      <c r="D1208" s="31">
        <v>38795</v>
      </c>
      <c r="E1208" s="31" t="s">
        <v>1115</v>
      </c>
      <c r="F1208" s="31" t="s">
        <v>1178</v>
      </c>
      <c r="G1208" s="38">
        <v>286.63</v>
      </c>
    </row>
    <row r="1209" spans="1:7" x14ac:dyDescent="0.35">
      <c r="A1209" s="19" t="s">
        <v>17</v>
      </c>
      <c r="C1209" s="37">
        <v>45900</v>
      </c>
      <c r="D1209" s="31">
        <v>38796</v>
      </c>
      <c r="E1209" s="31" t="s">
        <v>1116</v>
      </c>
      <c r="F1209" s="31" t="s">
        <v>1178</v>
      </c>
      <c r="G1209" s="38">
        <v>285</v>
      </c>
    </row>
    <row r="1210" spans="1:7" x14ac:dyDescent="0.35">
      <c r="A1210" s="19" t="s">
        <v>17</v>
      </c>
      <c r="C1210" s="37">
        <v>45900</v>
      </c>
      <c r="D1210" s="31">
        <v>38799</v>
      </c>
      <c r="E1210" s="31" t="s">
        <v>1117</v>
      </c>
      <c r="F1210" s="31" t="s">
        <v>1178</v>
      </c>
      <c r="G1210" s="38">
        <v>75.34</v>
      </c>
    </row>
    <row r="1211" spans="1:7" x14ac:dyDescent="0.35">
      <c r="A1211" s="19" t="s">
        <v>17</v>
      </c>
      <c r="C1211" s="37">
        <v>45900</v>
      </c>
      <c r="D1211" s="31">
        <v>38800</v>
      </c>
      <c r="E1211" s="31" t="s">
        <v>1118</v>
      </c>
      <c r="F1211" s="31" t="s">
        <v>1178</v>
      </c>
      <c r="G1211" s="38">
        <v>3170</v>
      </c>
    </row>
    <row r="1212" spans="1:7" x14ac:dyDescent="0.35">
      <c r="A1212" s="19" t="s">
        <v>17</v>
      </c>
      <c r="C1212" s="37">
        <v>45900</v>
      </c>
      <c r="D1212" s="31">
        <v>38801</v>
      </c>
      <c r="E1212" s="31" t="s">
        <v>1119</v>
      </c>
      <c r="F1212" s="31" t="s">
        <v>1178</v>
      </c>
      <c r="G1212" s="38">
        <v>652.53</v>
      </c>
    </row>
    <row r="1213" spans="1:7" x14ac:dyDescent="0.35">
      <c r="A1213" s="19" t="s">
        <v>17</v>
      </c>
      <c r="C1213" s="37">
        <v>45900</v>
      </c>
      <c r="D1213" s="31">
        <v>38803</v>
      </c>
      <c r="E1213" s="31" t="s">
        <v>1120</v>
      </c>
      <c r="F1213" s="31" t="s">
        <v>1178</v>
      </c>
      <c r="G1213" s="38">
        <v>1616.6</v>
      </c>
    </row>
    <row r="1214" spans="1:7" x14ac:dyDescent="0.35">
      <c r="A1214" s="19" t="s">
        <v>17</v>
      </c>
      <c r="C1214" s="37">
        <v>45900</v>
      </c>
      <c r="D1214" s="31">
        <v>38809</v>
      </c>
      <c r="E1214" s="31" t="s">
        <v>1123</v>
      </c>
      <c r="F1214" s="31" t="s">
        <v>1178</v>
      </c>
      <c r="G1214" s="38">
        <v>1529.19</v>
      </c>
    </row>
    <row r="1215" spans="1:7" x14ac:dyDescent="0.35">
      <c r="A1215" s="19" t="s">
        <v>17</v>
      </c>
      <c r="C1215" s="37">
        <v>45900</v>
      </c>
      <c r="D1215" s="31">
        <v>38815</v>
      </c>
      <c r="E1215" s="31" t="s">
        <v>1124</v>
      </c>
      <c r="F1215" s="31" t="s">
        <v>1178</v>
      </c>
      <c r="G1215" s="38">
        <v>2180</v>
      </c>
    </row>
    <row r="1216" spans="1:7" x14ac:dyDescent="0.35">
      <c r="A1216" s="19" t="s">
        <v>17</v>
      </c>
      <c r="C1216" s="37">
        <v>45900</v>
      </c>
      <c r="D1216" s="31">
        <v>38820</v>
      </c>
      <c r="E1216" s="31" t="s">
        <v>1126</v>
      </c>
      <c r="F1216" s="31" t="s">
        <v>1178</v>
      </c>
      <c r="G1216" s="38">
        <v>9000</v>
      </c>
    </row>
    <row r="1217" spans="1:7" x14ac:dyDescent="0.35">
      <c r="A1217" s="19" t="s">
        <v>17</v>
      </c>
      <c r="C1217" s="37">
        <v>45900</v>
      </c>
      <c r="D1217" s="31">
        <v>38822</v>
      </c>
      <c r="E1217" s="31" t="s">
        <v>1176</v>
      </c>
      <c r="F1217" s="31" t="s">
        <v>1178</v>
      </c>
      <c r="G1217" s="38">
        <v>325.02999999999997</v>
      </c>
    </row>
    <row r="1218" spans="1:7" x14ac:dyDescent="0.35">
      <c r="A1218" s="19" t="s">
        <v>17</v>
      </c>
      <c r="C1218" s="37">
        <v>45900</v>
      </c>
      <c r="D1218" s="31">
        <v>38853</v>
      </c>
      <c r="E1218" s="31" t="s">
        <v>1133</v>
      </c>
      <c r="F1218" s="31" t="s">
        <v>1178</v>
      </c>
      <c r="G1218" s="38">
        <v>672.97</v>
      </c>
    </row>
    <row r="1219" spans="1:7" x14ac:dyDescent="0.35">
      <c r="A1219" s="19" t="s">
        <v>17</v>
      </c>
      <c r="C1219" s="37">
        <v>45900</v>
      </c>
      <c r="D1219" s="31">
        <v>38854</v>
      </c>
      <c r="E1219" s="31" t="s">
        <v>1134</v>
      </c>
      <c r="F1219" s="31" t="s">
        <v>1178</v>
      </c>
      <c r="G1219" s="38">
        <v>3779.52</v>
      </c>
    </row>
    <row r="1220" spans="1:7" x14ac:dyDescent="0.35">
      <c r="A1220" s="19" t="s">
        <v>17</v>
      </c>
      <c r="C1220" s="37">
        <v>45900</v>
      </c>
      <c r="D1220" s="31">
        <v>38855</v>
      </c>
      <c r="E1220" s="31" t="s">
        <v>1135</v>
      </c>
      <c r="F1220" s="31" t="s">
        <v>1178</v>
      </c>
      <c r="G1220" s="38">
        <v>1663.75</v>
      </c>
    </row>
    <row r="1221" spans="1:7" x14ac:dyDescent="0.35">
      <c r="A1221" s="19" t="s">
        <v>17</v>
      </c>
      <c r="C1221" s="37">
        <v>45900</v>
      </c>
      <c r="D1221" s="31">
        <v>38868</v>
      </c>
      <c r="E1221" s="31" t="s">
        <v>1139</v>
      </c>
      <c r="F1221" s="31" t="s">
        <v>1178</v>
      </c>
      <c r="G1221" s="38">
        <v>500</v>
      </c>
    </row>
    <row r="1222" spans="1:7" x14ac:dyDescent="0.35">
      <c r="A1222" s="19" t="s">
        <v>17</v>
      </c>
      <c r="C1222" s="37">
        <v>45900</v>
      </c>
      <c r="D1222" s="31">
        <v>38871</v>
      </c>
      <c r="E1222" s="31" t="s">
        <v>921</v>
      </c>
      <c r="F1222" s="31" t="s">
        <v>1178</v>
      </c>
      <c r="G1222" s="38">
        <v>1165.3499999999999</v>
      </c>
    </row>
    <row r="1223" spans="1:7" x14ac:dyDescent="0.35">
      <c r="A1223" s="19" t="s">
        <v>17</v>
      </c>
      <c r="C1223" s="37">
        <v>45900</v>
      </c>
      <c r="D1223" s="31">
        <v>38880</v>
      </c>
      <c r="E1223" s="31" t="s">
        <v>1140</v>
      </c>
      <c r="F1223" s="31" t="s">
        <v>1178</v>
      </c>
      <c r="G1223" s="38">
        <v>900</v>
      </c>
    </row>
    <row r="1224" spans="1:7" x14ac:dyDescent="0.35">
      <c r="A1224" s="19" t="s">
        <v>17</v>
      </c>
      <c r="C1224" s="37">
        <v>45900</v>
      </c>
      <c r="D1224" s="31">
        <v>38884</v>
      </c>
      <c r="E1224" s="31" t="s">
        <v>1136</v>
      </c>
      <c r="F1224" s="31" t="s">
        <v>1178</v>
      </c>
      <c r="G1224" s="38">
        <v>0</v>
      </c>
    </row>
    <row r="1225" spans="1:7" x14ac:dyDescent="0.35">
      <c r="A1225" s="19" t="s">
        <v>17</v>
      </c>
      <c r="C1225" s="37">
        <v>45900</v>
      </c>
      <c r="D1225" s="31">
        <v>38904</v>
      </c>
      <c r="E1225" s="31" t="s">
        <v>1141</v>
      </c>
      <c r="F1225" s="31" t="s">
        <v>1178</v>
      </c>
      <c r="G1225" s="38">
        <v>1420</v>
      </c>
    </row>
    <row r="1226" spans="1:7" x14ac:dyDescent="0.35">
      <c r="A1226" s="19" t="s">
        <v>17</v>
      </c>
      <c r="C1226" s="37">
        <v>45900</v>
      </c>
      <c r="D1226" s="31">
        <v>38909</v>
      </c>
      <c r="E1226" s="31" t="s">
        <v>1142</v>
      </c>
      <c r="F1226" s="31" t="s">
        <v>1178</v>
      </c>
      <c r="G1226" s="38">
        <v>1625</v>
      </c>
    </row>
    <row r="1227" spans="1:7" x14ac:dyDescent="0.35">
      <c r="A1227" s="19" t="s">
        <v>17</v>
      </c>
      <c r="C1227" s="37">
        <v>45900</v>
      </c>
      <c r="D1227" s="31">
        <v>38912</v>
      </c>
      <c r="E1227" s="31" t="s">
        <v>1144</v>
      </c>
      <c r="F1227" s="31" t="s">
        <v>1178</v>
      </c>
      <c r="G1227" s="38">
        <v>5464.8099999999995</v>
      </c>
    </row>
    <row r="1228" spans="1:7" x14ac:dyDescent="0.35">
      <c r="A1228" s="19" t="s">
        <v>17</v>
      </c>
      <c r="C1228" s="37">
        <v>45900</v>
      </c>
      <c r="D1228" s="31">
        <v>38913</v>
      </c>
      <c r="E1228" s="31" t="s">
        <v>1145</v>
      </c>
      <c r="F1228" s="31" t="s">
        <v>1178</v>
      </c>
      <c r="G1228" s="38">
        <v>27.17</v>
      </c>
    </row>
    <row r="1229" spans="1:7" x14ac:dyDescent="0.35">
      <c r="A1229" s="19" t="s">
        <v>17</v>
      </c>
      <c r="C1229" s="37">
        <v>45900</v>
      </c>
      <c r="D1229" s="31">
        <v>38915</v>
      </c>
      <c r="E1229" s="31" t="s">
        <v>1146</v>
      </c>
      <c r="F1229" s="31" t="s">
        <v>1178</v>
      </c>
      <c r="G1229" s="38">
        <v>409.9</v>
      </c>
    </row>
    <row r="1230" spans="1:7" x14ac:dyDescent="0.35">
      <c r="A1230" s="19" t="s">
        <v>17</v>
      </c>
      <c r="C1230" s="37">
        <v>45900</v>
      </c>
      <c r="D1230" s="31">
        <v>38916</v>
      </c>
      <c r="E1230" s="31" t="s">
        <v>1147</v>
      </c>
      <c r="F1230" s="31" t="s">
        <v>1178</v>
      </c>
      <c r="G1230" s="38">
        <v>553.87</v>
      </c>
    </row>
    <row r="1231" spans="1:7" x14ac:dyDescent="0.35">
      <c r="A1231" s="19" t="s">
        <v>17</v>
      </c>
      <c r="C1231" s="37">
        <v>45900</v>
      </c>
      <c r="D1231" s="31">
        <v>38921</v>
      </c>
      <c r="E1231" s="31" t="s">
        <v>1148</v>
      </c>
      <c r="F1231" s="31" t="s">
        <v>1178</v>
      </c>
      <c r="G1231" s="38">
        <v>180.95</v>
      </c>
    </row>
    <row r="1232" spans="1:7" x14ac:dyDescent="0.35">
      <c r="A1232" s="19" t="s">
        <v>17</v>
      </c>
      <c r="C1232" s="37">
        <v>45900</v>
      </c>
      <c r="D1232" s="31">
        <v>38942</v>
      </c>
      <c r="E1232" s="31" t="s">
        <v>1149</v>
      </c>
      <c r="F1232" s="31" t="s">
        <v>1178</v>
      </c>
      <c r="G1232" s="38">
        <v>40</v>
      </c>
    </row>
    <row r="1233" spans="1:7" x14ac:dyDescent="0.35">
      <c r="A1233" s="19" t="s">
        <v>17</v>
      </c>
      <c r="C1233" s="37">
        <v>45900</v>
      </c>
      <c r="D1233" s="31">
        <v>38946</v>
      </c>
      <c r="E1233" s="31" t="s">
        <v>1150</v>
      </c>
      <c r="F1233" s="31" t="s">
        <v>1178</v>
      </c>
      <c r="G1233" s="38">
        <v>965.5</v>
      </c>
    </row>
    <row r="1234" spans="1:7" x14ac:dyDescent="0.35">
      <c r="A1234" s="19" t="s">
        <v>17</v>
      </c>
      <c r="C1234" s="37">
        <v>45900</v>
      </c>
      <c r="D1234" s="31">
        <v>38959</v>
      </c>
      <c r="E1234" s="31" t="s">
        <v>228</v>
      </c>
      <c r="F1234" s="31" t="s">
        <v>1178</v>
      </c>
      <c r="G1234" s="38">
        <v>1329</v>
      </c>
    </row>
    <row r="1235" spans="1:7" x14ac:dyDescent="0.35">
      <c r="A1235" s="19" t="s">
        <v>17</v>
      </c>
      <c r="C1235" s="37">
        <v>45900</v>
      </c>
      <c r="D1235" s="31">
        <v>38965</v>
      </c>
      <c r="E1235" s="31" t="s">
        <v>1154</v>
      </c>
      <c r="F1235" s="31" t="s">
        <v>1178</v>
      </c>
      <c r="G1235" s="38">
        <v>569.25</v>
      </c>
    </row>
    <row r="1236" spans="1:7" x14ac:dyDescent="0.35">
      <c r="A1236" s="19" t="s">
        <v>17</v>
      </c>
      <c r="C1236" s="37">
        <v>45900</v>
      </c>
      <c r="D1236" s="31">
        <v>38974</v>
      </c>
      <c r="E1236" s="31" t="s">
        <v>1155</v>
      </c>
      <c r="F1236" s="31" t="s">
        <v>1178</v>
      </c>
      <c r="G1236" s="38">
        <v>487.85</v>
      </c>
    </row>
    <row r="1237" spans="1:7" x14ac:dyDescent="0.35">
      <c r="A1237" s="19" t="s">
        <v>17</v>
      </c>
      <c r="C1237" s="37">
        <v>45900</v>
      </c>
      <c r="D1237" s="31">
        <v>38985</v>
      </c>
      <c r="E1237" s="31" t="s">
        <v>1157</v>
      </c>
      <c r="F1237" s="31" t="s">
        <v>1178</v>
      </c>
      <c r="G1237" s="38">
        <v>434.92</v>
      </c>
    </row>
    <row r="1238" spans="1:7" x14ac:dyDescent="0.35">
      <c r="A1238" s="19" t="s">
        <v>17</v>
      </c>
      <c r="C1238" s="37">
        <v>45900</v>
      </c>
      <c r="D1238" s="31">
        <v>38992</v>
      </c>
      <c r="E1238" s="31" t="s">
        <v>1158</v>
      </c>
      <c r="F1238" s="31" t="s">
        <v>1178</v>
      </c>
      <c r="G1238" s="38">
        <v>980</v>
      </c>
    </row>
    <row r="1239" spans="1:7" x14ac:dyDescent="0.35">
      <c r="A1239" s="19" t="s">
        <v>17</v>
      </c>
      <c r="C1239" s="37">
        <v>45900</v>
      </c>
      <c r="D1239" s="31">
        <v>38997</v>
      </c>
      <c r="E1239" s="31" t="s">
        <v>128</v>
      </c>
      <c r="F1239" s="31" t="s">
        <v>1178</v>
      </c>
      <c r="G1239" s="38">
        <v>1687</v>
      </c>
    </row>
    <row r="1240" spans="1:7" x14ac:dyDescent="0.35">
      <c r="A1240" s="19" t="s">
        <v>17</v>
      </c>
      <c r="C1240" s="37">
        <v>45900</v>
      </c>
      <c r="D1240" s="31">
        <v>38998</v>
      </c>
      <c r="E1240" s="31" t="s">
        <v>1159</v>
      </c>
      <c r="F1240" s="31" t="s">
        <v>1178</v>
      </c>
      <c r="G1240" s="38">
        <v>646.12</v>
      </c>
    </row>
    <row r="1241" spans="1:7" x14ac:dyDescent="0.35">
      <c r="A1241" s="19" t="s">
        <v>17</v>
      </c>
      <c r="C1241" s="37">
        <v>45900</v>
      </c>
      <c r="D1241" s="31">
        <v>38999</v>
      </c>
      <c r="E1241" s="31" t="s">
        <v>597</v>
      </c>
      <c r="F1241" s="31" t="s">
        <v>1178</v>
      </c>
      <c r="G1241" s="38">
        <v>3060</v>
      </c>
    </row>
    <row r="1242" spans="1:7" x14ac:dyDescent="0.35">
      <c r="A1242" s="19" t="s">
        <v>17</v>
      </c>
      <c r="C1242" s="37">
        <v>45900</v>
      </c>
      <c r="D1242" s="31">
        <v>39003</v>
      </c>
      <c r="E1242" s="31" t="s">
        <v>1160</v>
      </c>
      <c r="F1242" s="31" t="s">
        <v>1178</v>
      </c>
      <c r="G1242" s="38">
        <v>2575.75</v>
      </c>
    </row>
    <row r="1243" spans="1:7" x14ac:dyDescent="0.35">
      <c r="A1243" s="19" t="s">
        <v>17</v>
      </c>
      <c r="C1243" s="37">
        <v>45900</v>
      </c>
      <c r="D1243" s="31">
        <v>39009</v>
      </c>
      <c r="E1243" s="31" t="s">
        <v>1159</v>
      </c>
      <c r="F1243" s="31" t="s">
        <v>1178</v>
      </c>
      <c r="G1243" s="38">
        <v>1649.25</v>
      </c>
    </row>
    <row r="1244" spans="1:7" x14ac:dyDescent="0.35">
      <c r="A1244" s="19" t="s">
        <v>17</v>
      </c>
      <c r="C1244" s="37">
        <v>45900</v>
      </c>
      <c r="D1244" s="31">
        <v>39063</v>
      </c>
      <c r="E1244" s="31" t="s">
        <v>1161</v>
      </c>
      <c r="F1244" s="31" t="s">
        <v>1178</v>
      </c>
      <c r="G1244" s="38">
        <v>781</v>
      </c>
    </row>
    <row r="1245" spans="1:7" x14ac:dyDescent="0.35">
      <c r="A1245" s="19" t="s">
        <v>17</v>
      </c>
      <c r="C1245" s="37">
        <v>45900</v>
      </c>
      <c r="D1245" s="31">
        <v>39073</v>
      </c>
      <c r="E1245" s="31" t="s">
        <v>1135</v>
      </c>
      <c r="F1245" s="31" t="s">
        <v>1178</v>
      </c>
      <c r="G1245" s="38">
        <v>629.22</v>
      </c>
    </row>
    <row r="1246" spans="1:7" x14ac:dyDescent="0.35">
      <c r="A1246" s="19" t="s">
        <v>17</v>
      </c>
      <c r="C1246" s="37">
        <v>45900</v>
      </c>
      <c r="D1246" s="31">
        <v>39074</v>
      </c>
      <c r="E1246" s="31" t="s">
        <v>1135</v>
      </c>
      <c r="F1246" s="31" t="s">
        <v>1178</v>
      </c>
      <c r="G1246" s="38">
        <v>862.5</v>
      </c>
    </row>
    <row r="1247" spans="1:7" x14ac:dyDescent="0.35">
      <c r="A1247" s="19" t="s">
        <v>17</v>
      </c>
      <c r="C1247" s="37">
        <v>45900</v>
      </c>
      <c r="D1247" s="31">
        <v>39084</v>
      </c>
      <c r="E1247" s="31" t="s">
        <v>1027</v>
      </c>
      <c r="F1247" s="31" t="s">
        <v>1178</v>
      </c>
      <c r="G1247" s="38">
        <v>4500</v>
      </c>
    </row>
    <row r="1248" spans="1:7" x14ac:dyDescent="0.35">
      <c r="A1248" s="19" t="s">
        <v>17</v>
      </c>
      <c r="C1248" s="37">
        <v>45900</v>
      </c>
      <c r="D1248" s="31">
        <v>39085</v>
      </c>
      <c r="E1248" s="31" t="s">
        <v>1192</v>
      </c>
      <c r="F1248" s="31" t="s">
        <v>1178</v>
      </c>
      <c r="G1248" s="38">
        <v>1331.91</v>
      </c>
    </row>
    <row r="1249" spans="1:8" x14ac:dyDescent="0.35">
      <c r="A1249" s="19" t="s">
        <v>17</v>
      </c>
      <c r="C1249" s="37">
        <v>45900</v>
      </c>
      <c r="D1249" s="31">
        <v>39087</v>
      </c>
      <c r="E1249" s="31" t="s">
        <v>635</v>
      </c>
      <c r="F1249" s="31" t="s">
        <v>1178</v>
      </c>
      <c r="G1249" s="38">
        <v>11.76</v>
      </c>
    </row>
    <row r="1250" spans="1:8" x14ac:dyDescent="0.35">
      <c r="A1250" s="19" t="s">
        <v>17</v>
      </c>
      <c r="C1250" s="37">
        <v>45900</v>
      </c>
      <c r="D1250" s="31">
        <v>39088</v>
      </c>
      <c r="E1250" s="31" t="s">
        <v>1163</v>
      </c>
      <c r="F1250" s="31" t="s">
        <v>1178</v>
      </c>
      <c r="G1250" s="38">
        <v>2230</v>
      </c>
    </row>
    <row r="1251" spans="1:8" x14ac:dyDescent="0.35">
      <c r="A1251" s="19" t="s">
        <v>17</v>
      </c>
      <c r="C1251" s="37">
        <v>45900</v>
      </c>
      <c r="D1251" s="31">
        <v>39089</v>
      </c>
      <c r="E1251" s="31" t="s">
        <v>921</v>
      </c>
      <c r="F1251" s="31" t="s">
        <v>1178</v>
      </c>
      <c r="G1251" s="38">
        <v>200</v>
      </c>
    </row>
    <row r="1252" spans="1:8" x14ac:dyDescent="0.35">
      <c r="A1252" s="19" t="s">
        <v>17</v>
      </c>
      <c r="C1252" s="37">
        <v>45900</v>
      </c>
      <c r="D1252" s="31">
        <v>39102</v>
      </c>
      <c r="E1252" s="31" t="s">
        <v>1166</v>
      </c>
      <c r="F1252" s="31" t="s">
        <v>1178</v>
      </c>
      <c r="G1252" s="38">
        <v>0.02</v>
      </c>
    </row>
    <row r="1253" spans="1:8" x14ac:dyDescent="0.35">
      <c r="A1253" s="19" t="s">
        <v>17</v>
      </c>
      <c r="C1253" s="37">
        <v>45900</v>
      </c>
      <c r="D1253" s="31">
        <v>39107</v>
      </c>
      <c r="E1253" s="31" t="s">
        <v>464</v>
      </c>
      <c r="F1253" s="31" t="s">
        <v>1178</v>
      </c>
      <c r="G1253" s="38">
        <v>0.13</v>
      </c>
    </row>
    <row r="1254" spans="1:8" x14ac:dyDescent="0.35">
      <c r="A1254" s="19" t="s">
        <v>17</v>
      </c>
      <c r="C1254" s="37">
        <v>45900</v>
      </c>
      <c r="D1254" s="31">
        <v>39111</v>
      </c>
      <c r="E1254" s="31" t="s">
        <v>148</v>
      </c>
      <c r="F1254" s="31" t="s">
        <v>1178</v>
      </c>
      <c r="G1254" s="38">
        <v>1</v>
      </c>
    </row>
    <row r="1255" spans="1:8" x14ac:dyDescent="0.35">
      <c r="A1255" s="19" t="s">
        <v>17</v>
      </c>
      <c r="C1255" s="37">
        <v>45900</v>
      </c>
      <c r="D1255" s="31">
        <v>39115</v>
      </c>
      <c r="E1255" s="31" t="s">
        <v>261</v>
      </c>
      <c r="F1255" s="31" t="s">
        <v>1178</v>
      </c>
      <c r="G1255" s="38">
        <v>0.08</v>
      </c>
    </row>
    <row r="1256" spans="1:8" x14ac:dyDescent="0.35">
      <c r="A1256" s="19" t="s">
        <v>17</v>
      </c>
      <c r="C1256" s="37">
        <v>45900</v>
      </c>
      <c r="D1256" s="31">
        <v>39122</v>
      </c>
      <c r="E1256" s="31" t="s">
        <v>1027</v>
      </c>
      <c r="F1256" s="31" t="s">
        <v>1178</v>
      </c>
      <c r="G1256" s="38">
        <v>0.01</v>
      </c>
    </row>
    <row r="1257" spans="1:8" x14ac:dyDescent="0.35">
      <c r="A1257" s="19" t="s">
        <v>17</v>
      </c>
      <c r="C1257" s="37">
        <v>45900</v>
      </c>
      <c r="D1257" s="31">
        <v>39124</v>
      </c>
      <c r="E1257" s="31" t="s">
        <v>767</v>
      </c>
      <c r="F1257" s="31" t="s">
        <v>1178</v>
      </c>
      <c r="G1257" s="38">
        <v>0.01</v>
      </c>
    </row>
    <row r="1258" spans="1:8" x14ac:dyDescent="0.35">
      <c r="A1258" s="19"/>
      <c r="B1258" s="19" t="s">
        <v>22</v>
      </c>
      <c r="C1258" s="37">
        <v>45870</v>
      </c>
      <c r="D1258" s="31" t="s">
        <v>159</v>
      </c>
      <c r="E1258" s="31" t="s">
        <v>75</v>
      </c>
      <c r="F1258" s="31" t="s">
        <v>160</v>
      </c>
      <c r="H1258" s="38">
        <v>38753.19</v>
      </c>
    </row>
    <row r="1259" spans="1:8" x14ac:dyDescent="0.35">
      <c r="A1259" s="19"/>
      <c r="B1259" s="19" t="s">
        <v>22</v>
      </c>
      <c r="C1259" s="37">
        <v>45873</v>
      </c>
      <c r="D1259" s="31" t="s">
        <v>162</v>
      </c>
      <c r="E1259" s="31" t="s">
        <v>55</v>
      </c>
      <c r="F1259" s="31" t="s">
        <v>160</v>
      </c>
      <c r="H1259" s="38">
        <v>17770.829999999998</v>
      </c>
    </row>
    <row r="1260" spans="1:8" x14ac:dyDescent="0.35">
      <c r="A1260" s="19"/>
      <c r="B1260" s="19" t="s">
        <v>22</v>
      </c>
      <c r="C1260" s="37">
        <v>45873</v>
      </c>
      <c r="D1260" s="31">
        <v>38633</v>
      </c>
      <c r="E1260" s="31" t="s">
        <v>164</v>
      </c>
      <c r="F1260" s="31" t="s">
        <v>160</v>
      </c>
      <c r="H1260" s="38">
        <v>1066.07</v>
      </c>
    </row>
    <row r="1261" spans="1:8" x14ac:dyDescent="0.35">
      <c r="A1261" s="19"/>
      <c r="B1261" s="19" t="s">
        <v>22</v>
      </c>
      <c r="C1261" s="37">
        <v>45874</v>
      </c>
      <c r="D1261" s="31" t="s">
        <v>165</v>
      </c>
      <c r="E1261" s="31" t="s">
        <v>64</v>
      </c>
      <c r="F1261" s="31" t="s">
        <v>160</v>
      </c>
      <c r="H1261" s="38">
        <v>11850.06</v>
      </c>
    </row>
    <row r="1262" spans="1:8" x14ac:dyDescent="0.35">
      <c r="A1262" s="19"/>
      <c r="B1262" s="19" t="s">
        <v>22</v>
      </c>
      <c r="C1262" s="37">
        <v>45874</v>
      </c>
      <c r="D1262" s="31" t="s">
        <v>166</v>
      </c>
      <c r="E1262" s="31" t="s">
        <v>105</v>
      </c>
      <c r="F1262" s="31" t="s">
        <v>160</v>
      </c>
      <c r="H1262" s="38">
        <v>13724.09</v>
      </c>
    </row>
    <row r="1263" spans="1:8" x14ac:dyDescent="0.35">
      <c r="A1263" s="19"/>
      <c r="B1263" s="19" t="s">
        <v>22</v>
      </c>
      <c r="C1263" s="37">
        <v>45874</v>
      </c>
      <c r="D1263" s="31" t="s">
        <v>167</v>
      </c>
      <c r="E1263" s="31" t="s">
        <v>105</v>
      </c>
      <c r="F1263" s="31" t="s">
        <v>160</v>
      </c>
      <c r="H1263" s="38">
        <v>8320.26</v>
      </c>
    </row>
    <row r="1264" spans="1:8" x14ac:dyDescent="0.35">
      <c r="A1264" s="19"/>
      <c r="B1264" s="19" t="s">
        <v>22</v>
      </c>
      <c r="C1264" s="37">
        <v>45874</v>
      </c>
      <c r="D1264" s="31" t="s">
        <v>168</v>
      </c>
      <c r="E1264" s="31" t="s">
        <v>105</v>
      </c>
      <c r="F1264" s="31" t="s">
        <v>160</v>
      </c>
      <c r="H1264" s="38">
        <v>1850</v>
      </c>
    </row>
    <row r="1265" spans="1:8" x14ac:dyDescent="0.35">
      <c r="A1265" s="19"/>
      <c r="B1265" s="19" t="s">
        <v>22</v>
      </c>
      <c r="C1265" s="37">
        <v>45876</v>
      </c>
      <c r="D1265" s="31">
        <v>37687</v>
      </c>
      <c r="E1265" s="31" t="s">
        <v>75</v>
      </c>
      <c r="F1265" s="31" t="s">
        <v>160</v>
      </c>
      <c r="H1265" s="38">
        <v>256</v>
      </c>
    </row>
    <row r="1266" spans="1:8" x14ac:dyDescent="0.35">
      <c r="A1266" s="19"/>
      <c r="B1266" s="19" t="s">
        <v>22</v>
      </c>
      <c r="C1266" s="37">
        <v>45876</v>
      </c>
      <c r="D1266" s="31" t="s">
        <v>169</v>
      </c>
      <c r="E1266" s="31" t="s">
        <v>75</v>
      </c>
      <c r="F1266" s="31" t="s">
        <v>160</v>
      </c>
      <c r="H1266" s="38">
        <v>136.08000000000001</v>
      </c>
    </row>
    <row r="1267" spans="1:8" x14ac:dyDescent="0.35">
      <c r="A1267" s="19"/>
      <c r="B1267" s="19" t="s">
        <v>22</v>
      </c>
      <c r="C1267" s="37">
        <v>45876</v>
      </c>
      <c r="D1267" s="31">
        <v>38661</v>
      </c>
      <c r="E1267" s="31" t="s">
        <v>170</v>
      </c>
      <c r="F1267" s="31" t="s">
        <v>160</v>
      </c>
      <c r="H1267" s="38">
        <v>5066</v>
      </c>
    </row>
    <row r="1268" spans="1:8" x14ac:dyDescent="0.35">
      <c r="A1268" s="19"/>
      <c r="B1268" s="19" t="s">
        <v>22</v>
      </c>
      <c r="C1268" s="37">
        <v>45877</v>
      </c>
      <c r="D1268" s="31">
        <v>36248</v>
      </c>
      <c r="E1268" s="31" t="s">
        <v>171</v>
      </c>
      <c r="F1268" s="31" t="s">
        <v>160</v>
      </c>
      <c r="H1268" s="38">
        <v>36.36</v>
      </c>
    </row>
    <row r="1269" spans="1:8" x14ac:dyDescent="0.35">
      <c r="A1269" s="19"/>
      <c r="B1269" s="19" t="s">
        <v>22</v>
      </c>
      <c r="C1269" s="37">
        <v>45877</v>
      </c>
      <c r="D1269" s="31">
        <v>36250</v>
      </c>
      <c r="E1269" s="31" t="s">
        <v>171</v>
      </c>
      <c r="F1269" s="31" t="s">
        <v>160</v>
      </c>
      <c r="H1269" s="38">
        <v>11139.99</v>
      </c>
    </row>
    <row r="1270" spans="1:8" x14ac:dyDescent="0.35">
      <c r="A1270" s="19"/>
      <c r="B1270" s="19" t="s">
        <v>22</v>
      </c>
      <c r="C1270" s="37">
        <v>45877</v>
      </c>
      <c r="D1270" s="31" t="s">
        <v>172</v>
      </c>
      <c r="E1270" s="31" t="s">
        <v>134</v>
      </c>
      <c r="F1270" s="31" t="s">
        <v>160</v>
      </c>
      <c r="H1270" s="38">
        <v>0</v>
      </c>
    </row>
    <row r="1271" spans="1:8" x14ac:dyDescent="0.35">
      <c r="A1271" s="19"/>
      <c r="B1271" s="19" t="s">
        <v>22</v>
      </c>
      <c r="C1271" s="37">
        <v>45877</v>
      </c>
      <c r="D1271" s="31">
        <v>38292</v>
      </c>
      <c r="E1271" s="31" t="s">
        <v>173</v>
      </c>
      <c r="F1271" s="31" t="s">
        <v>160</v>
      </c>
      <c r="H1271" s="38">
        <v>11678.810000000001</v>
      </c>
    </row>
    <row r="1272" spans="1:8" x14ac:dyDescent="0.35">
      <c r="A1272" s="19"/>
      <c r="B1272" s="19" t="s">
        <v>22</v>
      </c>
      <c r="C1272" s="37">
        <v>45877</v>
      </c>
      <c r="D1272" s="31" t="s">
        <v>174</v>
      </c>
      <c r="E1272" s="31" t="s">
        <v>173</v>
      </c>
      <c r="F1272" s="31" t="s">
        <v>160</v>
      </c>
      <c r="H1272" s="38">
        <v>13696.2</v>
      </c>
    </row>
    <row r="1273" spans="1:8" x14ac:dyDescent="0.35">
      <c r="A1273" s="19"/>
      <c r="B1273" s="19" t="s">
        <v>22</v>
      </c>
      <c r="C1273" s="37">
        <v>45880</v>
      </c>
      <c r="D1273" s="31" t="s">
        <v>175</v>
      </c>
      <c r="E1273" s="31" t="s">
        <v>176</v>
      </c>
      <c r="F1273" s="31" t="s">
        <v>160</v>
      </c>
      <c r="H1273" s="38">
        <v>338.1</v>
      </c>
    </row>
    <row r="1274" spans="1:8" x14ac:dyDescent="0.35">
      <c r="A1274" s="19"/>
      <c r="B1274" s="19" t="s">
        <v>22</v>
      </c>
      <c r="C1274" s="37">
        <v>45880</v>
      </c>
      <c r="D1274" s="31">
        <v>38259</v>
      </c>
      <c r="E1274" s="31" t="s">
        <v>177</v>
      </c>
      <c r="F1274" s="31" t="s">
        <v>160</v>
      </c>
      <c r="H1274" s="38">
        <v>326.43</v>
      </c>
    </row>
    <row r="1275" spans="1:8" x14ac:dyDescent="0.35">
      <c r="A1275" s="19"/>
      <c r="B1275" s="19" t="s">
        <v>22</v>
      </c>
      <c r="C1275" s="37">
        <v>45880</v>
      </c>
      <c r="D1275" s="31">
        <v>38260</v>
      </c>
      <c r="E1275" s="31" t="s">
        <v>177</v>
      </c>
      <c r="F1275" s="31" t="s">
        <v>160</v>
      </c>
      <c r="H1275" s="38">
        <v>5925.3899999999994</v>
      </c>
    </row>
    <row r="1276" spans="1:8" x14ac:dyDescent="0.35">
      <c r="A1276" s="19"/>
      <c r="B1276" s="19" t="s">
        <v>22</v>
      </c>
      <c r="C1276" s="37">
        <v>45880</v>
      </c>
      <c r="D1276" s="31">
        <v>38579</v>
      </c>
      <c r="E1276" s="31" t="s">
        <v>178</v>
      </c>
      <c r="F1276" s="31" t="s">
        <v>160</v>
      </c>
      <c r="H1276" s="38">
        <v>1350</v>
      </c>
    </row>
    <row r="1277" spans="1:8" x14ac:dyDescent="0.35">
      <c r="A1277" s="19"/>
      <c r="B1277" s="19" t="s">
        <v>22</v>
      </c>
      <c r="C1277" s="37">
        <v>45881</v>
      </c>
      <c r="D1277" s="31" t="s">
        <v>179</v>
      </c>
      <c r="E1277" s="31" t="s">
        <v>176</v>
      </c>
      <c r="F1277" s="31" t="s">
        <v>160</v>
      </c>
      <c r="H1277" s="38">
        <v>0</v>
      </c>
    </row>
    <row r="1278" spans="1:8" x14ac:dyDescent="0.35">
      <c r="A1278" s="19"/>
      <c r="B1278" s="19" t="s">
        <v>22</v>
      </c>
      <c r="C1278" s="37">
        <v>45881</v>
      </c>
      <c r="D1278" s="31" t="s">
        <v>180</v>
      </c>
      <c r="E1278" s="31" t="s">
        <v>176</v>
      </c>
      <c r="F1278" s="31" t="s">
        <v>160</v>
      </c>
      <c r="H1278" s="38">
        <v>0</v>
      </c>
    </row>
    <row r="1279" spans="1:8" x14ac:dyDescent="0.35">
      <c r="A1279" s="19"/>
      <c r="B1279" s="19" t="s">
        <v>22</v>
      </c>
      <c r="C1279" s="37">
        <v>45881</v>
      </c>
      <c r="D1279" s="31" t="s">
        <v>181</v>
      </c>
      <c r="E1279" s="31" t="s">
        <v>82</v>
      </c>
      <c r="F1279" s="31" t="s">
        <v>160</v>
      </c>
      <c r="H1279" s="38">
        <v>0</v>
      </c>
    </row>
    <row r="1280" spans="1:8" x14ac:dyDescent="0.35">
      <c r="A1280" s="19"/>
      <c r="B1280" s="19" t="s">
        <v>22</v>
      </c>
      <c r="C1280" s="37">
        <v>45881</v>
      </c>
      <c r="D1280" s="31" t="s">
        <v>182</v>
      </c>
      <c r="E1280" s="31" t="s">
        <v>82</v>
      </c>
      <c r="F1280" s="31" t="s">
        <v>160</v>
      </c>
      <c r="H1280" s="38">
        <v>6344.1100000000006</v>
      </c>
    </row>
    <row r="1281" spans="1:8" x14ac:dyDescent="0.35">
      <c r="A1281" s="19"/>
      <c r="B1281" s="19" t="s">
        <v>22</v>
      </c>
      <c r="C1281" s="37">
        <v>45881</v>
      </c>
      <c r="D1281" s="31" t="s">
        <v>183</v>
      </c>
      <c r="E1281" s="31" t="s">
        <v>82</v>
      </c>
      <c r="F1281" s="31" t="s">
        <v>160</v>
      </c>
      <c r="H1281" s="38">
        <v>0</v>
      </c>
    </row>
    <row r="1282" spans="1:8" x14ac:dyDescent="0.35">
      <c r="A1282" s="19"/>
      <c r="B1282" s="19" t="s">
        <v>22</v>
      </c>
      <c r="C1282" s="37">
        <v>45881</v>
      </c>
      <c r="D1282" s="31" t="s">
        <v>184</v>
      </c>
      <c r="E1282" s="31" t="s">
        <v>75</v>
      </c>
      <c r="F1282" s="31" t="s">
        <v>160</v>
      </c>
      <c r="H1282" s="38">
        <v>33360</v>
      </c>
    </row>
    <row r="1283" spans="1:8" x14ac:dyDescent="0.35">
      <c r="A1283" s="19"/>
      <c r="B1283" s="19" t="s">
        <v>22</v>
      </c>
      <c r="C1283" s="37">
        <v>45881</v>
      </c>
      <c r="D1283" s="31" t="s">
        <v>185</v>
      </c>
      <c r="E1283" s="31" t="s">
        <v>75</v>
      </c>
      <c r="F1283" s="31" t="s">
        <v>160</v>
      </c>
      <c r="H1283" s="38">
        <v>29600.639999999999</v>
      </c>
    </row>
    <row r="1284" spans="1:8" x14ac:dyDescent="0.35">
      <c r="A1284" s="19"/>
      <c r="B1284" s="19" t="s">
        <v>22</v>
      </c>
      <c r="C1284" s="37">
        <v>45881</v>
      </c>
      <c r="D1284" s="31" t="s">
        <v>186</v>
      </c>
      <c r="E1284" s="31" t="s">
        <v>75</v>
      </c>
      <c r="F1284" s="31" t="s">
        <v>160</v>
      </c>
      <c r="H1284" s="38">
        <v>1026</v>
      </c>
    </row>
    <row r="1285" spans="1:8" x14ac:dyDescent="0.35">
      <c r="A1285" s="19"/>
      <c r="B1285" s="19" t="s">
        <v>22</v>
      </c>
      <c r="C1285" s="37">
        <v>45881</v>
      </c>
      <c r="D1285" s="31" t="s">
        <v>187</v>
      </c>
      <c r="E1285" s="31" t="s">
        <v>75</v>
      </c>
      <c r="F1285" s="31" t="s">
        <v>160</v>
      </c>
      <c r="H1285" s="38">
        <v>50080.54</v>
      </c>
    </row>
    <row r="1286" spans="1:8" x14ac:dyDescent="0.35">
      <c r="A1286" s="19"/>
      <c r="B1286" s="19" t="s">
        <v>22</v>
      </c>
      <c r="C1286" s="37">
        <v>45881</v>
      </c>
      <c r="D1286" s="31" t="s">
        <v>188</v>
      </c>
      <c r="E1286" s="31" t="s">
        <v>75</v>
      </c>
      <c r="F1286" s="31" t="s">
        <v>160</v>
      </c>
      <c r="H1286" s="38">
        <v>50056.76</v>
      </c>
    </row>
    <row r="1287" spans="1:8" x14ac:dyDescent="0.35">
      <c r="A1287" s="19"/>
      <c r="B1287" s="19" t="s">
        <v>22</v>
      </c>
      <c r="C1287" s="37">
        <v>45881</v>
      </c>
      <c r="D1287" s="31" t="s">
        <v>189</v>
      </c>
      <c r="E1287" s="31" t="s">
        <v>75</v>
      </c>
      <c r="F1287" s="31" t="s">
        <v>160</v>
      </c>
      <c r="H1287" s="38">
        <v>0</v>
      </c>
    </row>
    <row r="1288" spans="1:8" x14ac:dyDescent="0.35">
      <c r="A1288" s="19"/>
      <c r="B1288" s="19" t="s">
        <v>22</v>
      </c>
      <c r="C1288" s="37">
        <v>45881</v>
      </c>
      <c r="D1288" s="31" t="s">
        <v>190</v>
      </c>
      <c r="E1288" s="31" t="s">
        <v>75</v>
      </c>
      <c r="F1288" s="31" t="s">
        <v>160</v>
      </c>
      <c r="H1288" s="38">
        <v>11383.099999999999</v>
      </c>
    </row>
    <row r="1289" spans="1:8" x14ac:dyDescent="0.35">
      <c r="A1289" s="19"/>
      <c r="B1289" s="19" t="s">
        <v>22</v>
      </c>
      <c r="C1289" s="37">
        <v>45881</v>
      </c>
      <c r="D1289" s="31" t="s">
        <v>191</v>
      </c>
      <c r="E1289" s="31" t="s">
        <v>75</v>
      </c>
      <c r="F1289" s="31" t="s">
        <v>160</v>
      </c>
      <c r="H1289" s="38">
        <v>35342.19</v>
      </c>
    </row>
    <row r="1290" spans="1:8" x14ac:dyDescent="0.35">
      <c r="A1290" s="19"/>
      <c r="B1290" s="19" t="s">
        <v>22</v>
      </c>
      <c r="C1290" s="37">
        <v>45881</v>
      </c>
      <c r="D1290" s="31" t="s">
        <v>192</v>
      </c>
      <c r="E1290" s="31" t="s">
        <v>75</v>
      </c>
      <c r="F1290" s="31" t="s">
        <v>160</v>
      </c>
      <c r="H1290" s="38">
        <v>0</v>
      </c>
    </row>
    <row r="1291" spans="1:8" x14ac:dyDescent="0.35">
      <c r="A1291" s="19"/>
      <c r="B1291" s="19" t="s">
        <v>22</v>
      </c>
      <c r="C1291" s="37">
        <v>45881</v>
      </c>
      <c r="D1291" s="31" t="s">
        <v>193</v>
      </c>
      <c r="E1291" s="31" t="s">
        <v>75</v>
      </c>
      <c r="F1291" s="31" t="s">
        <v>160</v>
      </c>
      <c r="H1291" s="38">
        <v>2872</v>
      </c>
    </row>
    <row r="1292" spans="1:8" x14ac:dyDescent="0.35">
      <c r="A1292" s="19"/>
      <c r="B1292" s="19" t="s">
        <v>22</v>
      </c>
      <c r="C1292" s="37">
        <v>45881</v>
      </c>
      <c r="D1292" s="31" t="s">
        <v>194</v>
      </c>
      <c r="E1292" s="31" t="s">
        <v>177</v>
      </c>
      <c r="F1292" s="31" t="s">
        <v>160</v>
      </c>
      <c r="H1292" s="38">
        <v>8905.2200000000012</v>
      </c>
    </row>
    <row r="1293" spans="1:8" x14ac:dyDescent="0.35">
      <c r="A1293" s="19"/>
      <c r="B1293" s="19" t="s">
        <v>22</v>
      </c>
      <c r="C1293" s="37">
        <v>45881</v>
      </c>
      <c r="D1293" s="31" t="s">
        <v>195</v>
      </c>
      <c r="E1293" s="31" t="s">
        <v>177</v>
      </c>
      <c r="F1293" s="31" t="s">
        <v>160</v>
      </c>
      <c r="H1293" s="38">
        <v>177.14</v>
      </c>
    </row>
    <row r="1294" spans="1:8" x14ac:dyDescent="0.35">
      <c r="A1294" s="19"/>
      <c r="B1294" s="19" t="s">
        <v>22</v>
      </c>
      <c r="C1294" s="37">
        <v>45881</v>
      </c>
      <c r="D1294" s="31" t="s">
        <v>196</v>
      </c>
      <c r="E1294" s="31" t="s">
        <v>177</v>
      </c>
      <c r="F1294" s="31" t="s">
        <v>160</v>
      </c>
      <c r="H1294" s="38">
        <v>5561.55</v>
      </c>
    </row>
    <row r="1295" spans="1:8" x14ac:dyDescent="0.35">
      <c r="A1295" s="19"/>
      <c r="B1295" s="19" t="s">
        <v>22</v>
      </c>
      <c r="C1295" s="37">
        <v>45881</v>
      </c>
      <c r="D1295" s="31" t="s">
        <v>197</v>
      </c>
      <c r="E1295" s="31" t="s">
        <v>177</v>
      </c>
      <c r="F1295" s="31" t="s">
        <v>160</v>
      </c>
      <c r="H1295" s="38">
        <v>22730</v>
      </c>
    </row>
    <row r="1296" spans="1:8" x14ac:dyDescent="0.35">
      <c r="A1296" s="19"/>
      <c r="B1296" s="19" t="s">
        <v>22</v>
      </c>
      <c r="C1296" s="37">
        <v>45881</v>
      </c>
      <c r="D1296" s="31">
        <v>38256</v>
      </c>
      <c r="E1296" s="31" t="s">
        <v>177</v>
      </c>
      <c r="F1296" s="31" t="s">
        <v>160</v>
      </c>
      <c r="H1296" s="38">
        <v>8134</v>
      </c>
    </row>
    <row r="1297" spans="1:8" x14ac:dyDescent="0.35">
      <c r="A1297" s="19"/>
      <c r="B1297" s="19" t="s">
        <v>22</v>
      </c>
      <c r="C1297" s="37">
        <v>45881</v>
      </c>
      <c r="D1297" s="31">
        <v>38257</v>
      </c>
      <c r="E1297" s="31" t="s">
        <v>177</v>
      </c>
      <c r="F1297" s="31" t="s">
        <v>160</v>
      </c>
      <c r="H1297" s="38">
        <v>4373.4799999999996</v>
      </c>
    </row>
    <row r="1298" spans="1:8" x14ac:dyDescent="0.35">
      <c r="A1298" s="19"/>
      <c r="B1298" s="19" t="s">
        <v>22</v>
      </c>
      <c r="C1298" s="37">
        <v>45881</v>
      </c>
      <c r="D1298" s="31">
        <v>38268</v>
      </c>
      <c r="E1298" s="31" t="s">
        <v>177</v>
      </c>
      <c r="F1298" s="31" t="s">
        <v>160</v>
      </c>
      <c r="H1298" s="38">
        <v>460.68</v>
      </c>
    </row>
    <row r="1299" spans="1:8" x14ac:dyDescent="0.35">
      <c r="A1299" s="19"/>
      <c r="B1299" s="19" t="s">
        <v>22</v>
      </c>
      <c r="C1299" s="37">
        <v>45881</v>
      </c>
      <c r="D1299" s="31">
        <v>38331</v>
      </c>
      <c r="E1299" s="31" t="s">
        <v>107</v>
      </c>
      <c r="F1299" s="31" t="s">
        <v>160</v>
      </c>
      <c r="H1299" s="38">
        <v>7573.34</v>
      </c>
    </row>
    <row r="1300" spans="1:8" x14ac:dyDescent="0.35">
      <c r="A1300" s="19"/>
      <c r="B1300" s="19" t="s">
        <v>22</v>
      </c>
      <c r="C1300" s="37">
        <v>45881</v>
      </c>
      <c r="D1300" s="31">
        <v>38375</v>
      </c>
      <c r="E1300" s="31" t="s">
        <v>177</v>
      </c>
      <c r="F1300" s="31" t="s">
        <v>160</v>
      </c>
      <c r="H1300" s="38">
        <v>1185.5999999999999</v>
      </c>
    </row>
    <row r="1301" spans="1:8" x14ac:dyDescent="0.35">
      <c r="A1301" s="19"/>
      <c r="B1301" s="19" t="s">
        <v>22</v>
      </c>
      <c r="C1301" s="37">
        <v>45882</v>
      </c>
      <c r="D1301" s="31" t="s">
        <v>198</v>
      </c>
      <c r="E1301" s="31" t="s">
        <v>33</v>
      </c>
      <c r="F1301" s="31" t="s">
        <v>160</v>
      </c>
      <c r="H1301" s="38">
        <v>966.86</v>
      </c>
    </row>
    <row r="1302" spans="1:8" x14ac:dyDescent="0.35">
      <c r="A1302" s="19"/>
      <c r="B1302" s="19" t="s">
        <v>22</v>
      </c>
      <c r="C1302" s="37">
        <v>45882</v>
      </c>
      <c r="D1302" s="31" t="s">
        <v>199</v>
      </c>
      <c r="E1302" s="31" t="s">
        <v>33</v>
      </c>
      <c r="F1302" s="31" t="s">
        <v>160</v>
      </c>
      <c r="H1302" s="38">
        <v>0</v>
      </c>
    </row>
    <row r="1303" spans="1:8" x14ac:dyDescent="0.35">
      <c r="A1303" s="19"/>
      <c r="B1303" s="19" t="s">
        <v>22</v>
      </c>
      <c r="C1303" s="37">
        <v>45882</v>
      </c>
      <c r="D1303" s="31" t="s">
        <v>200</v>
      </c>
      <c r="E1303" s="31" t="s">
        <v>75</v>
      </c>
      <c r="F1303" s="31" t="s">
        <v>160</v>
      </c>
      <c r="H1303" s="38">
        <v>7652.82</v>
      </c>
    </row>
    <row r="1304" spans="1:8" x14ac:dyDescent="0.35">
      <c r="A1304" s="19"/>
      <c r="B1304" s="19" t="s">
        <v>22</v>
      </c>
      <c r="C1304" s="37">
        <v>45882</v>
      </c>
      <c r="D1304" s="31" t="s">
        <v>201</v>
      </c>
      <c r="E1304" s="31" t="s">
        <v>70</v>
      </c>
      <c r="F1304" s="31" t="s">
        <v>160</v>
      </c>
      <c r="H1304" s="38">
        <v>5142.8599999999997</v>
      </c>
    </row>
    <row r="1305" spans="1:8" x14ac:dyDescent="0.35">
      <c r="A1305" s="19"/>
      <c r="B1305" s="19" t="s">
        <v>22</v>
      </c>
      <c r="C1305" s="37">
        <v>45887</v>
      </c>
      <c r="D1305" s="31">
        <v>38857</v>
      </c>
      <c r="E1305" s="31" t="s">
        <v>202</v>
      </c>
      <c r="F1305" s="31" t="s">
        <v>160</v>
      </c>
      <c r="H1305" s="38">
        <v>12815.6</v>
      </c>
    </row>
    <row r="1306" spans="1:8" x14ac:dyDescent="0.35">
      <c r="A1306" s="19"/>
      <c r="B1306" s="19" t="s">
        <v>22</v>
      </c>
      <c r="C1306" s="37">
        <v>45890</v>
      </c>
      <c r="D1306" s="31" t="s">
        <v>203</v>
      </c>
      <c r="E1306" s="31" t="s">
        <v>55</v>
      </c>
      <c r="F1306" s="31" t="s">
        <v>160</v>
      </c>
      <c r="H1306" s="38">
        <v>47953.5</v>
      </c>
    </row>
    <row r="1307" spans="1:8" x14ac:dyDescent="0.35">
      <c r="A1307" s="19"/>
      <c r="B1307" s="19" t="s">
        <v>22</v>
      </c>
      <c r="C1307" s="37">
        <v>45892</v>
      </c>
      <c r="D1307" s="31" t="s">
        <v>204</v>
      </c>
      <c r="E1307" s="31" t="s">
        <v>66</v>
      </c>
      <c r="F1307" s="31" t="s">
        <v>160</v>
      </c>
      <c r="H1307" s="38">
        <v>40481.729999999996</v>
      </c>
    </row>
    <row r="1308" spans="1:8" x14ac:dyDescent="0.35">
      <c r="A1308" s="19"/>
      <c r="B1308" s="19" t="s">
        <v>22</v>
      </c>
      <c r="C1308" s="37">
        <v>45894</v>
      </c>
      <c r="D1308" s="31" t="s">
        <v>205</v>
      </c>
      <c r="E1308" s="31" t="s">
        <v>33</v>
      </c>
      <c r="F1308" s="31" t="s">
        <v>160</v>
      </c>
      <c r="H1308" s="38">
        <v>7558.58</v>
      </c>
    </row>
    <row r="1309" spans="1:8" x14ac:dyDescent="0.35">
      <c r="A1309" s="19"/>
      <c r="B1309" s="19" t="s">
        <v>22</v>
      </c>
      <c r="C1309" s="37">
        <v>45894</v>
      </c>
      <c r="D1309" s="31" t="s">
        <v>206</v>
      </c>
      <c r="E1309" s="31" t="s">
        <v>33</v>
      </c>
      <c r="F1309" s="31" t="s">
        <v>160</v>
      </c>
      <c r="H1309" s="38">
        <v>4209.92</v>
      </c>
    </row>
    <row r="1310" spans="1:8" x14ac:dyDescent="0.35">
      <c r="A1310" s="19"/>
      <c r="B1310" s="19" t="s">
        <v>22</v>
      </c>
      <c r="C1310" s="37">
        <v>45894</v>
      </c>
      <c r="D1310" s="31" t="s">
        <v>207</v>
      </c>
      <c r="E1310" s="31" t="s">
        <v>33</v>
      </c>
      <c r="F1310" s="31" t="s">
        <v>160</v>
      </c>
      <c r="H1310" s="38">
        <v>123.63</v>
      </c>
    </row>
    <row r="1311" spans="1:8" x14ac:dyDescent="0.35">
      <c r="A1311" s="19"/>
      <c r="B1311" s="19" t="s">
        <v>22</v>
      </c>
      <c r="C1311" s="37">
        <v>45894</v>
      </c>
      <c r="D1311" s="31" t="s">
        <v>208</v>
      </c>
      <c r="E1311" s="31" t="s">
        <v>33</v>
      </c>
      <c r="F1311" s="31" t="s">
        <v>160</v>
      </c>
      <c r="H1311" s="38">
        <v>1762.5</v>
      </c>
    </row>
    <row r="1312" spans="1:8" x14ac:dyDescent="0.35">
      <c r="A1312" s="19"/>
      <c r="B1312" s="19" t="s">
        <v>22</v>
      </c>
      <c r="C1312" s="37">
        <v>45894</v>
      </c>
      <c r="D1312" s="31" t="s">
        <v>209</v>
      </c>
      <c r="E1312" s="31" t="s">
        <v>33</v>
      </c>
      <c r="F1312" s="31" t="s">
        <v>160</v>
      </c>
      <c r="H1312" s="38">
        <v>54337.630000000005</v>
      </c>
    </row>
    <row r="1313" spans="1:8" x14ac:dyDescent="0.35">
      <c r="A1313" s="19"/>
      <c r="B1313" s="19" t="s">
        <v>22</v>
      </c>
      <c r="C1313" s="37">
        <v>45894</v>
      </c>
      <c r="D1313" s="31" t="s">
        <v>210</v>
      </c>
      <c r="E1313" s="31" t="s">
        <v>33</v>
      </c>
      <c r="F1313" s="31" t="s">
        <v>160</v>
      </c>
      <c r="H1313" s="38">
        <v>996.66000000000008</v>
      </c>
    </row>
    <row r="1314" spans="1:8" x14ac:dyDescent="0.35">
      <c r="A1314" s="19"/>
      <c r="B1314" s="19" t="s">
        <v>22</v>
      </c>
      <c r="C1314" s="37">
        <v>45894</v>
      </c>
      <c r="D1314" s="31">
        <v>33571</v>
      </c>
      <c r="E1314" s="31" t="s">
        <v>33</v>
      </c>
      <c r="F1314" s="31" t="s">
        <v>160</v>
      </c>
      <c r="H1314" s="38">
        <v>1602.25</v>
      </c>
    </row>
    <row r="1315" spans="1:8" x14ac:dyDescent="0.35">
      <c r="A1315" s="19"/>
      <c r="B1315" s="19" t="s">
        <v>22</v>
      </c>
      <c r="C1315" s="37">
        <v>45894</v>
      </c>
      <c r="D1315" s="31" t="s">
        <v>211</v>
      </c>
      <c r="E1315" s="31" t="s">
        <v>33</v>
      </c>
      <c r="F1315" s="31" t="s">
        <v>160</v>
      </c>
      <c r="H1315" s="38">
        <v>38322.51</v>
      </c>
    </row>
    <row r="1316" spans="1:8" x14ac:dyDescent="0.35">
      <c r="A1316" s="19"/>
      <c r="B1316" s="19" t="s">
        <v>22</v>
      </c>
      <c r="C1316" s="37">
        <v>45894</v>
      </c>
      <c r="D1316" s="31" t="s">
        <v>212</v>
      </c>
      <c r="E1316" s="31" t="s">
        <v>33</v>
      </c>
      <c r="F1316" s="31" t="s">
        <v>160</v>
      </c>
      <c r="H1316" s="38">
        <v>661.82</v>
      </c>
    </row>
    <row r="1317" spans="1:8" x14ac:dyDescent="0.35">
      <c r="A1317" s="19"/>
      <c r="B1317" s="19" t="s">
        <v>22</v>
      </c>
      <c r="C1317" s="37">
        <v>45894</v>
      </c>
      <c r="D1317" s="31" t="s">
        <v>213</v>
      </c>
      <c r="E1317" s="31" t="s">
        <v>33</v>
      </c>
      <c r="F1317" s="31" t="s">
        <v>160</v>
      </c>
      <c r="H1317" s="38">
        <v>19066.870000000003</v>
      </c>
    </row>
    <row r="1318" spans="1:8" x14ac:dyDescent="0.35">
      <c r="A1318" s="19"/>
      <c r="B1318" s="19" t="s">
        <v>22</v>
      </c>
      <c r="C1318" s="37">
        <v>45894</v>
      </c>
      <c r="D1318" s="31" t="s">
        <v>214</v>
      </c>
      <c r="E1318" s="31" t="s">
        <v>33</v>
      </c>
      <c r="F1318" s="31" t="s">
        <v>160</v>
      </c>
      <c r="H1318" s="38">
        <v>5030.2</v>
      </c>
    </row>
    <row r="1319" spans="1:8" x14ac:dyDescent="0.35">
      <c r="A1319" s="19"/>
      <c r="B1319" s="19" t="s">
        <v>22</v>
      </c>
      <c r="C1319" s="37">
        <v>45894</v>
      </c>
      <c r="D1319" s="31">
        <v>33950</v>
      </c>
      <c r="E1319" s="31" t="s">
        <v>33</v>
      </c>
      <c r="F1319" s="31" t="s">
        <v>160</v>
      </c>
      <c r="H1319" s="38">
        <v>0</v>
      </c>
    </row>
    <row r="1320" spans="1:8" x14ac:dyDescent="0.35">
      <c r="A1320" s="19"/>
      <c r="B1320" s="19" t="s">
        <v>22</v>
      </c>
      <c r="C1320" s="37">
        <v>45894</v>
      </c>
      <c r="D1320" s="31" t="s">
        <v>215</v>
      </c>
      <c r="E1320" s="31" t="s">
        <v>33</v>
      </c>
      <c r="F1320" s="31" t="s">
        <v>160</v>
      </c>
      <c r="H1320" s="38">
        <v>145.35</v>
      </c>
    </row>
    <row r="1321" spans="1:8" x14ac:dyDescent="0.35">
      <c r="A1321" s="19"/>
      <c r="B1321" s="19" t="s">
        <v>22</v>
      </c>
      <c r="C1321" s="37">
        <v>45894</v>
      </c>
      <c r="D1321" s="31" t="s">
        <v>216</v>
      </c>
      <c r="E1321" s="31" t="s">
        <v>33</v>
      </c>
      <c r="F1321" s="31" t="s">
        <v>160</v>
      </c>
      <c r="H1321" s="38">
        <v>560</v>
      </c>
    </row>
    <row r="1322" spans="1:8" x14ac:dyDescent="0.35">
      <c r="A1322" s="19"/>
      <c r="B1322" s="19" t="s">
        <v>22</v>
      </c>
      <c r="C1322" s="37">
        <v>45894</v>
      </c>
      <c r="D1322" s="31" t="s">
        <v>217</v>
      </c>
      <c r="E1322" s="31" t="s">
        <v>33</v>
      </c>
      <c r="F1322" s="31" t="s">
        <v>160</v>
      </c>
      <c r="H1322" s="38">
        <v>1125</v>
      </c>
    </row>
    <row r="1323" spans="1:8" x14ac:dyDescent="0.35">
      <c r="A1323" s="19"/>
      <c r="B1323" s="19" t="s">
        <v>22</v>
      </c>
      <c r="C1323" s="37">
        <v>45894</v>
      </c>
      <c r="D1323" s="31" t="s">
        <v>218</v>
      </c>
      <c r="E1323" s="31" t="s">
        <v>33</v>
      </c>
      <c r="F1323" s="31" t="s">
        <v>160</v>
      </c>
      <c r="H1323" s="38">
        <v>9155.869999999999</v>
      </c>
    </row>
    <row r="1324" spans="1:8" x14ac:dyDescent="0.35">
      <c r="A1324" s="19"/>
      <c r="B1324" s="19" t="s">
        <v>22</v>
      </c>
      <c r="C1324" s="37">
        <v>45894</v>
      </c>
      <c r="D1324" s="31" t="s">
        <v>219</v>
      </c>
      <c r="E1324" s="31" t="s">
        <v>33</v>
      </c>
      <c r="F1324" s="31" t="s">
        <v>160</v>
      </c>
      <c r="H1324" s="38">
        <v>27246.81</v>
      </c>
    </row>
    <row r="1325" spans="1:8" x14ac:dyDescent="0.35">
      <c r="A1325" s="19"/>
      <c r="B1325" s="19" t="s">
        <v>22</v>
      </c>
      <c r="C1325" s="37">
        <v>45894</v>
      </c>
      <c r="D1325" s="31" t="s">
        <v>220</v>
      </c>
      <c r="E1325" s="31" t="s">
        <v>221</v>
      </c>
      <c r="F1325" s="31" t="s">
        <v>160</v>
      </c>
      <c r="H1325" s="38">
        <v>0</v>
      </c>
    </row>
    <row r="1326" spans="1:8" x14ac:dyDescent="0.35">
      <c r="A1326" s="19"/>
      <c r="B1326" s="19" t="s">
        <v>22</v>
      </c>
      <c r="C1326" s="37">
        <v>45894</v>
      </c>
      <c r="D1326" s="31">
        <v>36943</v>
      </c>
      <c r="E1326" s="31" t="s">
        <v>131</v>
      </c>
      <c r="F1326" s="31" t="s">
        <v>160</v>
      </c>
      <c r="H1326" s="38">
        <v>20870.080000000002</v>
      </c>
    </row>
    <row r="1327" spans="1:8" x14ac:dyDescent="0.35">
      <c r="A1327" s="19"/>
      <c r="B1327" s="19" t="s">
        <v>22</v>
      </c>
      <c r="C1327" s="37">
        <v>45894</v>
      </c>
      <c r="D1327" s="31" t="s">
        <v>222</v>
      </c>
      <c r="E1327" s="31" t="s">
        <v>66</v>
      </c>
      <c r="F1327" s="31" t="s">
        <v>160</v>
      </c>
      <c r="H1327" s="38">
        <v>10721.09</v>
      </c>
    </row>
    <row r="1328" spans="1:8" x14ac:dyDescent="0.35">
      <c r="A1328" s="19"/>
      <c r="B1328" s="19" t="s">
        <v>22</v>
      </c>
      <c r="C1328" s="37">
        <v>45895</v>
      </c>
      <c r="D1328" s="31" t="s">
        <v>223</v>
      </c>
      <c r="E1328" s="31" t="s">
        <v>33</v>
      </c>
      <c r="F1328" s="31" t="s">
        <v>160</v>
      </c>
      <c r="H1328" s="38">
        <v>-2567.91</v>
      </c>
    </row>
    <row r="1329" spans="1:8" x14ac:dyDescent="0.35">
      <c r="A1329" s="19"/>
      <c r="B1329" s="19" t="s">
        <v>22</v>
      </c>
      <c r="C1329" s="37">
        <v>45895</v>
      </c>
      <c r="D1329" s="31" t="s">
        <v>224</v>
      </c>
      <c r="E1329" s="31" t="s">
        <v>225</v>
      </c>
      <c r="F1329" s="31" t="s">
        <v>160</v>
      </c>
      <c r="H1329" s="38">
        <v>0</v>
      </c>
    </row>
    <row r="1330" spans="1:8" x14ac:dyDescent="0.35">
      <c r="A1330" s="19"/>
      <c r="B1330" s="19" t="s">
        <v>22</v>
      </c>
      <c r="C1330" s="37">
        <v>45896</v>
      </c>
      <c r="D1330" s="31" t="s">
        <v>226</v>
      </c>
      <c r="E1330" s="31" t="s">
        <v>134</v>
      </c>
      <c r="F1330" s="31" t="s">
        <v>160</v>
      </c>
      <c r="H1330" s="38">
        <v>0</v>
      </c>
    </row>
    <row r="1331" spans="1:8" x14ac:dyDescent="0.35">
      <c r="A1331" s="19"/>
      <c r="B1331" s="19" t="s">
        <v>22</v>
      </c>
      <c r="C1331" s="37">
        <v>45897</v>
      </c>
      <c r="D1331" s="31" t="s">
        <v>227</v>
      </c>
      <c r="E1331" s="31" t="s">
        <v>228</v>
      </c>
      <c r="F1331" s="31" t="s">
        <v>160</v>
      </c>
      <c r="H1331" s="38">
        <v>6300.16</v>
      </c>
    </row>
    <row r="1332" spans="1:8" x14ac:dyDescent="0.35">
      <c r="A1332" s="19"/>
      <c r="B1332" s="19" t="s">
        <v>22</v>
      </c>
      <c r="C1332" s="37">
        <v>45898</v>
      </c>
      <c r="D1332" s="31" t="s">
        <v>229</v>
      </c>
      <c r="E1332" s="31" t="s">
        <v>33</v>
      </c>
      <c r="F1332" s="31" t="s">
        <v>160</v>
      </c>
      <c r="H1332" s="38">
        <v>0</v>
      </c>
    </row>
    <row r="1333" spans="1:8" x14ac:dyDescent="0.35">
      <c r="A1333" s="19"/>
      <c r="B1333" s="19" t="s">
        <v>22</v>
      </c>
      <c r="C1333" s="37">
        <v>45898</v>
      </c>
      <c r="D1333" s="31" t="s">
        <v>230</v>
      </c>
      <c r="E1333" s="31" t="s">
        <v>225</v>
      </c>
      <c r="F1333" s="31" t="s">
        <v>160</v>
      </c>
      <c r="H1333" s="38">
        <v>0</v>
      </c>
    </row>
    <row r="1334" spans="1:8" x14ac:dyDescent="0.35">
      <c r="A1334" s="19"/>
      <c r="B1334" s="19" t="s">
        <v>22</v>
      </c>
      <c r="C1334" s="37">
        <v>45898</v>
      </c>
      <c r="D1334" s="31" t="s">
        <v>231</v>
      </c>
      <c r="E1334" s="31" t="s">
        <v>137</v>
      </c>
      <c r="F1334" s="31" t="s">
        <v>160</v>
      </c>
      <c r="H1334" s="38">
        <v>0</v>
      </c>
    </row>
    <row r="1335" spans="1:8" x14ac:dyDescent="0.35">
      <c r="A1335" s="19"/>
      <c r="B1335" s="19" t="s">
        <v>22</v>
      </c>
      <c r="C1335" s="37">
        <v>45898</v>
      </c>
      <c r="D1335" s="31" t="s">
        <v>232</v>
      </c>
      <c r="E1335" s="31" t="s">
        <v>233</v>
      </c>
      <c r="F1335" s="31" t="s">
        <v>160</v>
      </c>
      <c r="H1335" s="38">
        <v>6292.32</v>
      </c>
    </row>
    <row r="1336" spans="1:8" x14ac:dyDescent="0.35">
      <c r="A1336" s="19"/>
      <c r="B1336" s="19" t="s">
        <v>22</v>
      </c>
      <c r="C1336" s="37">
        <v>45898</v>
      </c>
      <c r="D1336" s="31" t="s">
        <v>234</v>
      </c>
      <c r="E1336" s="31" t="s">
        <v>235</v>
      </c>
      <c r="F1336" s="31" t="s">
        <v>160</v>
      </c>
      <c r="H1336" s="38">
        <v>102.2</v>
      </c>
    </row>
    <row r="1337" spans="1:8" x14ac:dyDescent="0.35">
      <c r="A1337" s="19"/>
      <c r="B1337" s="19" t="s">
        <v>22</v>
      </c>
      <c r="C1337" s="37">
        <v>45898</v>
      </c>
      <c r="D1337" s="31">
        <v>38185</v>
      </c>
      <c r="E1337" s="31" t="s">
        <v>70</v>
      </c>
      <c r="F1337" s="31" t="s">
        <v>160</v>
      </c>
      <c r="H1337" s="38">
        <v>55072.05</v>
      </c>
    </row>
    <row r="1338" spans="1:8" x14ac:dyDescent="0.35">
      <c r="A1338" s="19"/>
      <c r="B1338" s="19" t="s">
        <v>22</v>
      </c>
      <c r="C1338" s="37">
        <v>45898</v>
      </c>
      <c r="D1338" s="31">
        <v>38199</v>
      </c>
      <c r="E1338" s="31" t="s">
        <v>70</v>
      </c>
      <c r="F1338" s="31" t="s">
        <v>160</v>
      </c>
      <c r="H1338" s="38">
        <v>48782.879999999997</v>
      </c>
    </row>
    <row r="1339" spans="1:8" x14ac:dyDescent="0.35">
      <c r="A1339" s="19"/>
      <c r="B1339" s="19" t="s">
        <v>22</v>
      </c>
      <c r="C1339" s="37">
        <v>45898</v>
      </c>
      <c r="D1339" s="31" t="s">
        <v>236</v>
      </c>
      <c r="E1339" s="31" t="s">
        <v>70</v>
      </c>
      <c r="F1339" s="31" t="s">
        <v>160</v>
      </c>
      <c r="H1339" s="38">
        <v>40331.72</v>
      </c>
    </row>
    <row r="1340" spans="1:8" x14ac:dyDescent="0.35">
      <c r="A1340" s="19"/>
      <c r="B1340" s="19" t="s">
        <v>22</v>
      </c>
      <c r="C1340" s="37">
        <v>45898</v>
      </c>
      <c r="D1340" s="31" t="s">
        <v>237</v>
      </c>
      <c r="E1340" s="31" t="s">
        <v>145</v>
      </c>
      <c r="F1340" s="31" t="s">
        <v>160</v>
      </c>
      <c r="H1340" s="38">
        <v>0</v>
      </c>
    </row>
    <row r="1341" spans="1:8" x14ac:dyDescent="0.35">
      <c r="A1341" s="19"/>
      <c r="B1341" s="19" t="s">
        <v>22</v>
      </c>
      <c r="C1341" s="37">
        <v>45898</v>
      </c>
      <c r="D1341" s="31">
        <v>38832</v>
      </c>
      <c r="E1341" s="31" t="s">
        <v>173</v>
      </c>
      <c r="F1341" s="31" t="s">
        <v>160</v>
      </c>
      <c r="H1341" s="38">
        <v>3360.5899999999997</v>
      </c>
    </row>
    <row r="1342" spans="1:8" x14ac:dyDescent="0.35">
      <c r="A1342" s="19"/>
      <c r="B1342" s="19" t="s">
        <v>22</v>
      </c>
      <c r="C1342" s="37">
        <v>45898</v>
      </c>
      <c r="D1342" s="31">
        <v>38851</v>
      </c>
      <c r="E1342" s="31" t="s">
        <v>238</v>
      </c>
      <c r="F1342" s="31" t="s">
        <v>160</v>
      </c>
      <c r="H1342" s="38">
        <v>126720</v>
      </c>
    </row>
    <row r="1343" spans="1:8" x14ac:dyDescent="0.35">
      <c r="A1343" s="19"/>
      <c r="B1343" s="19" t="s">
        <v>22</v>
      </c>
      <c r="C1343" s="37">
        <v>45898</v>
      </c>
      <c r="D1343" s="31">
        <v>38881</v>
      </c>
      <c r="E1343" s="31" t="s">
        <v>239</v>
      </c>
      <c r="F1343" s="31" t="s">
        <v>160</v>
      </c>
      <c r="H1343" s="38">
        <v>340</v>
      </c>
    </row>
    <row r="1344" spans="1:8" x14ac:dyDescent="0.35">
      <c r="A1344" s="19"/>
      <c r="B1344" s="19" t="s">
        <v>22</v>
      </c>
      <c r="C1344" s="37">
        <v>45898</v>
      </c>
      <c r="D1344" s="31">
        <v>38893</v>
      </c>
      <c r="E1344" s="31" t="s">
        <v>239</v>
      </c>
      <c r="F1344" s="31" t="s">
        <v>160</v>
      </c>
      <c r="H1344" s="38">
        <v>674.63999999999987</v>
      </c>
    </row>
    <row r="1345" spans="1:8" x14ac:dyDescent="0.35">
      <c r="A1345" s="19"/>
      <c r="B1345" s="19" t="s">
        <v>22</v>
      </c>
      <c r="C1345" s="37">
        <v>45899</v>
      </c>
      <c r="D1345" s="31" t="s">
        <v>240</v>
      </c>
      <c r="E1345" s="31" t="s">
        <v>47</v>
      </c>
      <c r="F1345" s="31" t="s">
        <v>160</v>
      </c>
      <c r="H1345" s="38">
        <v>0</v>
      </c>
    </row>
    <row r="1346" spans="1:8" x14ac:dyDescent="0.35">
      <c r="A1346" s="19"/>
      <c r="B1346" s="19" t="s">
        <v>22</v>
      </c>
      <c r="C1346" s="37">
        <v>45899</v>
      </c>
      <c r="D1346" s="31" t="s">
        <v>241</v>
      </c>
      <c r="E1346" s="31" t="s">
        <v>242</v>
      </c>
      <c r="F1346" s="31" t="s">
        <v>160</v>
      </c>
      <c r="H1346" s="38">
        <v>0</v>
      </c>
    </row>
    <row r="1347" spans="1:8" x14ac:dyDescent="0.35">
      <c r="A1347" s="19"/>
      <c r="B1347" s="19" t="s">
        <v>22</v>
      </c>
      <c r="C1347" s="37">
        <v>45899</v>
      </c>
      <c r="D1347" s="31" t="s">
        <v>243</v>
      </c>
      <c r="E1347" s="31" t="s">
        <v>242</v>
      </c>
      <c r="F1347" s="31" t="s">
        <v>160</v>
      </c>
      <c r="H1347" s="38">
        <v>0</v>
      </c>
    </row>
    <row r="1348" spans="1:8" x14ac:dyDescent="0.35">
      <c r="A1348" s="19"/>
      <c r="B1348" s="19" t="s">
        <v>22</v>
      </c>
      <c r="C1348" s="37">
        <v>45899</v>
      </c>
      <c r="D1348" s="31" t="s">
        <v>244</v>
      </c>
      <c r="E1348" s="31" t="s">
        <v>18</v>
      </c>
      <c r="F1348" s="31" t="s">
        <v>160</v>
      </c>
      <c r="H1348" s="38">
        <v>0</v>
      </c>
    </row>
    <row r="1349" spans="1:8" x14ac:dyDescent="0.35">
      <c r="A1349" s="19"/>
      <c r="B1349" s="19" t="s">
        <v>22</v>
      </c>
      <c r="C1349" s="37">
        <v>45899</v>
      </c>
      <c r="D1349" s="31" t="s">
        <v>245</v>
      </c>
      <c r="E1349" s="31" t="s">
        <v>246</v>
      </c>
      <c r="F1349" s="31" t="s">
        <v>160</v>
      </c>
      <c r="H1349" s="38">
        <v>0</v>
      </c>
    </row>
    <row r="1350" spans="1:8" x14ac:dyDescent="0.35">
      <c r="A1350" s="19"/>
      <c r="B1350" s="19" t="s">
        <v>22</v>
      </c>
      <c r="C1350" s="37">
        <v>45899</v>
      </c>
      <c r="D1350" s="31" t="s">
        <v>247</v>
      </c>
      <c r="E1350" s="31" t="s">
        <v>248</v>
      </c>
      <c r="F1350" s="31" t="s">
        <v>160</v>
      </c>
      <c r="H1350" s="38">
        <v>0</v>
      </c>
    </row>
    <row r="1351" spans="1:8" x14ac:dyDescent="0.35">
      <c r="A1351" s="19"/>
      <c r="B1351" s="19" t="s">
        <v>22</v>
      </c>
      <c r="C1351" s="37">
        <v>45899</v>
      </c>
      <c r="D1351" s="31" t="s">
        <v>249</v>
      </c>
      <c r="E1351" s="31" t="s">
        <v>50</v>
      </c>
      <c r="F1351" s="31" t="s">
        <v>160</v>
      </c>
      <c r="H1351" s="38">
        <v>0</v>
      </c>
    </row>
    <row r="1352" spans="1:8" x14ac:dyDescent="0.35">
      <c r="A1352" s="19"/>
      <c r="B1352" s="19" t="s">
        <v>22</v>
      </c>
      <c r="C1352" s="37">
        <v>45899</v>
      </c>
      <c r="D1352" s="31" t="s">
        <v>250</v>
      </c>
      <c r="E1352" s="31" t="s">
        <v>50</v>
      </c>
      <c r="F1352" s="31" t="s">
        <v>160</v>
      </c>
      <c r="H1352" s="38">
        <v>0</v>
      </c>
    </row>
    <row r="1353" spans="1:8" x14ac:dyDescent="0.35">
      <c r="A1353" s="19"/>
      <c r="B1353" s="19" t="s">
        <v>22</v>
      </c>
      <c r="C1353" s="37">
        <v>45899</v>
      </c>
      <c r="D1353" s="31" t="s">
        <v>251</v>
      </c>
      <c r="E1353" s="31" t="s">
        <v>50</v>
      </c>
      <c r="F1353" s="31" t="s">
        <v>160</v>
      </c>
      <c r="H1353" s="38">
        <v>0</v>
      </c>
    </row>
    <row r="1354" spans="1:8" x14ac:dyDescent="0.35">
      <c r="A1354" s="19"/>
      <c r="B1354" s="19" t="s">
        <v>22</v>
      </c>
      <c r="C1354" s="37">
        <v>45899</v>
      </c>
      <c r="D1354" s="31" t="s">
        <v>252</v>
      </c>
      <c r="E1354" s="31" t="s">
        <v>253</v>
      </c>
      <c r="F1354" s="31" t="s">
        <v>160</v>
      </c>
      <c r="H1354" s="38">
        <v>3854.9700000000003</v>
      </c>
    </row>
    <row r="1355" spans="1:8" x14ac:dyDescent="0.35">
      <c r="A1355" s="19"/>
      <c r="B1355" s="19" t="s">
        <v>22</v>
      </c>
      <c r="C1355" s="37">
        <v>45899</v>
      </c>
      <c r="D1355" s="31" t="s">
        <v>254</v>
      </c>
      <c r="E1355" s="31" t="s">
        <v>255</v>
      </c>
      <c r="F1355" s="31" t="s">
        <v>160</v>
      </c>
      <c r="H1355" s="38">
        <v>0</v>
      </c>
    </row>
    <row r="1356" spans="1:8" x14ac:dyDescent="0.35">
      <c r="A1356" s="19"/>
      <c r="B1356" s="19" t="s">
        <v>22</v>
      </c>
      <c r="C1356" s="37">
        <v>45899</v>
      </c>
      <c r="D1356" s="31" t="s">
        <v>256</v>
      </c>
      <c r="E1356" s="31" t="s">
        <v>257</v>
      </c>
      <c r="F1356" s="31" t="s">
        <v>160</v>
      </c>
      <c r="H1356" s="38">
        <v>0</v>
      </c>
    </row>
    <row r="1357" spans="1:8" x14ac:dyDescent="0.35">
      <c r="A1357" s="19"/>
      <c r="B1357" s="19" t="s">
        <v>22</v>
      </c>
      <c r="C1357" s="37">
        <v>45899</v>
      </c>
      <c r="D1357" s="31" t="s">
        <v>258</v>
      </c>
      <c r="E1357" s="31" t="s">
        <v>259</v>
      </c>
      <c r="F1357" s="31" t="s">
        <v>160</v>
      </c>
      <c r="H1357" s="38">
        <v>0</v>
      </c>
    </row>
    <row r="1358" spans="1:8" x14ac:dyDescent="0.35">
      <c r="A1358" s="19"/>
      <c r="B1358" s="19" t="s">
        <v>22</v>
      </c>
      <c r="C1358" s="37">
        <v>45899</v>
      </c>
      <c r="D1358" s="31" t="s">
        <v>260</v>
      </c>
      <c r="E1358" s="31" t="s">
        <v>261</v>
      </c>
      <c r="F1358" s="31" t="s">
        <v>160</v>
      </c>
      <c r="H1358" s="38">
        <v>0</v>
      </c>
    </row>
    <row r="1359" spans="1:8" x14ac:dyDescent="0.35">
      <c r="A1359" s="19"/>
      <c r="B1359" s="19" t="s">
        <v>22</v>
      </c>
      <c r="C1359" s="37">
        <v>45899</v>
      </c>
      <c r="D1359" s="31" t="s">
        <v>262</v>
      </c>
      <c r="E1359" s="31" t="s">
        <v>263</v>
      </c>
      <c r="F1359" s="31" t="s">
        <v>160</v>
      </c>
      <c r="H1359" s="38">
        <v>0</v>
      </c>
    </row>
    <row r="1360" spans="1:8" x14ac:dyDescent="0.35">
      <c r="A1360" s="19"/>
      <c r="B1360" s="19" t="s">
        <v>22</v>
      </c>
      <c r="C1360" s="37">
        <v>45899</v>
      </c>
      <c r="D1360" s="31" t="s">
        <v>264</v>
      </c>
      <c r="E1360" s="31" t="s">
        <v>263</v>
      </c>
      <c r="F1360" s="31" t="s">
        <v>160</v>
      </c>
      <c r="H1360" s="38">
        <v>0</v>
      </c>
    </row>
    <row r="1361" spans="1:8" x14ac:dyDescent="0.35">
      <c r="A1361" s="19"/>
      <c r="B1361" s="19" t="s">
        <v>22</v>
      </c>
      <c r="C1361" s="37">
        <v>45899</v>
      </c>
      <c r="D1361" s="31" t="s">
        <v>265</v>
      </c>
      <c r="E1361" s="31" t="s">
        <v>242</v>
      </c>
      <c r="F1361" s="31" t="s">
        <v>160</v>
      </c>
      <c r="H1361" s="38">
        <v>0</v>
      </c>
    </row>
    <row r="1362" spans="1:8" x14ac:dyDescent="0.35">
      <c r="A1362" s="19"/>
      <c r="B1362" s="19" t="s">
        <v>22</v>
      </c>
      <c r="C1362" s="37">
        <v>45899</v>
      </c>
      <c r="D1362" s="31">
        <v>32888</v>
      </c>
      <c r="E1362" s="31" t="s">
        <v>266</v>
      </c>
      <c r="F1362" s="31" t="s">
        <v>160</v>
      </c>
      <c r="H1362" s="38">
        <v>0</v>
      </c>
    </row>
    <row r="1363" spans="1:8" x14ac:dyDescent="0.35">
      <c r="A1363" s="19"/>
      <c r="B1363" s="19" t="s">
        <v>22</v>
      </c>
      <c r="C1363" s="37">
        <v>45899</v>
      </c>
      <c r="D1363" s="31" t="s">
        <v>267</v>
      </c>
      <c r="E1363" s="31" t="s">
        <v>266</v>
      </c>
      <c r="F1363" s="31" t="s">
        <v>160</v>
      </c>
      <c r="H1363" s="38">
        <v>0</v>
      </c>
    </row>
    <row r="1364" spans="1:8" x14ac:dyDescent="0.35">
      <c r="A1364" s="19"/>
      <c r="B1364" s="19" t="s">
        <v>22</v>
      </c>
      <c r="C1364" s="37">
        <v>45899</v>
      </c>
      <c r="D1364" s="31" t="s">
        <v>268</v>
      </c>
      <c r="E1364" s="31" t="s">
        <v>269</v>
      </c>
      <c r="F1364" s="31" t="s">
        <v>160</v>
      </c>
      <c r="H1364" s="38">
        <v>0</v>
      </c>
    </row>
    <row r="1365" spans="1:8" x14ac:dyDescent="0.35">
      <c r="A1365" s="19"/>
      <c r="B1365" s="19" t="s">
        <v>22</v>
      </c>
      <c r="C1365" s="37">
        <v>45899</v>
      </c>
      <c r="D1365" s="31" t="s">
        <v>270</v>
      </c>
      <c r="E1365" s="31" t="s">
        <v>269</v>
      </c>
      <c r="F1365" s="31" t="s">
        <v>160</v>
      </c>
      <c r="H1365" s="38">
        <v>0</v>
      </c>
    </row>
    <row r="1366" spans="1:8" x14ac:dyDescent="0.35">
      <c r="A1366" s="19"/>
      <c r="B1366" s="19" t="s">
        <v>22</v>
      </c>
      <c r="C1366" s="37">
        <v>45899</v>
      </c>
      <c r="D1366" s="31" t="s">
        <v>271</v>
      </c>
      <c r="E1366" s="31" t="s">
        <v>272</v>
      </c>
      <c r="F1366" s="31" t="s">
        <v>160</v>
      </c>
      <c r="H1366" s="38">
        <v>0</v>
      </c>
    </row>
    <row r="1367" spans="1:8" x14ac:dyDescent="0.35">
      <c r="A1367" s="19"/>
      <c r="B1367" s="19" t="s">
        <v>22</v>
      </c>
      <c r="C1367" s="37">
        <v>45899</v>
      </c>
      <c r="D1367" s="31" t="s">
        <v>273</v>
      </c>
      <c r="E1367" s="31" t="s">
        <v>272</v>
      </c>
      <c r="F1367" s="31" t="s">
        <v>160</v>
      </c>
      <c r="H1367" s="38">
        <v>0</v>
      </c>
    </row>
    <row r="1368" spans="1:8" x14ac:dyDescent="0.35">
      <c r="A1368" s="19"/>
      <c r="B1368" s="19" t="s">
        <v>22</v>
      </c>
      <c r="C1368" s="37">
        <v>45899</v>
      </c>
      <c r="D1368" s="31" t="s">
        <v>274</v>
      </c>
      <c r="E1368" s="31" t="s">
        <v>47</v>
      </c>
      <c r="F1368" s="31" t="s">
        <v>160</v>
      </c>
      <c r="H1368" s="38">
        <v>0</v>
      </c>
    </row>
    <row r="1369" spans="1:8" x14ac:dyDescent="0.35">
      <c r="A1369" s="19"/>
      <c r="B1369" s="19" t="s">
        <v>22</v>
      </c>
      <c r="C1369" s="37">
        <v>45899</v>
      </c>
      <c r="D1369" s="31" t="s">
        <v>275</v>
      </c>
      <c r="E1369" s="31" t="s">
        <v>276</v>
      </c>
      <c r="F1369" s="31" t="s">
        <v>160</v>
      </c>
      <c r="H1369" s="38">
        <v>0</v>
      </c>
    </row>
    <row r="1370" spans="1:8" x14ac:dyDescent="0.35">
      <c r="A1370" s="19"/>
      <c r="B1370" s="19" t="s">
        <v>22</v>
      </c>
      <c r="C1370" s="37">
        <v>45899</v>
      </c>
      <c r="D1370" s="31" t="s">
        <v>277</v>
      </c>
      <c r="E1370" s="31" t="s">
        <v>276</v>
      </c>
      <c r="F1370" s="31" t="s">
        <v>160</v>
      </c>
      <c r="H1370" s="38">
        <v>0</v>
      </c>
    </row>
    <row r="1371" spans="1:8" x14ac:dyDescent="0.35">
      <c r="A1371" s="19"/>
      <c r="B1371" s="19" t="s">
        <v>22</v>
      </c>
      <c r="C1371" s="37">
        <v>45899</v>
      </c>
      <c r="D1371" s="31" t="s">
        <v>278</v>
      </c>
      <c r="E1371" s="31" t="s">
        <v>276</v>
      </c>
      <c r="F1371" s="31" t="s">
        <v>160</v>
      </c>
      <c r="H1371" s="38">
        <v>0</v>
      </c>
    </row>
    <row r="1372" spans="1:8" x14ac:dyDescent="0.35">
      <c r="A1372" s="19"/>
      <c r="B1372" s="19" t="s">
        <v>22</v>
      </c>
      <c r="C1372" s="37">
        <v>45899</v>
      </c>
      <c r="D1372" s="31" t="s">
        <v>279</v>
      </c>
      <c r="E1372" s="31" t="s">
        <v>276</v>
      </c>
      <c r="F1372" s="31" t="s">
        <v>160</v>
      </c>
      <c r="H1372" s="38">
        <v>0</v>
      </c>
    </row>
    <row r="1373" spans="1:8" x14ac:dyDescent="0.35">
      <c r="A1373" s="19"/>
      <c r="B1373" s="19" t="s">
        <v>22</v>
      </c>
      <c r="C1373" s="37">
        <v>45899</v>
      </c>
      <c r="D1373" s="31" t="s">
        <v>280</v>
      </c>
      <c r="E1373" s="31" t="s">
        <v>276</v>
      </c>
      <c r="F1373" s="31" t="s">
        <v>160</v>
      </c>
      <c r="H1373" s="38">
        <v>0</v>
      </c>
    </row>
    <row r="1374" spans="1:8" x14ac:dyDescent="0.35">
      <c r="A1374" s="19"/>
      <c r="B1374" s="19" t="s">
        <v>22</v>
      </c>
      <c r="C1374" s="37">
        <v>45899</v>
      </c>
      <c r="D1374" s="31" t="s">
        <v>281</v>
      </c>
      <c r="E1374" s="31" t="s">
        <v>282</v>
      </c>
      <c r="F1374" s="31" t="s">
        <v>160</v>
      </c>
      <c r="H1374" s="38">
        <v>0</v>
      </c>
    </row>
    <row r="1375" spans="1:8" x14ac:dyDescent="0.35">
      <c r="A1375" s="19"/>
      <c r="B1375" s="19" t="s">
        <v>22</v>
      </c>
      <c r="C1375" s="37">
        <v>45899</v>
      </c>
      <c r="D1375" s="31" t="s">
        <v>283</v>
      </c>
      <c r="E1375" s="31" t="s">
        <v>284</v>
      </c>
      <c r="F1375" s="31" t="s">
        <v>160</v>
      </c>
      <c r="H1375" s="38">
        <v>0</v>
      </c>
    </row>
    <row r="1376" spans="1:8" x14ac:dyDescent="0.35">
      <c r="A1376" s="19"/>
      <c r="B1376" s="19" t="s">
        <v>22</v>
      </c>
      <c r="C1376" s="37">
        <v>45899</v>
      </c>
      <c r="D1376" s="31" t="s">
        <v>285</v>
      </c>
      <c r="E1376" s="31" t="s">
        <v>284</v>
      </c>
      <c r="F1376" s="31" t="s">
        <v>160</v>
      </c>
      <c r="H1376" s="38">
        <v>0</v>
      </c>
    </row>
    <row r="1377" spans="1:8" x14ac:dyDescent="0.35">
      <c r="A1377" s="19"/>
      <c r="B1377" s="19" t="s">
        <v>22</v>
      </c>
      <c r="C1377" s="37">
        <v>45899</v>
      </c>
      <c r="D1377" s="31" t="s">
        <v>286</v>
      </c>
      <c r="E1377" s="31" t="s">
        <v>287</v>
      </c>
      <c r="F1377" s="31" t="s">
        <v>160</v>
      </c>
      <c r="H1377" s="38">
        <v>0</v>
      </c>
    </row>
    <row r="1378" spans="1:8" x14ac:dyDescent="0.35">
      <c r="A1378" s="19"/>
      <c r="B1378" s="19" t="s">
        <v>22</v>
      </c>
      <c r="C1378" s="37">
        <v>45899</v>
      </c>
      <c r="D1378" s="31" t="s">
        <v>288</v>
      </c>
      <c r="E1378" s="31" t="s">
        <v>287</v>
      </c>
      <c r="F1378" s="31" t="s">
        <v>160</v>
      </c>
      <c r="H1378" s="38">
        <v>0</v>
      </c>
    </row>
    <row r="1379" spans="1:8" x14ac:dyDescent="0.35">
      <c r="A1379" s="19"/>
      <c r="B1379" s="19" t="s">
        <v>22</v>
      </c>
      <c r="C1379" s="37">
        <v>45899</v>
      </c>
      <c r="D1379" s="31" t="s">
        <v>289</v>
      </c>
      <c r="E1379" s="31" t="s">
        <v>290</v>
      </c>
      <c r="F1379" s="31" t="s">
        <v>160</v>
      </c>
      <c r="H1379" s="38">
        <v>0</v>
      </c>
    </row>
    <row r="1380" spans="1:8" x14ac:dyDescent="0.35">
      <c r="A1380" s="19"/>
      <c r="B1380" s="19" t="s">
        <v>22</v>
      </c>
      <c r="C1380" s="37">
        <v>45899</v>
      </c>
      <c r="D1380" s="31" t="s">
        <v>291</v>
      </c>
      <c r="E1380" s="31" t="s">
        <v>292</v>
      </c>
      <c r="F1380" s="31" t="s">
        <v>160</v>
      </c>
      <c r="H1380" s="38">
        <v>0</v>
      </c>
    </row>
    <row r="1381" spans="1:8" x14ac:dyDescent="0.35">
      <c r="A1381" s="19"/>
      <c r="B1381" s="19" t="s">
        <v>22</v>
      </c>
      <c r="C1381" s="37">
        <v>45899</v>
      </c>
      <c r="D1381" s="31" t="s">
        <v>293</v>
      </c>
      <c r="E1381" s="31" t="s">
        <v>292</v>
      </c>
      <c r="F1381" s="31" t="s">
        <v>160</v>
      </c>
      <c r="H1381" s="38">
        <v>0</v>
      </c>
    </row>
    <row r="1382" spans="1:8" x14ac:dyDescent="0.35">
      <c r="A1382" s="19"/>
      <c r="B1382" s="19" t="s">
        <v>22</v>
      </c>
      <c r="C1382" s="37">
        <v>45899</v>
      </c>
      <c r="D1382" s="31" t="s">
        <v>294</v>
      </c>
      <c r="E1382" s="31" t="s">
        <v>26</v>
      </c>
      <c r="F1382" s="31" t="s">
        <v>160</v>
      </c>
      <c r="H1382" s="38">
        <v>12589.500000000002</v>
      </c>
    </row>
    <row r="1383" spans="1:8" x14ac:dyDescent="0.35">
      <c r="A1383" s="19"/>
      <c r="B1383" s="19" t="s">
        <v>22</v>
      </c>
      <c r="C1383" s="37">
        <v>45899</v>
      </c>
      <c r="D1383" s="31" t="s">
        <v>295</v>
      </c>
      <c r="E1383" s="31" t="s">
        <v>29</v>
      </c>
      <c r="F1383" s="31" t="s">
        <v>160</v>
      </c>
      <c r="H1383" s="38">
        <v>0</v>
      </c>
    </row>
    <row r="1384" spans="1:8" x14ac:dyDescent="0.35">
      <c r="A1384" s="19"/>
      <c r="B1384" s="19" t="s">
        <v>22</v>
      </c>
      <c r="C1384" s="37">
        <v>45899</v>
      </c>
      <c r="D1384" s="31" t="s">
        <v>296</v>
      </c>
      <c r="E1384" s="31" t="s">
        <v>29</v>
      </c>
      <c r="F1384" s="31" t="s">
        <v>160</v>
      </c>
      <c r="H1384" s="38">
        <v>0</v>
      </c>
    </row>
    <row r="1385" spans="1:8" x14ac:dyDescent="0.35">
      <c r="A1385" s="19"/>
      <c r="B1385" s="19" t="s">
        <v>22</v>
      </c>
      <c r="C1385" s="37">
        <v>45899</v>
      </c>
      <c r="D1385" s="31" t="s">
        <v>297</v>
      </c>
      <c r="E1385" s="31" t="s">
        <v>29</v>
      </c>
      <c r="F1385" s="31" t="s">
        <v>160</v>
      </c>
      <c r="H1385" s="38">
        <v>0</v>
      </c>
    </row>
    <row r="1386" spans="1:8" x14ac:dyDescent="0.35">
      <c r="A1386" s="19"/>
      <c r="B1386" s="19" t="s">
        <v>22</v>
      </c>
      <c r="C1386" s="37">
        <v>45899</v>
      </c>
      <c r="D1386" s="31" t="s">
        <v>298</v>
      </c>
      <c r="E1386" s="31" t="s">
        <v>29</v>
      </c>
      <c r="F1386" s="31" t="s">
        <v>160</v>
      </c>
      <c r="H1386" s="38">
        <v>0</v>
      </c>
    </row>
    <row r="1387" spans="1:8" x14ac:dyDescent="0.35">
      <c r="A1387" s="19"/>
      <c r="B1387" s="19" t="s">
        <v>22</v>
      </c>
      <c r="C1387" s="37">
        <v>45899</v>
      </c>
      <c r="D1387" s="31" t="s">
        <v>299</v>
      </c>
      <c r="E1387" s="31" t="s">
        <v>33</v>
      </c>
      <c r="F1387" s="31" t="s">
        <v>160</v>
      </c>
      <c r="H1387" s="38">
        <v>0</v>
      </c>
    </row>
    <row r="1388" spans="1:8" x14ac:dyDescent="0.35">
      <c r="A1388" s="19"/>
      <c r="B1388" s="19" t="s">
        <v>22</v>
      </c>
      <c r="C1388" s="37">
        <v>45899</v>
      </c>
      <c r="D1388" s="31" t="s">
        <v>300</v>
      </c>
      <c r="E1388" s="31" t="s">
        <v>276</v>
      </c>
      <c r="F1388" s="31" t="s">
        <v>160</v>
      </c>
      <c r="H1388" s="38">
        <v>0</v>
      </c>
    </row>
    <row r="1389" spans="1:8" x14ac:dyDescent="0.35">
      <c r="A1389" s="19"/>
      <c r="B1389" s="19" t="s">
        <v>22</v>
      </c>
      <c r="C1389" s="37">
        <v>45899</v>
      </c>
      <c r="D1389" s="31" t="s">
        <v>301</v>
      </c>
      <c r="E1389" s="31" t="s">
        <v>36</v>
      </c>
      <c r="F1389" s="31" t="s">
        <v>160</v>
      </c>
      <c r="H1389" s="38">
        <v>0</v>
      </c>
    </row>
    <row r="1390" spans="1:8" x14ac:dyDescent="0.35">
      <c r="A1390" s="19"/>
      <c r="B1390" s="19" t="s">
        <v>22</v>
      </c>
      <c r="C1390" s="37">
        <v>45899</v>
      </c>
      <c r="D1390" s="31" t="s">
        <v>302</v>
      </c>
      <c r="E1390" s="31" t="s">
        <v>303</v>
      </c>
      <c r="F1390" s="31" t="s">
        <v>160</v>
      </c>
      <c r="H1390" s="38">
        <v>0</v>
      </c>
    </row>
    <row r="1391" spans="1:8" x14ac:dyDescent="0.35">
      <c r="A1391" s="19"/>
      <c r="B1391" s="19" t="s">
        <v>22</v>
      </c>
      <c r="C1391" s="37">
        <v>45899</v>
      </c>
      <c r="D1391" s="31" t="s">
        <v>304</v>
      </c>
      <c r="E1391" s="31" t="s">
        <v>305</v>
      </c>
      <c r="F1391" s="31" t="s">
        <v>160</v>
      </c>
      <c r="H1391" s="38">
        <v>0</v>
      </c>
    </row>
    <row r="1392" spans="1:8" x14ac:dyDescent="0.35">
      <c r="A1392" s="19"/>
      <c r="B1392" s="19" t="s">
        <v>22</v>
      </c>
      <c r="C1392" s="37">
        <v>45899</v>
      </c>
      <c r="D1392" s="31" t="s">
        <v>306</v>
      </c>
      <c r="E1392" s="31" t="s">
        <v>18</v>
      </c>
      <c r="F1392" s="31" t="s">
        <v>160</v>
      </c>
      <c r="H1392" s="38">
        <v>0</v>
      </c>
    </row>
    <row r="1393" spans="1:8" x14ac:dyDescent="0.35">
      <c r="A1393" s="19"/>
      <c r="B1393" s="19" t="s">
        <v>22</v>
      </c>
      <c r="C1393" s="37">
        <v>45899</v>
      </c>
      <c r="D1393" s="31" t="s">
        <v>307</v>
      </c>
      <c r="E1393" s="31" t="s">
        <v>50</v>
      </c>
      <c r="F1393" s="31" t="s">
        <v>160</v>
      </c>
      <c r="H1393" s="38">
        <v>0</v>
      </c>
    </row>
    <row r="1394" spans="1:8" x14ac:dyDescent="0.35">
      <c r="A1394" s="19"/>
      <c r="B1394" s="19" t="s">
        <v>22</v>
      </c>
      <c r="C1394" s="37">
        <v>45899</v>
      </c>
      <c r="D1394" s="31" t="s">
        <v>308</v>
      </c>
      <c r="E1394" s="31" t="s">
        <v>33</v>
      </c>
      <c r="F1394" s="31" t="s">
        <v>160</v>
      </c>
      <c r="H1394" s="38">
        <v>0</v>
      </c>
    </row>
    <row r="1395" spans="1:8" x14ac:dyDescent="0.35">
      <c r="A1395" s="19"/>
      <c r="B1395" s="19" t="s">
        <v>22</v>
      </c>
      <c r="C1395" s="37">
        <v>45899</v>
      </c>
      <c r="D1395" s="31" t="s">
        <v>309</v>
      </c>
      <c r="E1395" s="31" t="s">
        <v>33</v>
      </c>
      <c r="F1395" s="31" t="s">
        <v>160</v>
      </c>
      <c r="H1395" s="38">
        <v>0</v>
      </c>
    </row>
    <row r="1396" spans="1:8" x14ac:dyDescent="0.35">
      <c r="A1396" s="19"/>
      <c r="B1396" s="19" t="s">
        <v>22</v>
      </c>
      <c r="C1396" s="37">
        <v>45899</v>
      </c>
      <c r="D1396" s="31" t="s">
        <v>310</v>
      </c>
      <c r="E1396" s="31" t="s">
        <v>33</v>
      </c>
      <c r="F1396" s="31" t="s">
        <v>160</v>
      </c>
      <c r="H1396" s="38">
        <v>0</v>
      </c>
    </row>
    <row r="1397" spans="1:8" x14ac:dyDescent="0.35">
      <c r="A1397" s="19"/>
      <c r="B1397" s="19" t="s">
        <v>22</v>
      </c>
      <c r="C1397" s="37">
        <v>45899</v>
      </c>
      <c r="D1397" s="31" t="s">
        <v>311</v>
      </c>
      <c r="E1397" s="31" t="s">
        <v>33</v>
      </c>
      <c r="F1397" s="31" t="s">
        <v>160</v>
      </c>
      <c r="H1397" s="38">
        <v>0</v>
      </c>
    </row>
    <row r="1398" spans="1:8" x14ac:dyDescent="0.35">
      <c r="A1398" s="19"/>
      <c r="B1398" s="19" t="s">
        <v>22</v>
      </c>
      <c r="C1398" s="37">
        <v>45899</v>
      </c>
      <c r="D1398" s="31" t="s">
        <v>312</v>
      </c>
      <c r="E1398" s="31" t="s">
        <v>33</v>
      </c>
      <c r="F1398" s="31" t="s">
        <v>160</v>
      </c>
      <c r="H1398" s="38">
        <v>0</v>
      </c>
    </row>
    <row r="1399" spans="1:8" x14ac:dyDescent="0.35">
      <c r="A1399" s="19"/>
      <c r="B1399" s="19" t="s">
        <v>22</v>
      </c>
      <c r="C1399" s="37">
        <v>45899</v>
      </c>
      <c r="D1399" s="31" t="s">
        <v>313</v>
      </c>
      <c r="E1399" s="31" t="s">
        <v>33</v>
      </c>
      <c r="F1399" s="31" t="s">
        <v>160</v>
      </c>
      <c r="H1399" s="38">
        <v>0</v>
      </c>
    </row>
    <row r="1400" spans="1:8" x14ac:dyDescent="0.35">
      <c r="A1400" s="19"/>
      <c r="B1400" s="19" t="s">
        <v>22</v>
      </c>
      <c r="C1400" s="37">
        <v>45899</v>
      </c>
      <c r="D1400" s="31" t="s">
        <v>314</v>
      </c>
      <c r="E1400" s="31" t="s">
        <v>50</v>
      </c>
      <c r="F1400" s="31" t="s">
        <v>160</v>
      </c>
      <c r="H1400" s="38">
        <v>0</v>
      </c>
    </row>
    <row r="1401" spans="1:8" x14ac:dyDescent="0.35">
      <c r="A1401" s="19"/>
      <c r="B1401" s="19" t="s">
        <v>22</v>
      </c>
      <c r="C1401" s="37">
        <v>45899</v>
      </c>
      <c r="D1401" s="31" t="s">
        <v>315</v>
      </c>
      <c r="E1401" s="31" t="s">
        <v>316</v>
      </c>
      <c r="F1401" s="31" t="s">
        <v>160</v>
      </c>
      <c r="H1401" s="38">
        <v>0</v>
      </c>
    </row>
    <row r="1402" spans="1:8" x14ac:dyDescent="0.35">
      <c r="A1402" s="19"/>
      <c r="B1402" s="19" t="s">
        <v>22</v>
      </c>
      <c r="C1402" s="37">
        <v>45899</v>
      </c>
      <c r="D1402" s="31" t="s">
        <v>317</v>
      </c>
      <c r="E1402" s="31" t="s">
        <v>44</v>
      </c>
      <c r="F1402" s="31" t="s">
        <v>160</v>
      </c>
      <c r="H1402" s="38">
        <v>0</v>
      </c>
    </row>
    <row r="1403" spans="1:8" x14ac:dyDescent="0.35">
      <c r="A1403" s="19"/>
      <c r="B1403" s="19" t="s">
        <v>22</v>
      </c>
      <c r="C1403" s="37">
        <v>45899</v>
      </c>
      <c r="D1403" s="31" t="s">
        <v>318</v>
      </c>
      <c r="E1403" s="31" t="s">
        <v>44</v>
      </c>
      <c r="F1403" s="31" t="s">
        <v>160</v>
      </c>
      <c r="H1403" s="38">
        <v>0</v>
      </c>
    </row>
    <row r="1404" spans="1:8" x14ac:dyDescent="0.35">
      <c r="A1404" s="19"/>
      <c r="B1404" s="19" t="s">
        <v>22</v>
      </c>
      <c r="C1404" s="37">
        <v>45899</v>
      </c>
      <c r="D1404" s="31" t="s">
        <v>319</v>
      </c>
      <c r="E1404" s="31" t="s">
        <v>44</v>
      </c>
      <c r="F1404" s="31" t="s">
        <v>160</v>
      </c>
      <c r="H1404" s="38">
        <v>0</v>
      </c>
    </row>
    <row r="1405" spans="1:8" x14ac:dyDescent="0.35">
      <c r="A1405" s="19"/>
      <c r="B1405" s="19" t="s">
        <v>22</v>
      </c>
      <c r="C1405" s="37">
        <v>45899</v>
      </c>
      <c r="D1405" s="31" t="s">
        <v>320</v>
      </c>
      <c r="E1405" s="31" t="s">
        <v>115</v>
      </c>
      <c r="F1405" s="31" t="s">
        <v>160</v>
      </c>
      <c r="H1405" s="38">
        <v>0</v>
      </c>
    </row>
    <row r="1406" spans="1:8" x14ac:dyDescent="0.35">
      <c r="A1406" s="19"/>
      <c r="B1406" s="19" t="s">
        <v>22</v>
      </c>
      <c r="C1406" s="37">
        <v>45899</v>
      </c>
      <c r="D1406" s="31" t="s">
        <v>321</v>
      </c>
      <c r="E1406" s="31" t="s">
        <v>322</v>
      </c>
      <c r="F1406" s="31" t="s">
        <v>160</v>
      </c>
      <c r="H1406" s="38">
        <v>0</v>
      </c>
    </row>
    <row r="1407" spans="1:8" x14ac:dyDescent="0.35">
      <c r="A1407" s="19"/>
      <c r="B1407" s="19" t="s">
        <v>22</v>
      </c>
      <c r="C1407" s="37">
        <v>45899</v>
      </c>
      <c r="D1407" s="31" t="s">
        <v>323</v>
      </c>
      <c r="E1407" s="31" t="s">
        <v>255</v>
      </c>
      <c r="F1407" s="31" t="s">
        <v>160</v>
      </c>
      <c r="H1407" s="38">
        <v>0</v>
      </c>
    </row>
    <row r="1408" spans="1:8" x14ac:dyDescent="0.35">
      <c r="A1408" s="19"/>
      <c r="B1408" s="19" t="s">
        <v>22</v>
      </c>
      <c r="C1408" s="37">
        <v>45899</v>
      </c>
      <c r="D1408" s="31" t="s">
        <v>324</v>
      </c>
      <c r="E1408" s="31" t="s">
        <v>44</v>
      </c>
      <c r="F1408" s="31" t="s">
        <v>160</v>
      </c>
      <c r="H1408" s="38">
        <v>9548.99</v>
      </c>
    </row>
    <row r="1409" spans="1:8" x14ac:dyDescent="0.35">
      <c r="A1409" s="19"/>
      <c r="B1409" s="19" t="s">
        <v>22</v>
      </c>
      <c r="C1409" s="37">
        <v>45899</v>
      </c>
      <c r="D1409" s="31" t="s">
        <v>325</v>
      </c>
      <c r="E1409" s="31" t="s">
        <v>284</v>
      </c>
      <c r="F1409" s="31" t="s">
        <v>160</v>
      </c>
      <c r="H1409" s="38">
        <v>0</v>
      </c>
    </row>
    <row r="1410" spans="1:8" x14ac:dyDescent="0.35">
      <c r="A1410" s="19"/>
      <c r="B1410" s="19" t="s">
        <v>22</v>
      </c>
      <c r="C1410" s="37">
        <v>45899</v>
      </c>
      <c r="D1410" s="31" t="s">
        <v>326</v>
      </c>
      <c r="E1410" s="31" t="s">
        <v>284</v>
      </c>
      <c r="F1410" s="31" t="s">
        <v>160</v>
      </c>
      <c r="H1410" s="38">
        <v>0</v>
      </c>
    </row>
    <row r="1411" spans="1:8" x14ac:dyDescent="0.35">
      <c r="A1411" s="19"/>
      <c r="B1411" s="19" t="s">
        <v>22</v>
      </c>
      <c r="C1411" s="37">
        <v>45899</v>
      </c>
      <c r="D1411" s="31" t="s">
        <v>327</v>
      </c>
      <c r="E1411" s="31" t="s">
        <v>284</v>
      </c>
      <c r="F1411" s="31" t="s">
        <v>160</v>
      </c>
      <c r="H1411" s="38">
        <v>0</v>
      </c>
    </row>
    <row r="1412" spans="1:8" x14ac:dyDescent="0.35">
      <c r="A1412" s="19"/>
      <c r="B1412" s="19" t="s">
        <v>22</v>
      </c>
      <c r="C1412" s="37">
        <v>45899</v>
      </c>
      <c r="D1412" s="31" t="s">
        <v>328</v>
      </c>
      <c r="E1412" s="31" t="s">
        <v>284</v>
      </c>
      <c r="F1412" s="31" t="s">
        <v>160</v>
      </c>
      <c r="H1412" s="38">
        <v>0</v>
      </c>
    </row>
    <row r="1413" spans="1:8" x14ac:dyDescent="0.35">
      <c r="A1413" s="19"/>
      <c r="B1413" s="19" t="s">
        <v>22</v>
      </c>
      <c r="C1413" s="37">
        <v>45899</v>
      </c>
      <c r="D1413" s="31" t="s">
        <v>329</v>
      </c>
      <c r="E1413" s="31" t="s">
        <v>284</v>
      </c>
      <c r="F1413" s="31" t="s">
        <v>160</v>
      </c>
      <c r="H1413" s="38">
        <v>0</v>
      </c>
    </row>
    <row r="1414" spans="1:8" x14ac:dyDescent="0.35">
      <c r="A1414" s="19"/>
      <c r="B1414" s="19" t="s">
        <v>22</v>
      </c>
      <c r="C1414" s="37">
        <v>45899</v>
      </c>
      <c r="D1414" s="31" t="s">
        <v>330</v>
      </c>
      <c r="E1414" s="31" t="s">
        <v>47</v>
      </c>
      <c r="F1414" s="31" t="s">
        <v>160</v>
      </c>
      <c r="H1414" s="38">
        <v>0</v>
      </c>
    </row>
    <row r="1415" spans="1:8" x14ac:dyDescent="0.35">
      <c r="A1415" s="19"/>
      <c r="B1415" s="19" t="s">
        <v>22</v>
      </c>
      <c r="C1415" s="37">
        <v>45899</v>
      </c>
      <c r="D1415" s="31" t="s">
        <v>331</v>
      </c>
      <c r="E1415" s="31" t="s">
        <v>332</v>
      </c>
      <c r="F1415" s="31" t="s">
        <v>160</v>
      </c>
      <c r="H1415" s="38">
        <v>0</v>
      </c>
    </row>
    <row r="1416" spans="1:8" x14ac:dyDescent="0.35">
      <c r="A1416" s="19"/>
      <c r="B1416" s="19" t="s">
        <v>22</v>
      </c>
      <c r="C1416" s="37">
        <v>45899</v>
      </c>
      <c r="D1416" s="31" t="s">
        <v>333</v>
      </c>
      <c r="E1416" s="31" t="s">
        <v>332</v>
      </c>
      <c r="F1416" s="31" t="s">
        <v>160</v>
      </c>
      <c r="H1416" s="38">
        <v>1120</v>
      </c>
    </row>
    <row r="1417" spans="1:8" x14ac:dyDescent="0.35">
      <c r="A1417" s="19"/>
      <c r="B1417" s="19" t="s">
        <v>22</v>
      </c>
      <c r="C1417" s="37">
        <v>45899</v>
      </c>
      <c r="D1417" s="31" t="s">
        <v>334</v>
      </c>
      <c r="E1417" s="31" t="s">
        <v>225</v>
      </c>
      <c r="F1417" s="31" t="s">
        <v>160</v>
      </c>
      <c r="H1417" s="38">
        <v>0</v>
      </c>
    </row>
    <row r="1418" spans="1:8" x14ac:dyDescent="0.35">
      <c r="A1418" s="19"/>
      <c r="B1418" s="19" t="s">
        <v>22</v>
      </c>
      <c r="C1418" s="37">
        <v>45899</v>
      </c>
      <c r="D1418" s="31" t="s">
        <v>335</v>
      </c>
      <c r="E1418" s="31" t="s">
        <v>225</v>
      </c>
      <c r="F1418" s="31" t="s">
        <v>160</v>
      </c>
      <c r="H1418" s="38">
        <v>0</v>
      </c>
    </row>
    <row r="1419" spans="1:8" x14ac:dyDescent="0.35">
      <c r="A1419" s="19"/>
      <c r="B1419" s="19" t="s">
        <v>22</v>
      </c>
      <c r="C1419" s="37">
        <v>45899</v>
      </c>
      <c r="D1419" s="31" t="s">
        <v>336</v>
      </c>
      <c r="E1419" s="31" t="s">
        <v>337</v>
      </c>
      <c r="F1419" s="31" t="s">
        <v>160</v>
      </c>
      <c r="H1419" s="38">
        <v>0</v>
      </c>
    </row>
    <row r="1420" spans="1:8" x14ac:dyDescent="0.35">
      <c r="A1420" s="19"/>
      <c r="B1420" s="19" t="s">
        <v>22</v>
      </c>
      <c r="C1420" s="37">
        <v>45899</v>
      </c>
      <c r="D1420" s="31" t="s">
        <v>338</v>
      </c>
      <c r="E1420" s="31" t="s">
        <v>337</v>
      </c>
      <c r="F1420" s="31" t="s">
        <v>160</v>
      </c>
      <c r="H1420" s="38">
        <v>0</v>
      </c>
    </row>
    <row r="1421" spans="1:8" x14ac:dyDescent="0.35">
      <c r="A1421" s="19"/>
      <c r="B1421" s="19" t="s">
        <v>22</v>
      </c>
      <c r="C1421" s="37">
        <v>45899</v>
      </c>
      <c r="D1421" s="31" t="s">
        <v>339</v>
      </c>
      <c r="E1421" s="31" t="s">
        <v>337</v>
      </c>
      <c r="F1421" s="31" t="s">
        <v>160</v>
      </c>
      <c r="H1421" s="38">
        <v>0</v>
      </c>
    </row>
    <row r="1422" spans="1:8" x14ac:dyDescent="0.35">
      <c r="A1422" s="19"/>
      <c r="B1422" s="19" t="s">
        <v>22</v>
      </c>
      <c r="C1422" s="37">
        <v>45899</v>
      </c>
      <c r="D1422" s="31" t="s">
        <v>340</v>
      </c>
      <c r="E1422" s="31" t="s">
        <v>337</v>
      </c>
      <c r="F1422" s="31" t="s">
        <v>160</v>
      </c>
      <c r="H1422" s="38">
        <v>0</v>
      </c>
    </row>
    <row r="1423" spans="1:8" x14ac:dyDescent="0.35">
      <c r="A1423" s="19"/>
      <c r="B1423" s="19" t="s">
        <v>22</v>
      </c>
      <c r="C1423" s="37">
        <v>45899</v>
      </c>
      <c r="D1423" s="31" t="s">
        <v>341</v>
      </c>
      <c r="E1423" s="31" t="s">
        <v>337</v>
      </c>
      <c r="F1423" s="31" t="s">
        <v>160</v>
      </c>
      <c r="H1423" s="38">
        <v>0</v>
      </c>
    </row>
    <row r="1424" spans="1:8" x14ac:dyDescent="0.35">
      <c r="A1424" s="19"/>
      <c r="B1424" s="19" t="s">
        <v>22</v>
      </c>
      <c r="C1424" s="37">
        <v>45899</v>
      </c>
      <c r="D1424" s="31" t="s">
        <v>342</v>
      </c>
      <c r="E1424" s="31" t="s">
        <v>343</v>
      </c>
      <c r="F1424" s="31" t="s">
        <v>160</v>
      </c>
      <c r="H1424" s="38">
        <v>0</v>
      </c>
    </row>
    <row r="1425" spans="1:8" x14ac:dyDescent="0.35">
      <c r="A1425" s="19"/>
      <c r="B1425" s="19" t="s">
        <v>22</v>
      </c>
      <c r="C1425" s="37">
        <v>45899</v>
      </c>
      <c r="D1425" s="31" t="s">
        <v>344</v>
      </c>
      <c r="E1425" s="31" t="s">
        <v>343</v>
      </c>
      <c r="F1425" s="31" t="s">
        <v>160</v>
      </c>
      <c r="H1425" s="38">
        <v>0</v>
      </c>
    </row>
    <row r="1426" spans="1:8" x14ac:dyDescent="0.35">
      <c r="A1426" s="19"/>
      <c r="B1426" s="19" t="s">
        <v>22</v>
      </c>
      <c r="C1426" s="37">
        <v>45899</v>
      </c>
      <c r="D1426" s="31" t="s">
        <v>345</v>
      </c>
      <c r="E1426" s="31" t="s">
        <v>346</v>
      </c>
      <c r="F1426" s="31" t="s">
        <v>160</v>
      </c>
      <c r="H1426" s="38">
        <v>0</v>
      </c>
    </row>
    <row r="1427" spans="1:8" x14ac:dyDescent="0.35">
      <c r="A1427" s="19"/>
      <c r="B1427" s="19" t="s">
        <v>22</v>
      </c>
      <c r="C1427" s="37">
        <v>45899</v>
      </c>
      <c r="D1427" s="31" t="s">
        <v>347</v>
      </c>
      <c r="E1427" s="31" t="s">
        <v>346</v>
      </c>
      <c r="F1427" s="31" t="s">
        <v>160</v>
      </c>
      <c r="H1427" s="38">
        <v>0</v>
      </c>
    </row>
    <row r="1428" spans="1:8" x14ac:dyDescent="0.35">
      <c r="A1428" s="19"/>
      <c r="B1428" s="19" t="s">
        <v>22</v>
      </c>
      <c r="C1428" s="37">
        <v>45899</v>
      </c>
      <c r="D1428" s="31" t="s">
        <v>348</v>
      </c>
      <c r="E1428" s="31" t="s">
        <v>349</v>
      </c>
      <c r="F1428" s="31" t="s">
        <v>160</v>
      </c>
      <c r="H1428" s="38">
        <v>0</v>
      </c>
    </row>
    <row r="1429" spans="1:8" x14ac:dyDescent="0.35">
      <c r="A1429" s="19"/>
      <c r="B1429" s="19" t="s">
        <v>22</v>
      </c>
      <c r="C1429" s="37">
        <v>45899</v>
      </c>
      <c r="D1429" s="31" t="s">
        <v>350</v>
      </c>
      <c r="E1429" s="31" t="s">
        <v>349</v>
      </c>
      <c r="F1429" s="31" t="s">
        <v>160</v>
      </c>
      <c r="H1429" s="38">
        <v>0</v>
      </c>
    </row>
    <row r="1430" spans="1:8" x14ac:dyDescent="0.35">
      <c r="A1430" s="19"/>
      <c r="B1430" s="19" t="s">
        <v>22</v>
      </c>
      <c r="C1430" s="37">
        <v>45899</v>
      </c>
      <c r="D1430" s="31" t="s">
        <v>351</v>
      </c>
      <c r="E1430" s="31" t="s">
        <v>352</v>
      </c>
      <c r="F1430" s="31" t="s">
        <v>160</v>
      </c>
      <c r="H1430" s="38">
        <v>0</v>
      </c>
    </row>
    <row r="1431" spans="1:8" x14ac:dyDescent="0.35">
      <c r="A1431" s="19"/>
      <c r="B1431" s="19" t="s">
        <v>22</v>
      </c>
      <c r="C1431" s="37">
        <v>45899</v>
      </c>
      <c r="D1431" s="31" t="s">
        <v>353</v>
      </c>
      <c r="E1431" s="31" t="s">
        <v>352</v>
      </c>
      <c r="F1431" s="31" t="s">
        <v>160</v>
      </c>
      <c r="H1431" s="38">
        <v>343.59</v>
      </c>
    </row>
    <row r="1432" spans="1:8" x14ac:dyDescent="0.35">
      <c r="A1432" s="19"/>
      <c r="B1432" s="19" t="s">
        <v>22</v>
      </c>
      <c r="C1432" s="37">
        <v>45899</v>
      </c>
      <c r="D1432" s="31" t="s">
        <v>354</v>
      </c>
      <c r="E1432" s="31" t="s">
        <v>352</v>
      </c>
      <c r="F1432" s="31" t="s">
        <v>160</v>
      </c>
      <c r="H1432" s="38">
        <v>0</v>
      </c>
    </row>
    <row r="1433" spans="1:8" x14ac:dyDescent="0.35">
      <c r="A1433" s="19"/>
      <c r="B1433" s="19" t="s">
        <v>22</v>
      </c>
      <c r="C1433" s="37">
        <v>45899</v>
      </c>
      <c r="D1433" s="31" t="s">
        <v>355</v>
      </c>
      <c r="E1433" s="31" t="s">
        <v>352</v>
      </c>
      <c r="F1433" s="31" t="s">
        <v>160</v>
      </c>
      <c r="H1433" s="38">
        <v>0</v>
      </c>
    </row>
    <row r="1434" spans="1:8" x14ac:dyDescent="0.35">
      <c r="A1434" s="19"/>
      <c r="B1434" s="19" t="s">
        <v>22</v>
      </c>
      <c r="C1434" s="37">
        <v>45899</v>
      </c>
      <c r="D1434" s="31" t="s">
        <v>356</v>
      </c>
      <c r="E1434" s="31" t="s">
        <v>352</v>
      </c>
      <c r="F1434" s="31" t="s">
        <v>160</v>
      </c>
      <c r="H1434" s="38">
        <v>0</v>
      </c>
    </row>
    <row r="1435" spans="1:8" x14ac:dyDescent="0.35">
      <c r="A1435" s="19"/>
      <c r="B1435" s="19" t="s">
        <v>22</v>
      </c>
      <c r="C1435" s="37">
        <v>45899</v>
      </c>
      <c r="D1435" s="31" t="s">
        <v>357</v>
      </c>
      <c r="E1435" s="31" t="s">
        <v>52</v>
      </c>
      <c r="F1435" s="31" t="s">
        <v>160</v>
      </c>
      <c r="H1435" s="38">
        <v>0</v>
      </c>
    </row>
    <row r="1436" spans="1:8" x14ac:dyDescent="0.35">
      <c r="A1436" s="19"/>
      <c r="B1436" s="19" t="s">
        <v>22</v>
      </c>
      <c r="C1436" s="37">
        <v>45899</v>
      </c>
      <c r="D1436" s="31" t="s">
        <v>358</v>
      </c>
      <c r="E1436" s="31" t="s">
        <v>52</v>
      </c>
      <c r="F1436" s="31" t="s">
        <v>160</v>
      </c>
      <c r="H1436" s="38">
        <v>0</v>
      </c>
    </row>
    <row r="1437" spans="1:8" x14ac:dyDescent="0.35">
      <c r="A1437" s="19"/>
      <c r="B1437" s="19" t="s">
        <v>22</v>
      </c>
      <c r="C1437" s="37">
        <v>45899</v>
      </c>
      <c r="D1437" s="31" t="s">
        <v>359</v>
      </c>
      <c r="E1437" s="31" t="s">
        <v>52</v>
      </c>
      <c r="F1437" s="31" t="s">
        <v>160</v>
      </c>
      <c r="H1437" s="38">
        <v>0</v>
      </c>
    </row>
    <row r="1438" spans="1:8" x14ac:dyDescent="0.35">
      <c r="A1438" s="19"/>
      <c r="B1438" s="19" t="s">
        <v>22</v>
      </c>
      <c r="C1438" s="37">
        <v>45899</v>
      </c>
      <c r="D1438" s="31" t="s">
        <v>360</v>
      </c>
      <c r="E1438" s="31" t="s">
        <v>361</v>
      </c>
      <c r="F1438" s="31" t="s">
        <v>160</v>
      </c>
      <c r="H1438" s="38">
        <v>0</v>
      </c>
    </row>
    <row r="1439" spans="1:8" x14ac:dyDescent="0.35">
      <c r="A1439" s="19"/>
      <c r="B1439" s="19" t="s">
        <v>22</v>
      </c>
      <c r="C1439" s="37">
        <v>45899</v>
      </c>
      <c r="D1439" s="31" t="s">
        <v>362</v>
      </c>
      <c r="E1439" s="31" t="s">
        <v>363</v>
      </c>
      <c r="F1439" s="31" t="s">
        <v>160</v>
      </c>
      <c r="H1439" s="38">
        <v>0</v>
      </c>
    </row>
    <row r="1440" spans="1:8" x14ac:dyDescent="0.35">
      <c r="A1440" s="19"/>
      <c r="B1440" s="19" t="s">
        <v>22</v>
      </c>
      <c r="C1440" s="37">
        <v>45899</v>
      </c>
      <c r="D1440" s="31" t="s">
        <v>364</v>
      </c>
      <c r="E1440" s="31" t="s">
        <v>337</v>
      </c>
      <c r="F1440" s="31" t="s">
        <v>160</v>
      </c>
      <c r="H1440" s="38">
        <v>0</v>
      </c>
    </row>
    <row r="1441" spans="1:8" x14ac:dyDescent="0.35">
      <c r="A1441" s="19"/>
      <c r="B1441" s="19" t="s">
        <v>22</v>
      </c>
      <c r="C1441" s="37">
        <v>45899</v>
      </c>
      <c r="D1441" s="31" t="s">
        <v>365</v>
      </c>
      <c r="E1441" s="31" t="s">
        <v>337</v>
      </c>
      <c r="F1441" s="31" t="s">
        <v>160</v>
      </c>
      <c r="H1441" s="38">
        <v>0</v>
      </c>
    </row>
    <row r="1442" spans="1:8" x14ac:dyDescent="0.35">
      <c r="A1442" s="19"/>
      <c r="B1442" s="19" t="s">
        <v>22</v>
      </c>
      <c r="C1442" s="37">
        <v>45899</v>
      </c>
      <c r="D1442" s="31" t="s">
        <v>366</v>
      </c>
      <c r="E1442" s="31" t="s">
        <v>337</v>
      </c>
      <c r="F1442" s="31" t="s">
        <v>160</v>
      </c>
      <c r="H1442" s="38">
        <v>0</v>
      </c>
    </row>
    <row r="1443" spans="1:8" x14ac:dyDescent="0.35">
      <c r="A1443" s="19"/>
      <c r="B1443" s="19" t="s">
        <v>22</v>
      </c>
      <c r="C1443" s="37">
        <v>45899</v>
      </c>
      <c r="D1443" s="31" t="s">
        <v>367</v>
      </c>
      <c r="E1443" s="31" t="s">
        <v>337</v>
      </c>
      <c r="F1443" s="31" t="s">
        <v>160</v>
      </c>
      <c r="H1443" s="38">
        <v>0</v>
      </c>
    </row>
    <row r="1444" spans="1:8" x14ac:dyDescent="0.35">
      <c r="A1444" s="19"/>
      <c r="B1444" s="19" t="s">
        <v>22</v>
      </c>
      <c r="C1444" s="37">
        <v>45899</v>
      </c>
      <c r="D1444" s="31" t="s">
        <v>368</v>
      </c>
      <c r="E1444" s="31" t="s">
        <v>337</v>
      </c>
      <c r="F1444" s="31" t="s">
        <v>160</v>
      </c>
      <c r="H1444" s="38">
        <v>0</v>
      </c>
    </row>
    <row r="1445" spans="1:8" x14ac:dyDescent="0.35">
      <c r="A1445" s="19"/>
      <c r="B1445" s="19" t="s">
        <v>22</v>
      </c>
      <c r="C1445" s="37">
        <v>45899</v>
      </c>
      <c r="D1445" s="31" t="s">
        <v>369</v>
      </c>
      <c r="E1445" s="31" t="s">
        <v>337</v>
      </c>
      <c r="F1445" s="31" t="s">
        <v>160</v>
      </c>
      <c r="H1445" s="38">
        <v>0</v>
      </c>
    </row>
    <row r="1446" spans="1:8" x14ac:dyDescent="0.35">
      <c r="A1446" s="19"/>
      <c r="B1446" s="19" t="s">
        <v>22</v>
      </c>
      <c r="C1446" s="37">
        <v>45899</v>
      </c>
      <c r="D1446" s="31">
        <v>34675</v>
      </c>
      <c r="E1446" s="31" t="s">
        <v>370</v>
      </c>
      <c r="F1446" s="31" t="s">
        <v>160</v>
      </c>
      <c r="H1446" s="38">
        <v>0</v>
      </c>
    </row>
    <row r="1447" spans="1:8" x14ac:dyDescent="0.35">
      <c r="A1447" s="19"/>
      <c r="B1447" s="19" t="s">
        <v>22</v>
      </c>
      <c r="C1447" s="37">
        <v>45899</v>
      </c>
      <c r="D1447" s="31" t="s">
        <v>371</v>
      </c>
      <c r="E1447" s="31" t="s">
        <v>176</v>
      </c>
      <c r="F1447" s="31" t="s">
        <v>160</v>
      </c>
      <c r="H1447" s="38">
        <v>0</v>
      </c>
    </row>
    <row r="1448" spans="1:8" x14ac:dyDescent="0.35">
      <c r="A1448" s="19"/>
      <c r="B1448" s="19" t="s">
        <v>22</v>
      </c>
      <c r="C1448" s="37">
        <v>45899</v>
      </c>
      <c r="D1448" s="31" t="s">
        <v>372</v>
      </c>
      <c r="E1448" s="31" t="s">
        <v>176</v>
      </c>
      <c r="F1448" s="31" t="s">
        <v>160</v>
      </c>
      <c r="H1448" s="38">
        <v>0</v>
      </c>
    </row>
    <row r="1449" spans="1:8" x14ac:dyDescent="0.35">
      <c r="A1449" s="19"/>
      <c r="B1449" s="19" t="s">
        <v>22</v>
      </c>
      <c r="C1449" s="37">
        <v>45899</v>
      </c>
      <c r="D1449" s="31" t="s">
        <v>373</v>
      </c>
      <c r="E1449" s="31" t="s">
        <v>176</v>
      </c>
      <c r="F1449" s="31" t="s">
        <v>160</v>
      </c>
      <c r="H1449" s="38">
        <v>0</v>
      </c>
    </row>
    <row r="1450" spans="1:8" x14ac:dyDescent="0.35">
      <c r="A1450" s="19"/>
      <c r="B1450" s="19" t="s">
        <v>22</v>
      </c>
      <c r="C1450" s="37">
        <v>45899</v>
      </c>
      <c r="D1450" s="31" t="s">
        <v>374</v>
      </c>
      <c r="E1450" s="31" t="s">
        <v>176</v>
      </c>
      <c r="F1450" s="31" t="s">
        <v>160</v>
      </c>
      <c r="H1450" s="38">
        <v>0</v>
      </c>
    </row>
    <row r="1451" spans="1:8" x14ac:dyDescent="0.35">
      <c r="A1451" s="19"/>
      <c r="B1451" s="19" t="s">
        <v>22</v>
      </c>
      <c r="C1451" s="37">
        <v>45899</v>
      </c>
      <c r="D1451" s="31" t="s">
        <v>375</v>
      </c>
      <c r="E1451" s="31" t="s">
        <v>176</v>
      </c>
      <c r="F1451" s="31" t="s">
        <v>160</v>
      </c>
      <c r="H1451" s="38">
        <v>0</v>
      </c>
    </row>
    <row r="1452" spans="1:8" x14ac:dyDescent="0.35">
      <c r="A1452" s="19"/>
      <c r="B1452" s="19" t="s">
        <v>22</v>
      </c>
      <c r="C1452" s="37">
        <v>45899</v>
      </c>
      <c r="D1452" s="31" t="s">
        <v>376</v>
      </c>
      <c r="E1452" s="31" t="s">
        <v>176</v>
      </c>
      <c r="F1452" s="31" t="s">
        <v>160</v>
      </c>
      <c r="H1452" s="38">
        <v>0</v>
      </c>
    </row>
    <row r="1453" spans="1:8" x14ac:dyDescent="0.35">
      <c r="A1453" s="19"/>
      <c r="B1453" s="19" t="s">
        <v>22</v>
      </c>
      <c r="C1453" s="37">
        <v>45899</v>
      </c>
      <c r="D1453" s="31" t="s">
        <v>377</v>
      </c>
      <c r="E1453" s="31" t="s">
        <v>176</v>
      </c>
      <c r="F1453" s="31" t="s">
        <v>160</v>
      </c>
      <c r="H1453" s="38">
        <v>0</v>
      </c>
    </row>
    <row r="1454" spans="1:8" x14ac:dyDescent="0.35">
      <c r="A1454" s="19"/>
      <c r="B1454" s="19" t="s">
        <v>22</v>
      </c>
      <c r="C1454" s="37">
        <v>45899</v>
      </c>
      <c r="D1454" s="31" t="s">
        <v>378</v>
      </c>
      <c r="E1454" s="31" t="s">
        <v>176</v>
      </c>
      <c r="F1454" s="31" t="s">
        <v>160</v>
      </c>
      <c r="H1454" s="38">
        <v>0</v>
      </c>
    </row>
    <row r="1455" spans="1:8" x14ac:dyDescent="0.35">
      <c r="A1455" s="19"/>
      <c r="B1455" s="19" t="s">
        <v>22</v>
      </c>
      <c r="C1455" s="37">
        <v>45899</v>
      </c>
      <c r="D1455" s="31" t="s">
        <v>379</v>
      </c>
      <c r="E1455" s="31" t="s">
        <v>176</v>
      </c>
      <c r="F1455" s="31" t="s">
        <v>160</v>
      </c>
      <c r="H1455" s="38">
        <v>0</v>
      </c>
    </row>
    <row r="1456" spans="1:8" x14ac:dyDescent="0.35">
      <c r="A1456" s="19"/>
      <c r="B1456" s="19" t="s">
        <v>22</v>
      </c>
      <c r="C1456" s="37">
        <v>45899</v>
      </c>
      <c r="D1456" s="31" t="s">
        <v>380</v>
      </c>
      <c r="E1456" s="31" t="s">
        <v>381</v>
      </c>
      <c r="F1456" s="31" t="s">
        <v>160</v>
      </c>
      <c r="H1456" s="38">
        <v>0</v>
      </c>
    </row>
    <row r="1457" spans="1:8" x14ac:dyDescent="0.35">
      <c r="A1457" s="19"/>
      <c r="B1457" s="19" t="s">
        <v>22</v>
      </c>
      <c r="C1457" s="37">
        <v>45899</v>
      </c>
      <c r="D1457" s="31" t="s">
        <v>382</v>
      </c>
      <c r="E1457" s="31" t="s">
        <v>383</v>
      </c>
      <c r="F1457" s="31" t="s">
        <v>160</v>
      </c>
      <c r="H1457" s="38">
        <v>0</v>
      </c>
    </row>
    <row r="1458" spans="1:8" x14ac:dyDescent="0.35">
      <c r="A1458" s="19"/>
      <c r="B1458" s="19" t="s">
        <v>22</v>
      </c>
      <c r="C1458" s="37">
        <v>45899</v>
      </c>
      <c r="D1458" s="31" t="s">
        <v>384</v>
      </c>
      <c r="E1458" s="31" t="s">
        <v>50</v>
      </c>
      <c r="F1458" s="31" t="s">
        <v>160</v>
      </c>
      <c r="H1458" s="38">
        <v>0</v>
      </c>
    </row>
    <row r="1459" spans="1:8" x14ac:dyDescent="0.35">
      <c r="A1459" s="19"/>
      <c r="B1459" s="19" t="s">
        <v>22</v>
      </c>
      <c r="C1459" s="37">
        <v>45899</v>
      </c>
      <c r="D1459" s="31" t="s">
        <v>385</v>
      </c>
      <c r="E1459" s="31" t="s">
        <v>50</v>
      </c>
      <c r="F1459" s="31" t="s">
        <v>160</v>
      </c>
      <c r="H1459" s="38">
        <v>0</v>
      </c>
    </row>
    <row r="1460" spans="1:8" x14ac:dyDescent="0.35">
      <c r="A1460" s="19"/>
      <c r="B1460" s="19" t="s">
        <v>22</v>
      </c>
      <c r="C1460" s="37">
        <v>45899</v>
      </c>
      <c r="D1460" s="31" t="s">
        <v>386</v>
      </c>
      <c r="E1460" s="31" t="s">
        <v>387</v>
      </c>
      <c r="F1460" s="31" t="s">
        <v>160</v>
      </c>
      <c r="H1460" s="38">
        <v>0</v>
      </c>
    </row>
    <row r="1461" spans="1:8" x14ac:dyDescent="0.35">
      <c r="A1461" s="19"/>
      <c r="B1461" s="19" t="s">
        <v>22</v>
      </c>
      <c r="C1461" s="37">
        <v>45899</v>
      </c>
      <c r="D1461" s="31" t="s">
        <v>388</v>
      </c>
      <c r="E1461" s="31" t="s">
        <v>387</v>
      </c>
      <c r="F1461" s="31" t="s">
        <v>160</v>
      </c>
      <c r="H1461" s="38">
        <v>0</v>
      </c>
    </row>
    <row r="1462" spans="1:8" x14ac:dyDescent="0.35">
      <c r="A1462" s="19"/>
      <c r="B1462" s="19" t="s">
        <v>22</v>
      </c>
      <c r="C1462" s="37">
        <v>45899</v>
      </c>
      <c r="D1462" s="31" t="s">
        <v>389</v>
      </c>
      <c r="E1462" s="31" t="s">
        <v>387</v>
      </c>
      <c r="F1462" s="31" t="s">
        <v>160</v>
      </c>
      <c r="H1462" s="38">
        <v>0</v>
      </c>
    </row>
    <row r="1463" spans="1:8" x14ac:dyDescent="0.35">
      <c r="A1463" s="19"/>
      <c r="B1463" s="19" t="s">
        <v>22</v>
      </c>
      <c r="C1463" s="37">
        <v>45899</v>
      </c>
      <c r="D1463" s="31" t="s">
        <v>390</v>
      </c>
      <c r="E1463" s="31" t="s">
        <v>391</v>
      </c>
      <c r="F1463" s="31" t="s">
        <v>160</v>
      </c>
      <c r="H1463" s="38">
        <v>0</v>
      </c>
    </row>
    <row r="1464" spans="1:8" x14ac:dyDescent="0.35">
      <c r="A1464" s="19"/>
      <c r="B1464" s="19" t="s">
        <v>22</v>
      </c>
      <c r="C1464" s="37">
        <v>45899</v>
      </c>
      <c r="D1464" s="31" t="s">
        <v>392</v>
      </c>
      <c r="E1464" s="31" t="s">
        <v>349</v>
      </c>
      <c r="F1464" s="31" t="s">
        <v>160</v>
      </c>
      <c r="H1464" s="38">
        <v>0</v>
      </c>
    </row>
    <row r="1465" spans="1:8" x14ac:dyDescent="0.35">
      <c r="A1465" s="19"/>
      <c r="B1465" s="19" t="s">
        <v>22</v>
      </c>
      <c r="C1465" s="37">
        <v>45899</v>
      </c>
      <c r="D1465" s="31" t="s">
        <v>393</v>
      </c>
      <c r="E1465" s="31" t="s">
        <v>349</v>
      </c>
      <c r="F1465" s="31" t="s">
        <v>160</v>
      </c>
      <c r="H1465" s="38">
        <v>0</v>
      </c>
    </row>
    <row r="1466" spans="1:8" x14ac:dyDescent="0.35">
      <c r="A1466" s="19"/>
      <c r="B1466" s="19" t="s">
        <v>22</v>
      </c>
      <c r="C1466" s="37">
        <v>45899</v>
      </c>
      <c r="D1466" s="31" t="s">
        <v>394</v>
      </c>
      <c r="E1466" s="31" t="s">
        <v>395</v>
      </c>
      <c r="F1466" s="31" t="s">
        <v>160</v>
      </c>
      <c r="H1466" s="38">
        <v>0</v>
      </c>
    </row>
    <row r="1467" spans="1:8" x14ac:dyDescent="0.35">
      <c r="A1467" s="19"/>
      <c r="B1467" s="19" t="s">
        <v>22</v>
      </c>
      <c r="C1467" s="37">
        <v>45899</v>
      </c>
      <c r="D1467" s="31" t="s">
        <v>396</v>
      </c>
      <c r="E1467" s="31" t="s">
        <v>395</v>
      </c>
      <c r="F1467" s="31" t="s">
        <v>160</v>
      </c>
      <c r="H1467" s="38">
        <v>0</v>
      </c>
    </row>
    <row r="1468" spans="1:8" x14ac:dyDescent="0.35">
      <c r="A1468" s="19"/>
      <c r="B1468" s="19" t="s">
        <v>22</v>
      </c>
      <c r="C1468" s="37">
        <v>45899</v>
      </c>
      <c r="D1468" s="31">
        <v>34959</v>
      </c>
      <c r="E1468" s="31" t="s">
        <v>276</v>
      </c>
      <c r="F1468" s="31" t="s">
        <v>160</v>
      </c>
      <c r="H1468" s="38">
        <v>0</v>
      </c>
    </row>
    <row r="1469" spans="1:8" x14ac:dyDescent="0.35">
      <c r="A1469" s="19"/>
      <c r="B1469" s="19" t="s">
        <v>22</v>
      </c>
      <c r="C1469" s="37">
        <v>45899</v>
      </c>
      <c r="D1469" s="31" t="s">
        <v>397</v>
      </c>
      <c r="E1469" s="31" t="s">
        <v>48</v>
      </c>
      <c r="F1469" s="31" t="s">
        <v>160</v>
      </c>
      <c r="H1469" s="38">
        <v>0</v>
      </c>
    </row>
    <row r="1470" spans="1:8" x14ac:dyDescent="0.35">
      <c r="A1470" s="19"/>
      <c r="B1470" s="19" t="s">
        <v>22</v>
      </c>
      <c r="C1470" s="37">
        <v>45899</v>
      </c>
      <c r="D1470" s="31" t="s">
        <v>398</v>
      </c>
      <c r="E1470" s="31" t="s">
        <v>343</v>
      </c>
      <c r="F1470" s="31" t="s">
        <v>160</v>
      </c>
      <c r="H1470" s="38">
        <v>0</v>
      </c>
    </row>
    <row r="1471" spans="1:8" x14ac:dyDescent="0.35">
      <c r="A1471" s="19"/>
      <c r="B1471" s="19" t="s">
        <v>22</v>
      </c>
      <c r="C1471" s="37">
        <v>45899</v>
      </c>
      <c r="D1471" s="31" t="s">
        <v>399</v>
      </c>
      <c r="E1471" s="31" t="s">
        <v>400</v>
      </c>
      <c r="F1471" s="31" t="s">
        <v>160</v>
      </c>
      <c r="H1471" s="38">
        <v>0</v>
      </c>
    </row>
    <row r="1472" spans="1:8" x14ac:dyDescent="0.35">
      <c r="A1472" s="19"/>
      <c r="B1472" s="19" t="s">
        <v>22</v>
      </c>
      <c r="C1472" s="37">
        <v>45899</v>
      </c>
      <c r="D1472" s="31" t="s">
        <v>401</v>
      </c>
      <c r="E1472" s="31" t="s">
        <v>343</v>
      </c>
      <c r="F1472" s="31" t="s">
        <v>160</v>
      </c>
      <c r="H1472" s="38">
        <v>0</v>
      </c>
    </row>
    <row r="1473" spans="1:8" x14ac:dyDescent="0.35">
      <c r="A1473" s="19"/>
      <c r="B1473" s="19" t="s">
        <v>22</v>
      </c>
      <c r="C1473" s="37">
        <v>45899</v>
      </c>
      <c r="D1473" s="31" t="s">
        <v>402</v>
      </c>
      <c r="E1473" s="31" t="s">
        <v>343</v>
      </c>
      <c r="F1473" s="31" t="s">
        <v>160</v>
      </c>
      <c r="H1473" s="38">
        <v>0</v>
      </c>
    </row>
    <row r="1474" spans="1:8" x14ac:dyDescent="0.35">
      <c r="A1474" s="19"/>
      <c r="B1474" s="19" t="s">
        <v>22</v>
      </c>
      <c r="C1474" s="37">
        <v>45899</v>
      </c>
      <c r="D1474" s="31" t="s">
        <v>403</v>
      </c>
      <c r="E1474" s="31" t="s">
        <v>115</v>
      </c>
      <c r="F1474" s="31" t="s">
        <v>160</v>
      </c>
      <c r="H1474" s="38">
        <v>0</v>
      </c>
    </row>
    <row r="1475" spans="1:8" x14ac:dyDescent="0.35">
      <c r="A1475" s="19"/>
      <c r="B1475" s="19" t="s">
        <v>22</v>
      </c>
      <c r="C1475" s="37">
        <v>45899</v>
      </c>
      <c r="D1475" s="31" t="s">
        <v>404</v>
      </c>
      <c r="E1475" s="31" t="s">
        <v>405</v>
      </c>
      <c r="F1475" s="31" t="s">
        <v>160</v>
      </c>
      <c r="H1475" s="38">
        <v>0</v>
      </c>
    </row>
    <row r="1476" spans="1:8" x14ac:dyDescent="0.35">
      <c r="A1476" s="19"/>
      <c r="B1476" s="19" t="s">
        <v>22</v>
      </c>
      <c r="C1476" s="37">
        <v>45899</v>
      </c>
      <c r="D1476" s="31" t="s">
        <v>406</v>
      </c>
      <c r="E1476" s="31" t="s">
        <v>405</v>
      </c>
      <c r="F1476" s="31" t="s">
        <v>160</v>
      </c>
      <c r="H1476" s="38">
        <v>0</v>
      </c>
    </row>
    <row r="1477" spans="1:8" x14ac:dyDescent="0.35">
      <c r="A1477" s="19"/>
      <c r="B1477" s="19" t="s">
        <v>22</v>
      </c>
      <c r="C1477" s="37">
        <v>45899</v>
      </c>
      <c r="D1477" s="31" t="s">
        <v>407</v>
      </c>
      <c r="E1477" s="31" t="s">
        <v>408</v>
      </c>
      <c r="F1477" s="31" t="s">
        <v>160</v>
      </c>
      <c r="H1477" s="38">
        <v>0</v>
      </c>
    </row>
    <row r="1478" spans="1:8" x14ac:dyDescent="0.35">
      <c r="A1478" s="19"/>
      <c r="B1478" s="19" t="s">
        <v>22</v>
      </c>
      <c r="C1478" s="37">
        <v>45899</v>
      </c>
      <c r="D1478" s="31" t="s">
        <v>409</v>
      </c>
      <c r="E1478" s="31" t="s">
        <v>410</v>
      </c>
      <c r="F1478" s="31" t="s">
        <v>160</v>
      </c>
      <c r="H1478" s="38">
        <v>267.47000000000003</v>
      </c>
    </row>
    <row r="1479" spans="1:8" x14ac:dyDescent="0.35">
      <c r="A1479" s="19"/>
      <c r="B1479" s="19" t="s">
        <v>22</v>
      </c>
      <c r="C1479" s="37">
        <v>45899</v>
      </c>
      <c r="D1479" s="31" t="s">
        <v>411</v>
      </c>
      <c r="E1479" s="31" t="s">
        <v>412</v>
      </c>
      <c r="F1479" s="31" t="s">
        <v>160</v>
      </c>
      <c r="H1479" s="38">
        <v>0</v>
      </c>
    </row>
    <row r="1480" spans="1:8" x14ac:dyDescent="0.35">
      <c r="A1480" s="19"/>
      <c r="B1480" s="19" t="s">
        <v>22</v>
      </c>
      <c r="C1480" s="37">
        <v>45899</v>
      </c>
      <c r="D1480" s="31" t="s">
        <v>413</v>
      </c>
      <c r="E1480" s="31" t="s">
        <v>414</v>
      </c>
      <c r="F1480" s="31" t="s">
        <v>160</v>
      </c>
      <c r="H1480" s="38">
        <v>0</v>
      </c>
    </row>
    <row r="1481" spans="1:8" x14ac:dyDescent="0.35">
      <c r="A1481" s="19"/>
      <c r="B1481" s="19" t="s">
        <v>22</v>
      </c>
      <c r="C1481" s="37">
        <v>45899</v>
      </c>
      <c r="D1481" s="31" t="s">
        <v>415</v>
      </c>
      <c r="E1481" s="31" t="s">
        <v>416</v>
      </c>
      <c r="F1481" s="31" t="s">
        <v>160</v>
      </c>
      <c r="H1481" s="38">
        <v>0</v>
      </c>
    </row>
    <row r="1482" spans="1:8" x14ac:dyDescent="0.35">
      <c r="A1482" s="19"/>
      <c r="B1482" s="19" t="s">
        <v>22</v>
      </c>
      <c r="C1482" s="37">
        <v>45899</v>
      </c>
      <c r="D1482" s="31" t="s">
        <v>417</v>
      </c>
      <c r="E1482" s="31" t="s">
        <v>418</v>
      </c>
      <c r="F1482" s="31" t="s">
        <v>160</v>
      </c>
      <c r="H1482" s="38">
        <v>0</v>
      </c>
    </row>
    <row r="1483" spans="1:8" x14ac:dyDescent="0.35">
      <c r="A1483" s="19"/>
      <c r="B1483" s="19" t="s">
        <v>22</v>
      </c>
      <c r="C1483" s="37">
        <v>45899</v>
      </c>
      <c r="D1483" s="31" t="s">
        <v>419</v>
      </c>
      <c r="E1483" s="31" t="s">
        <v>125</v>
      </c>
      <c r="F1483" s="31" t="s">
        <v>160</v>
      </c>
      <c r="H1483" s="38">
        <v>0</v>
      </c>
    </row>
    <row r="1484" spans="1:8" x14ac:dyDescent="0.35">
      <c r="A1484" s="19"/>
      <c r="B1484" s="19" t="s">
        <v>22</v>
      </c>
      <c r="C1484" s="37">
        <v>45899</v>
      </c>
      <c r="D1484" s="31" t="s">
        <v>420</v>
      </c>
      <c r="E1484" s="31" t="s">
        <v>125</v>
      </c>
      <c r="F1484" s="31" t="s">
        <v>160</v>
      </c>
      <c r="H1484" s="38">
        <v>0</v>
      </c>
    </row>
    <row r="1485" spans="1:8" x14ac:dyDescent="0.35">
      <c r="A1485" s="19"/>
      <c r="B1485" s="19" t="s">
        <v>22</v>
      </c>
      <c r="C1485" s="37">
        <v>45899</v>
      </c>
      <c r="D1485" s="31" t="s">
        <v>421</v>
      </c>
      <c r="E1485" s="31" t="s">
        <v>125</v>
      </c>
      <c r="F1485" s="31" t="s">
        <v>160</v>
      </c>
      <c r="H1485" s="38">
        <v>10.48</v>
      </c>
    </row>
    <row r="1486" spans="1:8" x14ac:dyDescent="0.35">
      <c r="A1486" s="19"/>
      <c r="B1486" s="19" t="s">
        <v>22</v>
      </c>
      <c r="C1486" s="37">
        <v>45899</v>
      </c>
      <c r="D1486" s="31" t="s">
        <v>422</v>
      </c>
      <c r="E1486" s="31" t="s">
        <v>125</v>
      </c>
      <c r="F1486" s="31" t="s">
        <v>160</v>
      </c>
      <c r="H1486" s="38">
        <v>0</v>
      </c>
    </row>
    <row r="1487" spans="1:8" x14ac:dyDescent="0.35">
      <c r="A1487" s="19"/>
      <c r="B1487" s="19" t="s">
        <v>22</v>
      </c>
      <c r="C1487" s="37">
        <v>45899</v>
      </c>
      <c r="D1487" s="31" t="s">
        <v>423</v>
      </c>
      <c r="E1487" s="31" t="s">
        <v>125</v>
      </c>
      <c r="F1487" s="31" t="s">
        <v>160</v>
      </c>
      <c r="H1487" s="38">
        <v>0</v>
      </c>
    </row>
    <row r="1488" spans="1:8" x14ac:dyDescent="0.35">
      <c r="A1488" s="19"/>
      <c r="B1488" s="19" t="s">
        <v>22</v>
      </c>
      <c r="C1488" s="37">
        <v>45899</v>
      </c>
      <c r="D1488" s="31" t="s">
        <v>424</v>
      </c>
      <c r="E1488" s="31" t="s">
        <v>125</v>
      </c>
      <c r="F1488" s="31" t="s">
        <v>160</v>
      </c>
      <c r="H1488" s="38">
        <v>0</v>
      </c>
    </row>
    <row r="1489" spans="1:8" x14ac:dyDescent="0.35">
      <c r="A1489" s="19"/>
      <c r="B1489" s="19" t="s">
        <v>22</v>
      </c>
      <c r="C1489" s="37">
        <v>45899</v>
      </c>
      <c r="D1489" s="31" t="s">
        <v>425</v>
      </c>
      <c r="E1489" s="31" t="s">
        <v>50</v>
      </c>
      <c r="F1489" s="31" t="s">
        <v>160</v>
      </c>
      <c r="H1489" s="38">
        <v>0</v>
      </c>
    </row>
    <row r="1490" spans="1:8" x14ac:dyDescent="0.35">
      <c r="A1490" s="19"/>
      <c r="B1490" s="19" t="s">
        <v>22</v>
      </c>
      <c r="C1490" s="37">
        <v>45899</v>
      </c>
      <c r="D1490" s="31" t="s">
        <v>426</v>
      </c>
      <c r="E1490" s="31" t="s">
        <v>50</v>
      </c>
      <c r="F1490" s="31" t="s">
        <v>160</v>
      </c>
      <c r="H1490" s="38">
        <v>0</v>
      </c>
    </row>
    <row r="1491" spans="1:8" x14ac:dyDescent="0.35">
      <c r="A1491" s="19"/>
      <c r="B1491" s="19" t="s">
        <v>22</v>
      </c>
      <c r="C1491" s="37">
        <v>45899</v>
      </c>
      <c r="D1491" s="31" t="s">
        <v>427</v>
      </c>
      <c r="E1491" s="31" t="s">
        <v>349</v>
      </c>
      <c r="F1491" s="31" t="s">
        <v>160</v>
      </c>
      <c r="H1491" s="38">
        <v>2201.64</v>
      </c>
    </row>
    <row r="1492" spans="1:8" x14ac:dyDescent="0.35">
      <c r="A1492" s="19"/>
      <c r="B1492" s="19" t="s">
        <v>22</v>
      </c>
      <c r="C1492" s="37">
        <v>45899</v>
      </c>
      <c r="D1492" s="31" t="s">
        <v>428</v>
      </c>
      <c r="E1492" s="31" t="s">
        <v>137</v>
      </c>
      <c r="F1492" s="31" t="s">
        <v>160</v>
      </c>
      <c r="H1492" s="38">
        <v>0</v>
      </c>
    </row>
    <row r="1493" spans="1:8" x14ac:dyDescent="0.35">
      <c r="A1493" s="19"/>
      <c r="B1493" s="19" t="s">
        <v>22</v>
      </c>
      <c r="C1493" s="37">
        <v>45899</v>
      </c>
      <c r="D1493" s="31" t="s">
        <v>429</v>
      </c>
      <c r="E1493" s="31" t="s">
        <v>134</v>
      </c>
      <c r="F1493" s="31" t="s">
        <v>160</v>
      </c>
      <c r="H1493" s="38">
        <v>0</v>
      </c>
    </row>
    <row r="1494" spans="1:8" x14ac:dyDescent="0.35">
      <c r="A1494" s="19"/>
      <c r="B1494" s="19" t="s">
        <v>22</v>
      </c>
      <c r="C1494" s="37">
        <v>45899</v>
      </c>
      <c r="D1494" s="31" t="s">
        <v>430</v>
      </c>
      <c r="E1494" s="31" t="s">
        <v>134</v>
      </c>
      <c r="F1494" s="31" t="s">
        <v>160</v>
      </c>
      <c r="H1494" s="38">
        <v>0</v>
      </c>
    </row>
    <row r="1495" spans="1:8" x14ac:dyDescent="0.35">
      <c r="A1495" s="19"/>
      <c r="B1495" s="19" t="s">
        <v>22</v>
      </c>
      <c r="C1495" s="37">
        <v>45899</v>
      </c>
      <c r="D1495" s="31" t="s">
        <v>431</v>
      </c>
      <c r="E1495" s="31" t="s">
        <v>432</v>
      </c>
      <c r="F1495" s="31" t="s">
        <v>160</v>
      </c>
      <c r="H1495" s="38">
        <v>0</v>
      </c>
    </row>
    <row r="1496" spans="1:8" x14ac:dyDescent="0.35">
      <c r="A1496" s="19"/>
      <c r="B1496" s="19" t="s">
        <v>22</v>
      </c>
      <c r="C1496" s="37">
        <v>45899</v>
      </c>
      <c r="D1496" s="31" t="s">
        <v>433</v>
      </c>
      <c r="E1496" s="31" t="s">
        <v>432</v>
      </c>
      <c r="F1496" s="31" t="s">
        <v>160</v>
      </c>
      <c r="H1496" s="38">
        <v>0</v>
      </c>
    </row>
    <row r="1497" spans="1:8" x14ac:dyDescent="0.35">
      <c r="A1497" s="19"/>
      <c r="B1497" s="19" t="s">
        <v>22</v>
      </c>
      <c r="C1497" s="37">
        <v>45899</v>
      </c>
      <c r="D1497" s="31" t="s">
        <v>434</v>
      </c>
      <c r="E1497" s="31" t="s">
        <v>432</v>
      </c>
      <c r="F1497" s="31" t="s">
        <v>160</v>
      </c>
      <c r="H1497" s="38">
        <v>0</v>
      </c>
    </row>
    <row r="1498" spans="1:8" x14ac:dyDescent="0.35">
      <c r="A1498" s="19"/>
      <c r="B1498" s="19" t="s">
        <v>22</v>
      </c>
      <c r="C1498" s="37">
        <v>45899</v>
      </c>
      <c r="D1498" s="31" t="s">
        <v>435</v>
      </c>
      <c r="E1498" s="31" t="s">
        <v>137</v>
      </c>
      <c r="F1498" s="31" t="s">
        <v>160</v>
      </c>
      <c r="H1498" s="38">
        <v>0</v>
      </c>
    </row>
    <row r="1499" spans="1:8" x14ac:dyDescent="0.35">
      <c r="A1499" s="19"/>
      <c r="B1499" s="19" t="s">
        <v>22</v>
      </c>
      <c r="C1499" s="37">
        <v>45899</v>
      </c>
      <c r="D1499" s="31" t="s">
        <v>436</v>
      </c>
      <c r="E1499" s="31" t="s">
        <v>137</v>
      </c>
      <c r="F1499" s="31" t="s">
        <v>160</v>
      </c>
      <c r="H1499" s="38">
        <v>0</v>
      </c>
    </row>
    <row r="1500" spans="1:8" x14ac:dyDescent="0.35">
      <c r="A1500" s="19"/>
      <c r="B1500" s="19" t="s">
        <v>22</v>
      </c>
      <c r="C1500" s="37">
        <v>45899</v>
      </c>
      <c r="D1500" s="31" t="s">
        <v>437</v>
      </c>
      <c r="E1500" s="31" t="s">
        <v>438</v>
      </c>
      <c r="F1500" s="31" t="s">
        <v>160</v>
      </c>
      <c r="H1500" s="38">
        <v>0</v>
      </c>
    </row>
    <row r="1501" spans="1:8" x14ac:dyDescent="0.35">
      <c r="A1501" s="19"/>
      <c r="B1501" s="19" t="s">
        <v>22</v>
      </c>
      <c r="C1501" s="37">
        <v>45899</v>
      </c>
      <c r="D1501" s="31" t="s">
        <v>439</v>
      </c>
      <c r="E1501" s="31" t="s">
        <v>438</v>
      </c>
      <c r="F1501" s="31" t="s">
        <v>160</v>
      </c>
      <c r="H1501" s="38">
        <v>0</v>
      </c>
    </row>
    <row r="1502" spans="1:8" x14ac:dyDescent="0.35">
      <c r="A1502" s="19"/>
      <c r="B1502" s="19" t="s">
        <v>22</v>
      </c>
      <c r="C1502" s="37">
        <v>45899</v>
      </c>
      <c r="D1502" s="31" t="s">
        <v>440</v>
      </c>
      <c r="E1502" s="31" t="s">
        <v>80</v>
      </c>
      <c r="F1502" s="31" t="s">
        <v>160</v>
      </c>
      <c r="H1502" s="38">
        <v>0</v>
      </c>
    </row>
    <row r="1503" spans="1:8" x14ac:dyDescent="0.35">
      <c r="A1503" s="19"/>
      <c r="B1503" s="19" t="s">
        <v>22</v>
      </c>
      <c r="C1503" s="37">
        <v>45899</v>
      </c>
      <c r="D1503" s="31" t="s">
        <v>441</v>
      </c>
      <c r="E1503" s="31" t="s">
        <v>80</v>
      </c>
      <c r="F1503" s="31" t="s">
        <v>160</v>
      </c>
      <c r="H1503" s="38">
        <v>0</v>
      </c>
    </row>
    <row r="1504" spans="1:8" x14ac:dyDescent="0.35">
      <c r="A1504" s="19"/>
      <c r="B1504" s="19" t="s">
        <v>22</v>
      </c>
      <c r="C1504" s="37">
        <v>45899</v>
      </c>
      <c r="D1504" s="31" t="s">
        <v>442</v>
      </c>
      <c r="E1504" s="31" t="s">
        <v>80</v>
      </c>
      <c r="F1504" s="31" t="s">
        <v>160</v>
      </c>
      <c r="H1504" s="38">
        <v>0</v>
      </c>
    </row>
    <row r="1505" spans="1:8" x14ac:dyDescent="0.35">
      <c r="A1505" s="19"/>
      <c r="B1505" s="19" t="s">
        <v>22</v>
      </c>
      <c r="C1505" s="37">
        <v>45899</v>
      </c>
      <c r="D1505" s="31" t="s">
        <v>443</v>
      </c>
      <c r="E1505" s="31" t="s">
        <v>80</v>
      </c>
      <c r="F1505" s="31" t="s">
        <v>160</v>
      </c>
      <c r="H1505" s="38">
        <v>0</v>
      </c>
    </row>
    <row r="1506" spans="1:8" x14ac:dyDescent="0.35">
      <c r="A1506" s="19"/>
      <c r="B1506" s="19" t="s">
        <v>22</v>
      </c>
      <c r="C1506" s="37">
        <v>45899</v>
      </c>
      <c r="D1506" s="31" t="s">
        <v>444</v>
      </c>
      <c r="E1506" s="31" t="s">
        <v>80</v>
      </c>
      <c r="F1506" s="31" t="s">
        <v>160</v>
      </c>
      <c r="H1506" s="38">
        <v>0</v>
      </c>
    </row>
    <row r="1507" spans="1:8" x14ac:dyDescent="0.35">
      <c r="A1507" s="19"/>
      <c r="B1507" s="19" t="s">
        <v>22</v>
      </c>
      <c r="C1507" s="37">
        <v>45899</v>
      </c>
      <c r="D1507" s="31" t="s">
        <v>445</v>
      </c>
      <c r="E1507" s="31" t="s">
        <v>80</v>
      </c>
      <c r="F1507" s="31" t="s">
        <v>160</v>
      </c>
      <c r="H1507" s="38">
        <v>0</v>
      </c>
    </row>
    <row r="1508" spans="1:8" x14ac:dyDescent="0.35">
      <c r="A1508" s="19"/>
      <c r="B1508" s="19" t="s">
        <v>22</v>
      </c>
      <c r="C1508" s="37">
        <v>45899</v>
      </c>
      <c r="D1508" s="31" t="s">
        <v>446</v>
      </c>
      <c r="E1508" s="31" t="s">
        <v>447</v>
      </c>
      <c r="F1508" s="31" t="s">
        <v>160</v>
      </c>
      <c r="H1508" s="38">
        <v>0</v>
      </c>
    </row>
    <row r="1509" spans="1:8" x14ac:dyDescent="0.35">
      <c r="A1509" s="19"/>
      <c r="B1509" s="19" t="s">
        <v>22</v>
      </c>
      <c r="C1509" s="37">
        <v>45899</v>
      </c>
      <c r="D1509" s="31" t="s">
        <v>448</v>
      </c>
      <c r="E1509" s="31" t="s">
        <v>449</v>
      </c>
      <c r="F1509" s="31" t="s">
        <v>160</v>
      </c>
      <c r="H1509" s="38">
        <v>0</v>
      </c>
    </row>
    <row r="1510" spans="1:8" x14ac:dyDescent="0.35">
      <c r="A1510" s="19"/>
      <c r="B1510" s="19" t="s">
        <v>22</v>
      </c>
      <c r="C1510" s="37">
        <v>45899</v>
      </c>
      <c r="D1510" s="31" t="s">
        <v>450</v>
      </c>
      <c r="E1510" s="31" t="s">
        <v>449</v>
      </c>
      <c r="F1510" s="31" t="s">
        <v>160</v>
      </c>
      <c r="H1510" s="38">
        <v>0</v>
      </c>
    </row>
    <row r="1511" spans="1:8" x14ac:dyDescent="0.35">
      <c r="A1511" s="19"/>
      <c r="B1511" s="19" t="s">
        <v>22</v>
      </c>
      <c r="C1511" s="37">
        <v>45899</v>
      </c>
      <c r="D1511" s="31" t="s">
        <v>451</v>
      </c>
      <c r="E1511" s="31" t="s">
        <v>263</v>
      </c>
      <c r="F1511" s="31" t="s">
        <v>160</v>
      </c>
      <c r="H1511" s="38">
        <v>0</v>
      </c>
    </row>
    <row r="1512" spans="1:8" x14ac:dyDescent="0.35">
      <c r="A1512" s="19"/>
      <c r="B1512" s="19" t="s">
        <v>22</v>
      </c>
      <c r="C1512" s="37">
        <v>45899</v>
      </c>
      <c r="D1512" s="31" t="s">
        <v>452</v>
      </c>
      <c r="E1512" s="31" t="s">
        <v>453</v>
      </c>
      <c r="F1512" s="31" t="s">
        <v>160</v>
      </c>
      <c r="H1512" s="38">
        <v>0</v>
      </c>
    </row>
    <row r="1513" spans="1:8" x14ac:dyDescent="0.35">
      <c r="A1513" s="19"/>
      <c r="B1513" s="19" t="s">
        <v>22</v>
      </c>
      <c r="C1513" s="37">
        <v>45899</v>
      </c>
      <c r="D1513" s="31" t="s">
        <v>454</v>
      </c>
      <c r="E1513" s="31" t="s">
        <v>134</v>
      </c>
      <c r="F1513" s="31" t="s">
        <v>160</v>
      </c>
      <c r="H1513" s="38">
        <v>0</v>
      </c>
    </row>
    <row r="1514" spans="1:8" x14ac:dyDescent="0.35">
      <c r="A1514" s="19"/>
      <c r="B1514" s="19" t="s">
        <v>22</v>
      </c>
      <c r="C1514" s="37">
        <v>45899</v>
      </c>
      <c r="D1514" s="31" t="s">
        <v>455</v>
      </c>
      <c r="E1514" s="31" t="s">
        <v>134</v>
      </c>
      <c r="F1514" s="31" t="s">
        <v>160</v>
      </c>
      <c r="H1514" s="38">
        <v>0</v>
      </c>
    </row>
    <row r="1515" spans="1:8" x14ac:dyDescent="0.35">
      <c r="A1515" s="19"/>
      <c r="B1515" s="19" t="s">
        <v>22</v>
      </c>
      <c r="C1515" s="37">
        <v>45899</v>
      </c>
      <c r="D1515" s="31" t="s">
        <v>456</v>
      </c>
      <c r="E1515" s="31" t="s">
        <v>134</v>
      </c>
      <c r="F1515" s="31" t="s">
        <v>160</v>
      </c>
      <c r="H1515" s="38">
        <v>0</v>
      </c>
    </row>
    <row r="1516" spans="1:8" x14ac:dyDescent="0.35">
      <c r="A1516" s="19"/>
      <c r="B1516" s="19" t="s">
        <v>22</v>
      </c>
      <c r="C1516" s="37">
        <v>45899</v>
      </c>
      <c r="D1516" s="31" t="s">
        <v>457</v>
      </c>
      <c r="E1516" s="31" t="s">
        <v>134</v>
      </c>
      <c r="F1516" s="31" t="s">
        <v>160</v>
      </c>
      <c r="H1516" s="38">
        <v>7.63</v>
      </c>
    </row>
    <row r="1517" spans="1:8" x14ac:dyDescent="0.35">
      <c r="A1517" s="19"/>
      <c r="B1517" s="19" t="s">
        <v>22</v>
      </c>
      <c r="C1517" s="37">
        <v>45899</v>
      </c>
      <c r="D1517" s="31" t="s">
        <v>458</v>
      </c>
      <c r="E1517" s="31" t="s">
        <v>134</v>
      </c>
      <c r="F1517" s="31" t="s">
        <v>160</v>
      </c>
      <c r="H1517" s="38">
        <v>0</v>
      </c>
    </row>
    <row r="1518" spans="1:8" x14ac:dyDescent="0.35">
      <c r="A1518" s="19"/>
      <c r="B1518" s="19" t="s">
        <v>22</v>
      </c>
      <c r="C1518" s="37">
        <v>45899</v>
      </c>
      <c r="D1518" s="31" t="s">
        <v>459</v>
      </c>
      <c r="E1518" s="31" t="s">
        <v>134</v>
      </c>
      <c r="F1518" s="31" t="s">
        <v>160</v>
      </c>
      <c r="H1518" s="38">
        <v>0</v>
      </c>
    </row>
    <row r="1519" spans="1:8" x14ac:dyDescent="0.35">
      <c r="A1519" s="19"/>
      <c r="B1519" s="19" t="s">
        <v>22</v>
      </c>
      <c r="C1519" s="37">
        <v>45899</v>
      </c>
      <c r="D1519" s="31" t="s">
        <v>460</v>
      </c>
      <c r="E1519" s="31" t="s">
        <v>134</v>
      </c>
      <c r="F1519" s="31" t="s">
        <v>160</v>
      </c>
      <c r="H1519" s="38">
        <v>0</v>
      </c>
    </row>
    <row r="1520" spans="1:8" x14ac:dyDescent="0.35">
      <c r="A1520" s="19"/>
      <c r="B1520" s="19" t="s">
        <v>22</v>
      </c>
      <c r="C1520" s="37">
        <v>45899</v>
      </c>
      <c r="D1520" s="31" t="s">
        <v>461</v>
      </c>
      <c r="E1520" s="31" t="s">
        <v>134</v>
      </c>
      <c r="F1520" s="31" t="s">
        <v>160</v>
      </c>
      <c r="H1520" s="38">
        <v>0</v>
      </c>
    </row>
    <row r="1521" spans="1:8" x14ac:dyDescent="0.35">
      <c r="A1521" s="19"/>
      <c r="B1521" s="19" t="s">
        <v>22</v>
      </c>
      <c r="C1521" s="37">
        <v>45899</v>
      </c>
      <c r="D1521" s="31" t="s">
        <v>462</v>
      </c>
      <c r="E1521" s="31" t="s">
        <v>134</v>
      </c>
      <c r="F1521" s="31" t="s">
        <v>160</v>
      </c>
      <c r="H1521" s="38">
        <v>0</v>
      </c>
    </row>
    <row r="1522" spans="1:8" x14ac:dyDescent="0.35">
      <c r="A1522" s="19"/>
      <c r="B1522" s="19" t="s">
        <v>22</v>
      </c>
      <c r="C1522" s="37">
        <v>45899</v>
      </c>
      <c r="D1522" s="31" t="s">
        <v>463</v>
      </c>
      <c r="E1522" s="31" t="s">
        <v>464</v>
      </c>
      <c r="F1522" s="31" t="s">
        <v>160</v>
      </c>
      <c r="H1522" s="38">
        <v>0</v>
      </c>
    </row>
    <row r="1523" spans="1:8" x14ac:dyDescent="0.35">
      <c r="A1523" s="19"/>
      <c r="B1523" s="19" t="s">
        <v>22</v>
      </c>
      <c r="C1523" s="37">
        <v>45899</v>
      </c>
      <c r="D1523" s="31" t="s">
        <v>465</v>
      </c>
      <c r="E1523" s="31" t="s">
        <v>284</v>
      </c>
      <c r="F1523" s="31" t="s">
        <v>160</v>
      </c>
      <c r="H1523" s="38">
        <v>0</v>
      </c>
    </row>
    <row r="1524" spans="1:8" x14ac:dyDescent="0.35">
      <c r="A1524" s="19"/>
      <c r="B1524" s="19" t="s">
        <v>22</v>
      </c>
      <c r="C1524" s="37">
        <v>45899</v>
      </c>
      <c r="D1524" s="31" t="s">
        <v>466</v>
      </c>
      <c r="E1524" s="31" t="s">
        <v>284</v>
      </c>
      <c r="F1524" s="31" t="s">
        <v>160</v>
      </c>
      <c r="H1524" s="38">
        <v>0</v>
      </c>
    </row>
    <row r="1525" spans="1:8" x14ac:dyDescent="0.35">
      <c r="A1525" s="19"/>
      <c r="B1525" s="19" t="s">
        <v>22</v>
      </c>
      <c r="C1525" s="37">
        <v>45899</v>
      </c>
      <c r="D1525" s="31" t="s">
        <v>467</v>
      </c>
      <c r="E1525" s="31" t="s">
        <v>284</v>
      </c>
      <c r="F1525" s="31" t="s">
        <v>160</v>
      </c>
      <c r="H1525" s="38">
        <v>0</v>
      </c>
    </row>
    <row r="1526" spans="1:8" x14ac:dyDescent="0.35">
      <c r="A1526" s="19"/>
      <c r="B1526" s="19" t="s">
        <v>22</v>
      </c>
      <c r="C1526" s="37">
        <v>45899</v>
      </c>
      <c r="D1526" s="31" t="s">
        <v>468</v>
      </c>
      <c r="E1526" s="31" t="s">
        <v>284</v>
      </c>
      <c r="F1526" s="31" t="s">
        <v>160</v>
      </c>
      <c r="H1526" s="38">
        <v>0</v>
      </c>
    </row>
    <row r="1527" spans="1:8" x14ac:dyDescent="0.35">
      <c r="A1527" s="19"/>
      <c r="B1527" s="19" t="s">
        <v>22</v>
      </c>
      <c r="C1527" s="37">
        <v>45899</v>
      </c>
      <c r="D1527" s="31" t="s">
        <v>469</v>
      </c>
      <c r="E1527" s="31" t="s">
        <v>284</v>
      </c>
      <c r="F1527" s="31" t="s">
        <v>160</v>
      </c>
      <c r="H1527" s="38">
        <v>0</v>
      </c>
    </row>
    <row r="1528" spans="1:8" x14ac:dyDescent="0.35">
      <c r="A1528" s="19"/>
      <c r="B1528" s="19" t="s">
        <v>22</v>
      </c>
      <c r="C1528" s="37">
        <v>45899</v>
      </c>
      <c r="D1528" s="31" t="s">
        <v>470</v>
      </c>
      <c r="E1528" s="31" t="s">
        <v>471</v>
      </c>
      <c r="F1528" s="31" t="s">
        <v>160</v>
      </c>
      <c r="H1528" s="38">
        <v>0</v>
      </c>
    </row>
    <row r="1529" spans="1:8" x14ac:dyDescent="0.35">
      <c r="A1529" s="19"/>
      <c r="B1529" s="19" t="s">
        <v>22</v>
      </c>
      <c r="C1529" s="37">
        <v>45899</v>
      </c>
      <c r="D1529" s="31" t="s">
        <v>472</v>
      </c>
      <c r="E1529" s="31" t="s">
        <v>471</v>
      </c>
      <c r="F1529" s="31" t="s">
        <v>160</v>
      </c>
      <c r="H1529" s="38">
        <v>0</v>
      </c>
    </row>
    <row r="1530" spans="1:8" x14ac:dyDescent="0.35">
      <c r="A1530" s="19"/>
      <c r="B1530" s="19" t="s">
        <v>22</v>
      </c>
      <c r="C1530" s="37">
        <v>45899</v>
      </c>
      <c r="D1530" s="31" t="s">
        <v>473</v>
      </c>
      <c r="E1530" s="31" t="s">
        <v>471</v>
      </c>
      <c r="F1530" s="31" t="s">
        <v>160</v>
      </c>
      <c r="H1530" s="38">
        <v>0</v>
      </c>
    </row>
    <row r="1531" spans="1:8" x14ac:dyDescent="0.35">
      <c r="A1531" s="19"/>
      <c r="B1531" s="19" t="s">
        <v>22</v>
      </c>
      <c r="C1531" s="37">
        <v>45899</v>
      </c>
      <c r="D1531" s="31" t="s">
        <v>474</v>
      </c>
      <c r="E1531" s="31" t="s">
        <v>475</v>
      </c>
      <c r="F1531" s="31" t="s">
        <v>160</v>
      </c>
      <c r="H1531" s="38">
        <v>0</v>
      </c>
    </row>
    <row r="1532" spans="1:8" x14ac:dyDescent="0.35">
      <c r="A1532" s="19"/>
      <c r="B1532" s="19" t="s">
        <v>22</v>
      </c>
      <c r="C1532" s="37">
        <v>45899</v>
      </c>
      <c r="D1532" s="31" t="s">
        <v>476</v>
      </c>
      <c r="E1532" s="31" t="s">
        <v>477</v>
      </c>
      <c r="F1532" s="31" t="s">
        <v>160</v>
      </c>
      <c r="H1532" s="38">
        <v>0</v>
      </c>
    </row>
    <row r="1533" spans="1:8" x14ac:dyDescent="0.35">
      <c r="A1533" s="19"/>
      <c r="B1533" s="19" t="s">
        <v>22</v>
      </c>
      <c r="C1533" s="37">
        <v>45899</v>
      </c>
      <c r="D1533" s="31" t="s">
        <v>478</v>
      </c>
      <c r="E1533" s="31" t="s">
        <v>284</v>
      </c>
      <c r="F1533" s="31" t="s">
        <v>160</v>
      </c>
      <c r="H1533" s="38">
        <v>0</v>
      </c>
    </row>
    <row r="1534" spans="1:8" x14ac:dyDescent="0.35">
      <c r="A1534" s="19"/>
      <c r="B1534" s="19" t="s">
        <v>22</v>
      </c>
      <c r="C1534" s="37">
        <v>45899</v>
      </c>
      <c r="D1534" s="31" t="s">
        <v>479</v>
      </c>
      <c r="E1534" s="31" t="s">
        <v>477</v>
      </c>
      <c r="F1534" s="31" t="s">
        <v>160</v>
      </c>
      <c r="H1534" s="38">
        <v>0</v>
      </c>
    </row>
    <row r="1535" spans="1:8" x14ac:dyDescent="0.35">
      <c r="A1535" s="19"/>
      <c r="B1535" s="19" t="s">
        <v>22</v>
      </c>
      <c r="C1535" s="37">
        <v>45899</v>
      </c>
      <c r="D1535" s="31" t="s">
        <v>480</v>
      </c>
      <c r="E1535" s="31" t="s">
        <v>148</v>
      </c>
      <c r="F1535" s="31" t="s">
        <v>160</v>
      </c>
      <c r="H1535" s="38">
        <v>0</v>
      </c>
    </row>
    <row r="1536" spans="1:8" x14ac:dyDescent="0.35">
      <c r="A1536" s="19"/>
      <c r="B1536" s="19" t="s">
        <v>22</v>
      </c>
      <c r="C1536" s="37">
        <v>45899</v>
      </c>
      <c r="D1536" s="31" t="s">
        <v>481</v>
      </c>
      <c r="E1536" s="31" t="s">
        <v>148</v>
      </c>
      <c r="F1536" s="31" t="s">
        <v>160</v>
      </c>
      <c r="H1536" s="38">
        <v>0</v>
      </c>
    </row>
    <row r="1537" spans="1:8" x14ac:dyDescent="0.35">
      <c r="A1537" s="19"/>
      <c r="B1537" s="19" t="s">
        <v>22</v>
      </c>
      <c r="C1537" s="37">
        <v>45899</v>
      </c>
      <c r="D1537" s="31" t="s">
        <v>482</v>
      </c>
      <c r="E1537" s="31" t="s">
        <v>148</v>
      </c>
      <c r="F1537" s="31" t="s">
        <v>160</v>
      </c>
      <c r="H1537" s="38">
        <v>0</v>
      </c>
    </row>
    <row r="1538" spans="1:8" x14ac:dyDescent="0.35">
      <c r="A1538" s="19"/>
      <c r="B1538" s="19" t="s">
        <v>22</v>
      </c>
      <c r="C1538" s="37">
        <v>45899</v>
      </c>
      <c r="D1538" s="31" t="s">
        <v>483</v>
      </c>
      <c r="E1538" s="31" t="s">
        <v>337</v>
      </c>
      <c r="F1538" s="31" t="s">
        <v>160</v>
      </c>
      <c r="H1538" s="38">
        <v>107465.38</v>
      </c>
    </row>
    <row r="1539" spans="1:8" x14ac:dyDescent="0.35">
      <c r="A1539" s="19"/>
      <c r="B1539" s="19" t="s">
        <v>22</v>
      </c>
      <c r="C1539" s="37">
        <v>45899</v>
      </c>
      <c r="D1539" s="31" t="s">
        <v>484</v>
      </c>
      <c r="E1539" s="31" t="s">
        <v>485</v>
      </c>
      <c r="F1539" s="31" t="s">
        <v>160</v>
      </c>
      <c r="H1539" s="38">
        <v>0</v>
      </c>
    </row>
    <row r="1540" spans="1:8" x14ac:dyDescent="0.35">
      <c r="A1540" s="19"/>
      <c r="B1540" s="19" t="s">
        <v>22</v>
      </c>
      <c r="C1540" s="37">
        <v>45899</v>
      </c>
      <c r="D1540" s="31" t="s">
        <v>486</v>
      </c>
      <c r="E1540" s="31" t="s">
        <v>55</v>
      </c>
      <c r="F1540" s="31" t="s">
        <v>160</v>
      </c>
      <c r="H1540" s="38">
        <v>571.46</v>
      </c>
    </row>
    <row r="1541" spans="1:8" x14ac:dyDescent="0.35">
      <c r="A1541" s="19"/>
      <c r="B1541" s="19" t="s">
        <v>22</v>
      </c>
      <c r="C1541" s="37">
        <v>45899</v>
      </c>
      <c r="D1541" s="31" t="s">
        <v>487</v>
      </c>
      <c r="E1541" s="31" t="s">
        <v>55</v>
      </c>
      <c r="F1541" s="31" t="s">
        <v>160</v>
      </c>
      <c r="H1541" s="38">
        <v>0</v>
      </c>
    </row>
    <row r="1542" spans="1:8" x14ac:dyDescent="0.35">
      <c r="A1542" s="19"/>
      <c r="B1542" s="19" t="s">
        <v>22</v>
      </c>
      <c r="C1542" s="37">
        <v>45899</v>
      </c>
      <c r="D1542" s="31" t="s">
        <v>488</v>
      </c>
      <c r="E1542" s="31" t="s">
        <v>55</v>
      </c>
      <c r="F1542" s="31" t="s">
        <v>160</v>
      </c>
      <c r="H1542" s="38">
        <v>1700.81</v>
      </c>
    </row>
    <row r="1543" spans="1:8" x14ac:dyDescent="0.35">
      <c r="A1543" s="19"/>
      <c r="B1543" s="19" t="s">
        <v>22</v>
      </c>
      <c r="C1543" s="37">
        <v>45899</v>
      </c>
      <c r="D1543" s="31" t="s">
        <v>489</v>
      </c>
      <c r="E1543" s="31" t="s">
        <v>55</v>
      </c>
      <c r="F1543" s="31" t="s">
        <v>160</v>
      </c>
      <c r="H1543" s="38">
        <v>0</v>
      </c>
    </row>
    <row r="1544" spans="1:8" x14ac:dyDescent="0.35">
      <c r="A1544" s="19"/>
      <c r="B1544" s="19" t="s">
        <v>22</v>
      </c>
      <c r="C1544" s="37">
        <v>45899</v>
      </c>
      <c r="D1544" s="31" t="s">
        <v>490</v>
      </c>
      <c r="E1544" s="31" t="s">
        <v>55</v>
      </c>
      <c r="F1544" s="31" t="s">
        <v>160</v>
      </c>
      <c r="H1544" s="38">
        <v>5696.98</v>
      </c>
    </row>
    <row r="1545" spans="1:8" x14ac:dyDescent="0.35">
      <c r="A1545" s="19"/>
      <c r="B1545" s="19" t="s">
        <v>22</v>
      </c>
      <c r="C1545" s="37">
        <v>45899</v>
      </c>
      <c r="D1545" s="31" t="s">
        <v>491</v>
      </c>
      <c r="E1545" s="31" t="s">
        <v>55</v>
      </c>
      <c r="F1545" s="31" t="s">
        <v>160</v>
      </c>
      <c r="H1545" s="38">
        <v>0</v>
      </c>
    </row>
    <row r="1546" spans="1:8" x14ac:dyDescent="0.35">
      <c r="A1546" s="19"/>
      <c r="B1546" s="19" t="s">
        <v>22</v>
      </c>
      <c r="C1546" s="37">
        <v>45899</v>
      </c>
      <c r="D1546" s="31" t="s">
        <v>492</v>
      </c>
      <c r="E1546" s="31" t="s">
        <v>55</v>
      </c>
      <c r="F1546" s="31" t="s">
        <v>160</v>
      </c>
      <c r="H1546" s="38">
        <v>0</v>
      </c>
    </row>
    <row r="1547" spans="1:8" x14ac:dyDescent="0.35">
      <c r="A1547" s="19"/>
      <c r="B1547" s="19" t="s">
        <v>22</v>
      </c>
      <c r="C1547" s="37">
        <v>45899</v>
      </c>
      <c r="D1547" s="31" t="s">
        <v>493</v>
      </c>
      <c r="E1547" s="31" t="s">
        <v>55</v>
      </c>
      <c r="F1547" s="31" t="s">
        <v>160</v>
      </c>
      <c r="H1547" s="38">
        <v>13261.26</v>
      </c>
    </row>
    <row r="1548" spans="1:8" x14ac:dyDescent="0.35">
      <c r="A1548" s="19"/>
      <c r="B1548" s="19" t="s">
        <v>22</v>
      </c>
      <c r="C1548" s="37">
        <v>45899</v>
      </c>
      <c r="D1548" s="31" t="s">
        <v>494</v>
      </c>
      <c r="E1548" s="31" t="s">
        <v>55</v>
      </c>
      <c r="F1548" s="31" t="s">
        <v>160</v>
      </c>
      <c r="H1548" s="38">
        <v>11728.64</v>
      </c>
    </row>
    <row r="1549" spans="1:8" x14ac:dyDescent="0.35">
      <c r="A1549" s="19"/>
      <c r="B1549" s="19" t="s">
        <v>22</v>
      </c>
      <c r="C1549" s="37">
        <v>45899</v>
      </c>
      <c r="D1549" s="31" t="s">
        <v>495</v>
      </c>
      <c r="E1549" s="31" t="s">
        <v>55</v>
      </c>
      <c r="F1549" s="31" t="s">
        <v>160</v>
      </c>
      <c r="H1549" s="38">
        <v>0</v>
      </c>
    </row>
    <row r="1550" spans="1:8" x14ac:dyDescent="0.35">
      <c r="A1550" s="19"/>
      <c r="B1550" s="19" t="s">
        <v>22</v>
      </c>
      <c r="C1550" s="37">
        <v>45899</v>
      </c>
      <c r="D1550" s="31" t="s">
        <v>496</v>
      </c>
      <c r="E1550" s="31" t="s">
        <v>55</v>
      </c>
      <c r="F1550" s="31" t="s">
        <v>160</v>
      </c>
      <c r="H1550" s="38">
        <v>1480.01</v>
      </c>
    </row>
    <row r="1551" spans="1:8" x14ac:dyDescent="0.35">
      <c r="A1551" s="19"/>
      <c r="B1551" s="19" t="s">
        <v>22</v>
      </c>
      <c r="C1551" s="37">
        <v>45899</v>
      </c>
      <c r="D1551" s="31" t="s">
        <v>497</v>
      </c>
      <c r="E1551" s="31" t="s">
        <v>55</v>
      </c>
      <c r="F1551" s="31" t="s">
        <v>160</v>
      </c>
      <c r="H1551" s="38">
        <v>0</v>
      </c>
    </row>
    <row r="1552" spans="1:8" x14ac:dyDescent="0.35">
      <c r="A1552" s="19"/>
      <c r="B1552" s="19" t="s">
        <v>22</v>
      </c>
      <c r="C1552" s="37">
        <v>45899</v>
      </c>
      <c r="D1552" s="31" t="s">
        <v>498</v>
      </c>
      <c r="E1552" s="31" t="s">
        <v>55</v>
      </c>
      <c r="F1552" s="31" t="s">
        <v>160</v>
      </c>
      <c r="H1552" s="38">
        <v>29501.14</v>
      </c>
    </row>
    <row r="1553" spans="1:8" x14ac:dyDescent="0.35">
      <c r="A1553" s="19"/>
      <c r="B1553" s="19" t="s">
        <v>22</v>
      </c>
      <c r="C1553" s="37">
        <v>45899</v>
      </c>
      <c r="D1553" s="31" t="s">
        <v>499</v>
      </c>
      <c r="E1553" s="31" t="s">
        <v>55</v>
      </c>
      <c r="F1553" s="31" t="s">
        <v>160</v>
      </c>
      <c r="H1553" s="38">
        <v>0</v>
      </c>
    </row>
    <row r="1554" spans="1:8" x14ac:dyDescent="0.35">
      <c r="A1554" s="19"/>
      <c r="B1554" s="19" t="s">
        <v>22</v>
      </c>
      <c r="C1554" s="37">
        <v>45899</v>
      </c>
      <c r="D1554" s="31" t="s">
        <v>500</v>
      </c>
      <c r="E1554" s="31" t="s">
        <v>55</v>
      </c>
      <c r="F1554" s="31" t="s">
        <v>160</v>
      </c>
      <c r="H1554" s="38">
        <v>16583</v>
      </c>
    </row>
    <row r="1555" spans="1:8" x14ac:dyDescent="0.35">
      <c r="A1555" s="19"/>
      <c r="B1555" s="19" t="s">
        <v>22</v>
      </c>
      <c r="C1555" s="37">
        <v>45899</v>
      </c>
      <c r="D1555" s="31" t="s">
        <v>501</v>
      </c>
      <c r="E1555" s="31" t="s">
        <v>55</v>
      </c>
      <c r="F1555" s="31" t="s">
        <v>160</v>
      </c>
      <c r="H1555" s="38">
        <v>14094.32</v>
      </c>
    </row>
    <row r="1556" spans="1:8" x14ac:dyDescent="0.35">
      <c r="A1556" s="19"/>
      <c r="B1556" s="19" t="s">
        <v>22</v>
      </c>
      <c r="C1556" s="37">
        <v>45899</v>
      </c>
      <c r="D1556" s="31" t="s">
        <v>502</v>
      </c>
      <c r="E1556" s="31" t="s">
        <v>55</v>
      </c>
      <c r="F1556" s="31" t="s">
        <v>160</v>
      </c>
      <c r="H1556" s="38">
        <v>0</v>
      </c>
    </row>
    <row r="1557" spans="1:8" x14ac:dyDescent="0.35">
      <c r="A1557" s="19"/>
      <c r="B1557" s="19" t="s">
        <v>22</v>
      </c>
      <c r="C1557" s="37">
        <v>45899</v>
      </c>
      <c r="D1557" s="31" t="s">
        <v>503</v>
      </c>
      <c r="E1557" s="31" t="s">
        <v>55</v>
      </c>
      <c r="F1557" s="31" t="s">
        <v>160</v>
      </c>
      <c r="H1557" s="38">
        <v>0</v>
      </c>
    </row>
    <row r="1558" spans="1:8" x14ac:dyDescent="0.35">
      <c r="A1558" s="19"/>
      <c r="B1558" s="19" t="s">
        <v>22</v>
      </c>
      <c r="C1558" s="37">
        <v>45899</v>
      </c>
      <c r="D1558" s="31" t="s">
        <v>504</v>
      </c>
      <c r="E1558" s="31" t="s">
        <v>55</v>
      </c>
      <c r="F1558" s="31" t="s">
        <v>160</v>
      </c>
      <c r="H1558" s="38">
        <v>1597.8899999999999</v>
      </c>
    </row>
    <row r="1559" spans="1:8" x14ac:dyDescent="0.35">
      <c r="A1559" s="19"/>
      <c r="B1559" s="19" t="s">
        <v>22</v>
      </c>
      <c r="C1559" s="37">
        <v>45899</v>
      </c>
      <c r="D1559" s="31" t="s">
        <v>505</v>
      </c>
      <c r="E1559" s="31" t="s">
        <v>55</v>
      </c>
      <c r="F1559" s="31" t="s">
        <v>160</v>
      </c>
      <c r="H1559" s="38">
        <v>0</v>
      </c>
    </row>
    <row r="1560" spans="1:8" x14ac:dyDescent="0.35">
      <c r="A1560" s="19"/>
      <c r="B1560" s="19" t="s">
        <v>22</v>
      </c>
      <c r="C1560" s="37">
        <v>45899</v>
      </c>
      <c r="D1560" s="31">
        <v>35818</v>
      </c>
      <c r="E1560" s="31" t="s">
        <v>370</v>
      </c>
      <c r="F1560" s="31" t="s">
        <v>160</v>
      </c>
      <c r="H1560" s="38">
        <v>0</v>
      </c>
    </row>
    <row r="1561" spans="1:8" x14ac:dyDescent="0.35">
      <c r="A1561" s="19"/>
      <c r="B1561" s="19" t="s">
        <v>22</v>
      </c>
      <c r="C1561" s="37">
        <v>45899</v>
      </c>
      <c r="D1561" s="31" t="s">
        <v>506</v>
      </c>
      <c r="E1561" s="31" t="s">
        <v>370</v>
      </c>
      <c r="F1561" s="31" t="s">
        <v>160</v>
      </c>
      <c r="H1561" s="38">
        <v>0</v>
      </c>
    </row>
    <row r="1562" spans="1:8" x14ac:dyDescent="0.35">
      <c r="A1562" s="19"/>
      <c r="B1562" s="19" t="s">
        <v>22</v>
      </c>
      <c r="C1562" s="37">
        <v>45899</v>
      </c>
      <c r="D1562" s="31" t="s">
        <v>507</v>
      </c>
      <c r="E1562" s="31" t="s">
        <v>508</v>
      </c>
      <c r="F1562" s="31" t="s">
        <v>160</v>
      </c>
      <c r="H1562" s="38">
        <v>0</v>
      </c>
    </row>
    <row r="1563" spans="1:8" x14ac:dyDescent="0.35">
      <c r="A1563" s="19"/>
      <c r="B1563" s="19" t="s">
        <v>22</v>
      </c>
      <c r="C1563" s="37">
        <v>45899</v>
      </c>
      <c r="D1563" s="31" t="s">
        <v>509</v>
      </c>
      <c r="E1563" s="31" t="s">
        <v>508</v>
      </c>
      <c r="F1563" s="31" t="s">
        <v>160</v>
      </c>
      <c r="H1563" s="38">
        <v>0</v>
      </c>
    </row>
    <row r="1564" spans="1:8" x14ac:dyDescent="0.35">
      <c r="A1564" s="19"/>
      <c r="B1564" s="19" t="s">
        <v>22</v>
      </c>
      <c r="C1564" s="37">
        <v>45899</v>
      </c>
      <c r="D1564" s="31" t="s">
        <v>510</v>
      </c>
      <c r="E1564" s="31" t="s">
        <v>508</v>
      </c>
      <c r="F1564" s="31" t="s">
        <v>160</v>
      </c>
      <c r="H1564" s="38">
        <v>0</v>
      </c>
    </row>
    <row r="1565" spans="1:8" x14ac:dyDescent="0.35">
      <c r="A1565" s="19"/>
      <c r="B1565" s="19" t="s">
        <v>22</v>
      </c>
      <c r="C1565" s="37">
        <v>45899</v>
      </c>
      <c r="D1565" s="31" t="s">
        <v>511</v>
      </c>
      <c r="E1565" s="31" t="s">
        <v>508</v>
      </c>
      <c r="F1565" s="31" t="s">
        <v>160</v>
      </c>
      <c r="H1565" s="38">
        <v>0</v>
      </c>
    </row>
    <row r="1566" spans="1:8" x14ac:dyDescent="0.35">
      <c r="A1566" s="19"/>
      <c r="B1566" s="19" t="s">
        <v>22</v>
      </c>
      <c r="C1566" s="37">
        <v>45899</v>
      </c>
      <c r="D1566" s="31" t="s">
        <v>512</v>
      </c>
      <c r="E1566" s="31" t="s">
        <v>508</v>
      </c>
      <c r="F1566" s="31" t="s">
        <v>160</v>
      </c>
      <c r="H1566" s="38">
        <v>0</v>
      </c>
    </row>
    <row r="1567" spans="1:8" x14ac:dyDescent="0.35">
      <c r="A1567" s="19"/>
      <c r="B1567" s="19" t="s">
        <v>22</v>
      </c>
      <c r="C1567" s="37">
        <v>45899</v>
      </c>
      <c r="D1567" s="31" t="s">
        <v>513</v>
      </c>
      <c r="E1567" s="31" t="s">
        <v>508</v>
      </c>
      <c r="F1567" s="31" t="s">
        <v>160</v>
      </c>
      <c r="H1567" s="38">
        <v>0</v>
      </c>
    </row>
    <row r="1568" spans="1:8" x14ac:dyDescent="0.35">
      <c r="A1568" s="19"/>
      <c r="B1568" s="19" t="s">
        <v>22</v>
      </c>
      <c r="C1568" s="37">
        <v>45899</v>
      </c>
      <c r="D1568" s="31" t="s">
        <v>514</v>
      </c>
      <c r="E1568" s="31" t="s">
        <v>515</v>
      </c>
      <c r="F1568" s="31" t="s">
        <v>160</v>
      </c>
      <c r="H1568" s="38">
        <v>0</v>
      </c>
    </row>
    <row r="1569" spans="1:8" x14ac:dyDescent="0.35">
      <c r="A1569" s="19"/>
      <c r="B1569" s="19" t="s">
        <v>22</v>
      </c>
      <c r="C1569" s="37">
        <v>45899</v>
      </c>
      <c r="D1569" s="31" t="s">
        <v>516</v>
      </c>
      <c r="E1569" s="31" t="s">
        <v>515</v>
      </c>
      <c r="F1569" s="31" t="s">
        <v>160</v>
      </c>
      <c r="H1569" s="38">
        <v>0</v>
      </c>
    </row>
    <row r="1570" spans="1:8" x14ac:dyDescent="0.35">
      <c r="A1570" s="19"/>
      <c r="B1570" s="19" t="s">
        <v>22</v>
      </c>
      <c r="C1570" s="37">
        <v>45899</v>
      </c>
      <c r="D1570" s="31" t="s">
        <v>517</v>
      </c>
      <c r="E1570" s="31" t="s">
        <v>391</v>
      </c>
      <c r="F1570" s="31" t="s">
        <v>160</v>
      </c>
      <c r="H1570" s="38">
        <v>0</v>
      </c>
    </row>
    <row r="1571" spans="1:8" x14ac:dyDescent="0.35">
      <c r="A1571" s="19"/>
      <c r="B1571" s="19" t="s">
        <v>22</v>
      </c>
      <c r="C1571" s="37">
        <v>45899</v>
      </c>
      <c r="D1571" s="31" t="s">
        <v>518</v>
      </c>
      <c r="E1571" s="31" t="s">
        <v>391</v>
      </c>
      <c r="F1571" s="31" t="s">
        <v>160</v>
      </c>
      <c r="H1571" s="38">
        <v>0</v>
      </c>
    </row>
    <row r="1572" spans="1:8" x14ac:dyDescent="0.35">
      <c r="A1572" s="19"/>
      <c r="B1572" s="19" t="s">
        <v>22</v>
      </c>
      <c r="C1572" s="37">
        <v>45899</v>
      </c>
      <c r="D1572" s="31" t="s">
        <v>519</v>
      </c>
      <c r="E1572" s="31" t="s">
        <v>391</v>
      </c>
      <c r="F1572" s="31" t="s">
        <v>160</v>
      </c>
      <c r="H1572" s="38">
        <v>0</v>
      </c>
    </row>
    <row r="1573" spans="1:8" x14ac:dyDescent="0.35">
      <c r="A1573" s="19"/>
      <c r="B1573" s="19" t="s">
        <v>22</v>
      </c>
      <c r="C1573" s="37">
        <v>45899</v>
      </c>
      <c r="D1573" s="31" t="s">
        <v>520</v>
      </c>
      <c r="E1573" s="31" t="s">
        <v>391</v>
      </c>
      <c r="F1573" s="31" t="s">
        <v>160</v>
      </c>
      <c r="H1573" s="38">
        <v>0</v>
      </c>
    </row>
    <row r="1574" spans="1:8" x14ac:dyDescent="0.35">
      <c r="A1574" s="19"/>
      <c r="B1574" s="19" t="s">
        <v>22</v>
      </c>
      <c r="C1574" s="37">
        <v>45899</v>
      </c>
      <c r="D1574" s="31" t="s">
        <v>521</v>
      </c>
      <c r="E1574" s="31" t="s">
        <v>391</v>
      </c>
      <c r="F1574" s="31" t="s">
        <v>160</v>
      </c>
      <c r="H1574" s="38">
        <v>0</v>
      </c>
    </row>
    <row r="1575" spans="1:8" x14ac:dyDescent="0.35">
      <c r="A1575" s="19"/>
      <c r="B1575" s="19" t="s">
        <v>22</v>
      </c>
      <c r="C1575" s="37">
        <v>45899</v>
      </c>
      <c r="D1575" s="31" t="s">
        <v>522</v>
      </c>
      <c r="E1575" s="31" t="s">
        <v>391</v>
      </c>
      <c r="F1575" s="31" t="s">
        <v>160</v>
      </c>
      <c r="H1575" s="38">
        <v>0</v>
      </c>
    </row>
    <row r="1576" spans="1:8" x14ac:dyDescent="0.35">
      <c r="A1576" s="19"/>
      <c r="B1576" s="19" t="s">
        <v>22</v>
      </c>
      <c r="C1576" s="37">
        <v>45899</v>
      </c>
      <c r="D1576" s="31" t="s">
        <v>523</v>
      </c>
      <c r="E1576" s="31" t="s">
        <v>391</v>
      </c>
      <c r="F1576" s="31" t="s">
        <v>160</v>
      </c>
      <c r="H1576" s="38">
        <v>0</v>
      </c>
    </row>
    <row r="1577" spans="1:8" x14ac:dyDescent="0.35">
      <c r="A1577" s="19"/>
      <c r="B1577" s="19" t="s">
        <v>22</v>
      </c>
      <c r="C1577" s="37">
        <v>45899</v>
      </c>
      <c r="D1577" s="31" t="s">
        <v>524</v>
      </c>
      <c r="E1577" s="31" t="s">
        <v>525</v>
      </c>
      <c r="F1577" s="31" t="s">
        <v>160</v>
      </c>
      <c r="H1577" s="38">
        <v>0</v>
      </c>
    </row>
    <row r="1578" spans="1:8" x14ac:dyDescent="0.35">
      <c r="A1578" s="19"/>
      <c r="B1578" s="19" t="s">
        <v>22</v>
      </c>
      <c r="C1578" s="37">
        <v>45899</v>
      </c>
      <c r="D1578" s="31" t="s">
        <v>526</v>
      </c>
      <c r="E1578" s="31" t="s">
        <v>242</v>
      </c>
      <c r="F1578" s="31" t="s">
        <v>160</v>
      </c>
      <c r="H1578" s="38">
        <v>0</v>
      </c>
    </row>
    <row r="1579" spans="1:8" x14ac:dyDescent="0.35">
      <c r="A1579" s="19"/>
      <c r="B1579" s="19" t="s">
        <v>22</v>
      </c>
      <c r="C1579" s="37">
        <v>45899</v>
      </c>
      <c r="D1579" s="31" t="s">
        <v>527</v>
      </c>
      <c r="E1579" s="31" t="s">
        <v>242</v>
      </c>
      <c r="F1579" s="31" t="s">
        <v>160</v>
      </c>
      <c r="H1579" s="38">
        <v>0</v>
      </c>
    </row>
    <row r="1580" spans="1:8" x14ac:dyDescent="0.35">
      <c r="A1580" s="19"/>
      <c r="B1580" s="19" t="s">
        <v>22</v>
      </c>
      <c r="C1580" s="37">
        <v>45899</v>
      </c>
      <c r="D1580" s="31" t="s">
        <v>528</v>
      </c>
      <c r="E1580" s="31" t="s">
        <v>529</v>
      </c>
      <c r="F1580" s="31" t="s">
        <v>160</v>
      </c>
      <c r="H1580" s="38">
        <v>0</v>
      </c>
    </row>
    <row r="1581" spans="1:8" x14ac:dyDescent="0.35">
      <c r="A1581" s="19"/>
      <c r="B1581" s="19" t="s">
        <v>22</v>
      </c>
      <c r="C1581" s="37">
        <v>45899</v>
      </c>
      <c r="D1581" s="31" t="s">
        <v>530</v>
      </c>
      <c r="E1581" s="31" t="s">
        <v>529</v>
      </c>
      <c r="F1581" s="31" t="s">
        <v>160</v>
      </c>
      <c r="H1581" s="38">
        <v>0</v>
      </c>
    </row>
    <row r="1582" spans="1:8" x14ac:dyDescent="0.35">
      <c r="A1582" s="19"/>
      <c r="B1582" s="19" t="s">
        <v>22</v>
      </c>
      <c r="C1582" s="37">
        <v>45899</v>
      </c>
      <c r="D1582" s="31" t="s">
        <v>531</v>
      </c>
      <c r="E1582" s="31" t="s">
        <v>529</v>
      </c>
      <c r="F1582" s="31" t="s">
        <v>160</v>
      </c>
      <c r="H1582" s="38">
        <v>0</v>
      </c>
    </row>
    <row r="1583" spans="1:8" x14ac:dyDescent="0.35">
      <c r="A1583" s="19"/>
      <c r="B1583" s="19" t="s">
        <v>22</v>
      </c>
      <c r="C1583" s="37">
        <v>45899</v>
      </c>
      <c r="D1583" s="31" t="s">
        <v>532</v>
      </c>
      <c r="E1583" s="31" t="s">
        <v>412</v>
      </c>
      <c r="F1583" s="31" t="s">
        <v>160</v>
      </c>
      <c r="H1583" s="38">
        <v>0</v>
      </c>
    </row>
    <row r="1584" spans="1:8" x14ac:dyDescent="0.35">
      <c r="A1584" s="19"/>
      <c r="B1584" s="19" t="s">
        <v>22</v>
      </c>
      <c r="C1584" s="37">
        <v>45899</v>
      </c>
      <c r="D1584" s="31" t="s">
        <v>533</v>
      </c>
      <c r="E1584" s="31" t="s">
        <v>412</v>
      </c>
      <c r="F1584" s="31" t="s">
        <v>160</v>
      </c>
      <c r="H1584" s="38">
        <v>0</v>
      </c>
    </row>
    <row r="1585" spans="1:8" x14ac:dyDescent="0.35">
      <c r="A1585" s="19"/>
      <c r="B1585" s="19" t="s">
        <v>22</v>
      </c>
      <c r="C1585" s="37">
        <v>45899</v>
      </c>
      <c r="D1585" s="31" t="s">
        <v>534</v>
      </c>
      <c r="E1585" s="31" t="s">
        <v>242</v>
      </c>
      <c r="F1585" s="31" t="s">
        <v>160</v>
      </c>
      <c r="H1585" s="38">
        <v>0</v>
      </c>
    </row>
    <row r="1586" spans="1:8" x14ac:dyDescent="0.35">
      <c r="A1586" s="19"/>
      <c r="B1586" s="19" t="s">
        <v>22</v>
      </c>
      <c r="C1586" s="37">
        <v>45899</v>
      </c>
      <c r="D1586" s="31" t="s">
        <v>535</v>
      </c>
      <c r="E1586" s="31" t="s">
        <v>536</v>
      </c>
      <c r="F1586" s="31" t="s">
        <v>160</v>
      </c>
      <c r="H1586" s="38">
        <v>0</v>
      </c>
    </row>
    <row r="1587" spans="1:8" x14ac:dyDescent="0.35">
      <c r="A1587" s="19"/>
      <c r="B1587" s="19" t="s">
        <v>22</v>
      </c>
      <c r="C1587" s="37">
        <v>45899</v>
      </c>
      <c r="D1587" s="31" t="s">
        <v>537</v>
      </c>
      <c r="E1587" s="31" t="s">
        <v>536</v>
      </c>
      <c r="F1587" s="31" t="s">
        <v>160</v>
      </c>
      <c r="H1587" s="38">
        <v>0</v>
      </c>
    </row>
    <row r="1588" spans="1:8" x14ac:dyDescent="0.35">
      <c r="A1588" s="19"/>
      <c r="B1588" s="19" t="s">
        <v>22</v>
      </c>
      <c r="C1588" s="37">
        <v>45899</v>
      </c>
      <c r="D1588" s="31" t="s">
        <v>538</v>
      </c>
      <c r="E1588" s="31" t="s">
        <v>536</v>
      </c>
      <c r="F1588" s="31" t="s">
        <v>160</v>
      </c>
      <c r="H1588" s="38">
        <v>0</v>
      </c>
    </row>
    <row r="1589" spans="1:8" x14ac:dyDescent="0.35">
      <c r="A1589" s="19"/>
      <c r="B1589" s="19" t="s">
        <v>22</v>
      </c>
      <c r="C1589" s="37">
        <v>45899</v>
      </c>
      <c r="D1589" s="31" t="s">
        <v>539</v>
      </c>
      <c r="E1589" s="31" t="s">
        <v>536</v>
      </c>
      <c r="F1589" s="31" t="s">
        <v>160</v>
      </c>
      <c r="H1589" s="38">
        <v>0</v>
      </c>
    </row>
    <row r="1590" spans="1:8" x14ac:dyDescent="0.35">
      <c r="A1590" s="19"/>
      <c r="B1590" s="19" t="s">
        <v>22</v>
      </c>
      <c r="C1590" s="37">
        <v>45899</v>
      </c>
      <c r="D1590" s="31" t="s">
        <v>540</v>
      </c>
      <c r="E1590" s="31" t="s">
        <v>541</v>
      </c>
      <c r="F1590" s="31" t="s">
        <v>160</v>
      </c>
      <c r="H1590" s="38">
        <v>0</v>
      </c>
    </row>
    <row r="1591" spans="1:8" x14ac:dyDescent="0.35">
      <c r="A1591" s="19"/>
      <c r="B1591" s="19" t="s">
        <v>22</v>
      </c>
      <c r="C1591" s="37">
        <v>45899</v>
      </c>
      <c r="D1591" s="31" t="s">
        <v>542</v>
      </c>
      <c r="E1591" s="31" t="s">
        <v>50</v>
      </c>
      <c r="F1591" s="31" t="s">
        <v>160</v>
      </c>
      <c r="H1591" s="38">
        <v>0</v>
      </c>
    </row>
    <row r="1592" spans="1:8" x14ac:dyDescent="0.35">
      <c r="A1592" s="19"/>
      <c r="B1592" s="19" t="s">
        <v>22</v>
      </c>
      <c r="C1592" s="37">
        <v>45899</v>
      </c>
      <c r="D1592" s="31" t="s">
        <v>543</v>
      </c>
      <c r="E1592" s="31" t="s">
        <v>50</v>
      </c>
      <c r="F1592" s="31" t="s">
        <v>160</v>
      </c>
      <c r="H1592" s="38">
        <v>0</v>
      </c>
    </row>
    <row r="1593" spans="1:8" x14ac:dyDescent="0.35">
      <c r="A1593" s="19"/>
      <c r="B1593" s="19" t="s">
        <v>22</v>
      </c>
      <c r="C1593" s="37">
        <v>45899</v>
      </c>
      <c r="D1593" s="31" t="s">
        <v>544</v>
      </c>
      <c r="E1593" s="31" t="s">
        <v>50</v>
      </c>
      <c r="F1593" s="31" t="s">
        <v>160</v>
      </c>
      <c r="H1593" s="38">
        <v>0</v>
      </c>
    </row>
    <row r="1594" spans="1:8" x14ac:dyDescent="0.35">
      <c r="A1594" s="19"/>
      <c r="B1594" s="19" t="s">
        <v>22</v>
      </c>
      <c r="C1594" s="37">
        <v>45899</v>
      </c>
      <c r="D1594" s="31" t="s">
        <v>545</v>
      </c>
      <c r="E1594" s="31" t="s">
        <v>50</v>
      </c>
      <c r="F1594" s="31" t="s">
        <v>160</v>
      </c>
      <c r="H1594" s="38">
        <v>0</v>
      </c>
    </row>
    <row r="1595" spans="1:8" x14ac:dyDescent="0.35">
      <c r="A1595" s="19"/>
      <c r="B1595" s="19" t="s">
        <v>22</v>
      </c>
      <c r="C1595" s="37">
        <v>45899</v>
      </c>
      <c r="D1595" s="31" t="s">
        <v>546</v>
      </c>
      <c r="E1595" s="31" t="s">
        <v>547</v>
      </c>
      <c r="F1595" s="31" t="s">
        <v>160</v>
      </c>
      <c r="H1595" s="38">
        <v>0</v>
      </c>
    </row>
    <row r="1596" spans="1:8" x14ac:dyDescent="0.35">
      <c r="A1596" s="19"/>
      <c r="B1596" s="19" t="s">
        <v>22</v>
      </c>
      <c r="C1596" s="37">
        <v>45899</v>
      </c>
      <c r="D1596" s="31" t="s">
        <v>548</v>
      </c>
      <c r="E1596" s="31" t="s">
        <v>549</v>
      </c>
      <c r="F1596" s="31" t="s">
        <v>160</v>
      </c>
      <c r="H1596" s="38">
        <v>5.48</v>
      </c>
    </row>
    <row r="1597" spans="1:8" x14ac:dyDescent="0.35">
      <c r="A1597" s="19"/>
      <c r="B1597" s="19" t="s">
        <v>22</v>
      </c>
      <c r="C1597" s="37">
        <v>45899</v>
      </c>
      <c r="D1597" s="31" t="s">
        <v>550</v>
      </c>
      <c r="E1597" s="31" t="s">
        <v>80</v>
      </c>
      <c r="F1597" s="31" t="s">
        <v>160</v>
      </c>
      <c r="H1597" s="38">
        <v>0</v>
      </c>
    </row>
    <row r="1598" spans="1:8" x14ac:dyDescent="0.35">
      <c r="A1598" s="19"/>
      <c r="B1598" s="19" t="s">
        <v>22</v>
      </c>
      <c r="C1598" s="37">
        <v>45899</v>
      </c>
      <c r="D1598" s="31" t="s">
        <v>551</v>
      </c>
      <c r="E1598" s="31" t="s">
        <v>80</v>
      </c>
      <c r="F1598" s="31" t="s">
        <v>160</v>
      </c>
      <c r="H1598" s="38">
        <v>0</v>
      </c>
    </row>
    <row r="1599" spans="1:8" x14ac:dyDescent="0.35">
      <c r="A1599" s="19"/>
      <c r="B1599" s="19" t="s">
        <v>22</v>
      </c>
      <c r="C1599" s="37">
        <v>45899</v>
      </c>
      <c r="D1599" s="31" t="s">
        <v>552</v>
      </c>
      <c r="E1599" s="31" t="s">
        <v>171</v>
      </c>
      <c r="F1599" s="31" t="s">
        <v>160</v>
      </c>
      <c r="H1599" s="38">
        <v>0</v>
      </c>
    </row>
    <row r="1600" spans="1:8" x14ac:dyDescent="0.35">
      <c r="A1600" s="19"/>
      <c r="B1600" s="19" t="s">
        <v>22</v>
      </c>
      <c r="C1600" s="37">
        <v>45899</v>
      </c>
      <c r="D1600" s="31" t="s">
        <v>553</v>
      </c>
      <c r="E1600" s="31" t="s">
        <v>171</v>
      </c>
      <c r="F1600" s="31" t="s">
        <v>160</v>
      </c>
      <c r="H1600" s="38">
        <v>0</v>
      </c>
    </row>
    <row r="1601" spans="1:8" x14ac:dyDescent="0.35">
      <c r="A1601" s="19"/>
      <c r="B1601" s="19" t="s">
        <v>22</v>
      </c>
      <c r="C1601" s="37">
        <v>45899</v>
      </c>
      <c r="D1601" s="31" t="s">
        <v>554</v>
      </c>
      <c r="E1601" s="31" t="s">
        <v>171</v>
      </c>
      <c r="F1601" s="31" t="s">
        <v>160</v>
      </c>
      <c r="H1601" s="38">
        <v>0</v>
      </c>
    </row>
    <row r="1602" spans="1:8" x14ac:dyDescent="0.35">
      <c r="A1602" s="19"/>
      <c r="B1602" s="19" t="s">
        <v>22</v>
      </c>
      <c r="C1602" s="37">
        <v>45899</v>
      </c>
      <c r="D1602" s="31" t="s">
        <v>555</v>
      </c>
      <c r="E1602" s="31" t="s">
        <v>171</v>
      </c>
      <c r="F1602" s="31" t="s">
        <v>160</v>
      </c>
      <c r="H1602" s="38">
        <v>0</v>
      </c>
    </row>
    <row r="1603" spans="1:8" x14ac:dyDescent="0.35">
      <c r="A1603" s="19"/>
      <c r="B1603" s="19" t="s">
        <v>22</v>
      </c>
      <c r="C1603" s="37">
        <v>45899</v>
      </c>
      <c r="D1603" s="31" t="s">
        <v>556</v>
      </c>
      <c r="E1603" s="31" t="s">
        <v>171</v>
      </c>
      <c r="F1603" s="31" t="s">
        <v>160</v>
      </c>
      <c r="H1603" s="38">
        <v>0</v>
      </c>
    </row>
    <row r="1604" spans="1:8" x14ac:dyDescent="0.35">
      <c r="A1604" s="19"/>
      <c r="B1604" s="19" t="s">
        <v>22</v>
      </c>
      <c r="C1604" s="37">
        <v>45899</v>
      </c>
      <c r="D1604" s="31" t="s">
        <v>557</v>
      </c>
      <c r="E1604" s="31" t="s">
        <v>171</v>
      </c>
      <c r="F1604" s="31" t="s">
        <v>160</v>
      </c>
      <c r="H1604" s="38">
        <v>0</v>
      </c>
    </row>
    <row r="1605" spans="1:8" x14ac:dyDescent="0.35">
      <c r="A1605" s="19"/>
      <c r="B1605" s="19" t="s">
        <v>22</v>
      </c>
      <c r="C1605" s="37">
        <v>45899</v>
      </c>
      <c r="D1605" s="31" t="s">
        <v>558</v>
      </c>
      <c r="E1605" s="31" t="s">
        <v>559</v>
      </c>
      <c r="F1605" s="31" t="s">
        <v>160</v>
      </c>
      <c r="H1605" s="38">
        <v>0</v>
      </c>
    </row>
    <row r="1606" spans="1:8" x14ac:dyDescent="0.35">
      <c r="A1606" s="19"/>
      <c r="B1606" s="19" t="s">
        <v>22</v>
      </c>
      <c r="C1606" s="37">
        <v>45899</v>
      </c>
      <c r="D1606" s="31" t="s">
        <v>560</v>
      </c>
      <c r="E1606" s="31" t="s">
        <v>559</v>
      </c>
      <c r="F1606" s="31" t="s">
        <v>160</v>
      </c>
      <c r="H1606" s="38">
        <v>0</v>
      </c>
    </row>
    <row r="1607" spans="1:8" x14ac:dyDescent="0.35">
      <c r="A1607" s="19"/>
      <c r="B1607" s="19" t="s">
        <v>22</v>
      </c>
      <c r="C1607" s="37">
        <v>45899</v>
      </c>
      <c r="D1607" s="31" t="s">
        <v>561</v>
      </c>
      <c r="E1607" s="31" t="s">
        <v>559</v>
      </c>
      <c r="F1607" s="31" t="s">
        <v>160</v>
      </c>
      <c r="H1607" s="38">
        <v>0</v>
      </c>
    </row>
    <row r="1608" spans="1:8" x14ac:dyDescent="0.35">
      <c r="A1608" s="19"/>
      <c r="B1608" s="19" t="s">
        <v>22</v>
      </c>
      <c r="C1608" s="37">
        <v>45899</v>
      </c>
      <c r="D1608" s="31" t="s">
        <v>562</v>
      </c>
      <c r="E1608" s="31" t="s">
        <v>559</v>
      </c>
      <c r="F1608" s="31" t="s">
        <v>160</v>
      </c>
      <c r="H1608" s="38">
        <v>0</v>
      </c>
    </row>
    <row r="1609" spans="1:8" x14ac:dyDescent="0.35">
      <c r="A1609" s="19"/>
      <c r="B1609" s="19" t="s">
        <v>22</v>
      </c>
      <c r="C1609" s="37">
        <v>45899</v>
      </c>
      <c r="D1609" s="31" t="s">
        <v>563</v>
      </c>
      <c r="E1609" s="31" t="s">
        <v>559</v>
      </c>
      <c r="F1609" s="31" t="s">
        <v>160</v>
      </c>
      <c r="H1609" s="38">
        <v>0</v>
      </c>
    </row>
    <row r="1610" spans="1:8" x14ac:dyDescent="0.35">
      <c r="A1610" s="19"/>
      <c r="B1610" s="19" t="s">
        <v>22</v>
      </c>
      <c r="C1610" s="37">
        <v>45899</v>
      </c>
      <c r="D1610" s="31" t="s">
        <v>564</v>
      </c>
      <c r="E1610" s="31" t="s">
        <v>559</v>
      </c>
      <c r="F1610" s="31" t="s">
        <v>160</v>
      </c>
      <c r="H1610" s="38">
        <v>0</v>
      </c>
    </row>
    <row r="1611" spans="1:8" x14ac:dyDescent="0.35">
      <c r="A1611" s="19"/>
      <c r="B1611" s="19" t="s">
        <v>22</v>
      </c>
      <c r="C1611" s="37">
        <v>45899</v>
      </c>
      <c r="D1611" s="31" t="s">
        <v>565</v>
      </c>
      <c r="E1611" s="31" t="s">
        <v>566</v>
      </c>
      <c r="F1611" s="31" t="s">
        <v>160</v>
      </c>
      <c r="H1611" s="38">
        <v>0</v>
      </c>
    </row>
    <row r="1612" spans="1:8" x14ac:dyDescent="0.35">
      <c r="A1612" s="19"/>
      <c r="B1612" s="19" t="s">
        <v>22</v>
      </c>
      <c r="C1612" s="37">
        <v>45899</v>
      </c>
      <c r="D1612" s="31" t="s">
        <v>567</v>
      </c>
      <c r="E1612" s="31" t="s">
        <v>566</v>
      </c>
      <c r="F1612" s="31" t="s">
        <v>160</v>
      </c>
      <c r="H1612" s="38">
        <v>0</v>
      </c>
    </row>
    <row r="1613" spans="1:8" x14ac:dyDescent="0.35">
      <c r="A1613" s="19"/>
      <c r="B1613" s="19" t="s">
        <v>22</v>
      </c>
      <c r="C1613" s="37">
        <v>45899</v>
      </c>
      <c r="D1613" s="31" t="s">
        <v>568</v>
      </c>
      <c r="E1613" s="31" t="s">
        <v>566</v>
      </c>
      <c r="F1613" s="31" t="s">
        <v>160</v>
      </c>
      <c r="H1613" s="38">
        <v>0</v>
      </c>
    </row>
    <row r="1614" spans="1:8" x14ac:dyDescent="0.35">
      <c r="A1614" s="19"/>
      <c r="B1614" s="19" t="s">
        <v>22</v>
      </c>
      <c r="C1614" s="37">
        <v>45899</v>
      </c>
      <c r="D1614" s="31" t="s">
        <v>569</v>
      </c>
      <c r="E1614" s="31" t="s">
        <v>570</v>
      </c>
      <c r="F1614" s="31" t="s">
        <v>160</v>
      </c>
      <c r="H1614" s="38">
        <v>0</v>
      </c>
    </row>
    <row r="1615" spans="1:8" x14ac:dyDescent="0.35">
      <c r="A1615" s="19"/>
      <c r="B1615" s="19" t="s">
        <v>22</v>
      </c>
      <c r="C1615" s="37">
        <v>45899</v>
      </c>
      <c r="D1615" s="31" t="s">
        <v>571</v>
      </c>
      <c r="E1615" s="31" t="s">
        <v>570</v>
      </c>
      <c r="F1615" s="31" t="s">
        <v>160</v>
      </c>
      <c r="H1615" s="38">
        <v>0</v>
      </c>
    </row>
    <row r="1616" spans="1:8" x14ac:dyDescent="0.35">
      <c r="A1616" s="19"/>
      <c r="B1616" s="19" t="s">
        <v>22</v>
      </c>
      <c r="C1616" s="37">
        <v>45899</v>
      </c>
      <c r="D1616" s="31" t="s">
        <v>572</v>
      </c>
      <c r="E1616" s="31" t="s">
        <v>221</v>
      </c>
      <c r="F1616" s="31" t="s">
        <v>160</v>
      </c>
      <c r="H1616" s="38">
        <v>0</v>
      </c>
    </row>
    <row r="1617" spans="1:8" x14ac:dyDescent="0.35">
      <c r="A1617" s="19"/>
      <c r="B1617" s="19" t="s">
        <v>22</v>
      </c>
      <c r="C1617" s="37">
        <v>45899</v>
      </c>
      <c r="D1617" s="31" t="s">
        <v>573</v>
      </c>
      <c r="E1617" s="31" t="s">
        <v>574</v>
      </c>
      <c r="F1617" s="31" t="s">
        <v>160</v>
      </c>
      <c r="H1617" s="38">
        <v>0</v>
      </c>
    </row>
    <row r="1618" spans="1:8" x14ac:dyDescent="0.35">
      <c r="A1618" s="19"/>
      <c r="B1618" s="19" t="s">
        <v>22</v>
      </c>
      <c r="C1618" s="37">
        <v>45899</v>
      </c>
      <c r="D1618" s="31" t="s">
        <v>575</v>
      </c>
      <c r="E1618" s="31" t="s">
        <v>574</v>
      </c>
      <c r="F1618" s="31" t="s">
        <v>160</v>
      </c>
      <c r="H1618" s="38">
        <v>0</v>
      </c>
    </row>
    <row r="1619" spans="1:8" x14ac:dyDescent="0.35">
      <c r="A1619" s="19"/>
      <c r="B1619" s="19" t="s">
        <v>22</v>
      </c>
      <c r="C1619" s="37">
        <v>45899</v>
      </c>
      <c r="D1619" s="31" t="s">
        <v>576</v>
      </c>
      <c r="E1619" s="31" t="s">
        <v>574</v>
      </c>
      <c r="F1619" s="31" t="s">
        <v>160</v>
      </c>
      <c r="H1619" s="38">
        <v>0</v>
      </c>
    </row>
    <row r="1620" spans="1:8" x14ac:dyDescent="0.35">
      <c r="A1620" s="19"/>
      <c r="B1620" s="19" t="s">
        <v>22</v>
      </c>
      <c r="C1620" s="37">
        <v>45899</v>
      </c>
      <c r="D1620" s="31" t="s">
        <v>577</v>
      </c>
      <c r="E1620" s="31" t="s">
        <v>48</v>
      </c>
      <c r="F1620" s="31" t="s">
        <v>160</v>
      </c>
      <c r="H1620" s="38">
        <v>0</v>
      </c>
    </row>
    <row r="1621" spans="1:8" x14ac:dyDescent="0.35">
      <c r="A1621" s="19"/>
      <c r="B1621" s="19" t="s">
        <v>22</v>
      </c>
      <c r="C1621" s="37">
        <v>45899</v>
      </c>
      <c r="D1621" s="31" t="s">
        <v>578</v>
      </c>
      <c r="E1621" s="31" t="s">
        <v>48</v>
      </c>
      <c r="F1621" s="31" t="s">
        <v>160</v>
      </c>
      <c r="H1621" s="38">
        <v>0</v>
      </c>
    </row>
    <row r="1622" spans="1:8" x14ac:dyDescent="0.35">
      <c r="A1622" s="19"/>
      <c r="B1622" s="19" t="s">
        <v>22</v>
      </c>
      <c r="C1622" s="37">
        <v>45899</v>
      </c>
      <c r="D1622" s="31" t="s">
        <v>579</v>
      </c>
      <c r="E1622" s="31" t="s">
        <v>559</v>
      </c>
      <c r="F1622" s="31" t="s">
        <v>160</v>
      </c>
      <c r="H1622" s="38">
        <v>0</v>
      </c>
    </row>
    <row r="1623" spans="1:8" x14ac:dyDescent="0.35">
      <c r="A1623" s="19"/>
      <c r="B1623" s="19" t="s">
        <v>22</v>
      </c>
      <c r="C1623" s="37">
        <v>45899</v>
      </c>
      <c r="D1623" s="31" t="s">
        <v>580</v>
      </c>
      <c r="E1623" s="31" t="s">
        <v>581</v>
      </c>
      <c r="F1623" s="31" t="s">
        <v>160</v>
      </c>
      <c r="H1623" s="38">
        <v>0</v>
      </c>
    </row>
    <row r="1624" spans="1:8" x14ac:dyDescent="0.35">
      <c r="A1624" s="19"/>
      <c r="B1624" s="19" t="s">
        <v>22</v>
      </c>
      <c r="C1624" s="37">
        <v>45899</v>
      </c>
      <c r="D1624" s="31" t="s">
        <v>582</v>
      </c>
      <c r="E1624" s="31" t="s">
        <v>581</v>
      </c>
      <c r="F1624" s="31" t="s">
        <v>160</v>
      </c>
      <c r="H1624" s="38">
        <v>0</v>
      </c>
    </row>
    <row r="1625" spans="1:8" x14ac:dyDescent="0.35">
      <c r="A1625" s="19"/>
      <c r="B1625" s="19" t="s">
        <v>22</v>
      </c>
      <c r="C1625" s="37">
        <v>45899</v>
      </c>
      <c r="D1625" s="31" t="s">
        <v>583</v>
      </c>
      <c r="E1625" s="31" t="s">
        <v>581</v>
      </c>
      <c r="F1625" s="31" t="s">
        <v>160</v>
      </c>
      <c r="H1625" s="38">
        <v>0</v>
      </c>
    </row>
    <row r="1626" spans="1:8" x14ac:dyDescent="0.35">
      <c r="A1626" s="19"/>
      <c r="B1626" s="19" t="s">
        <v>22</v>
      </c>
      <c r="C1626" s="37">
        <v>45899</v>
      </c>
      <c r="D1626" s="31" t="s">
        <v>584</v>
      </c>
      <c r="E1626" s="31" t="s">
        <v>581</v>
      </c>
      <c r="F1626" s="31" t="s">
        <v>160</v>
      </c>
      <c r="H1626" s="38">
        <v>0</v>
      </c>
    </row>
    <row r="1627" spans="1:8" x14ac:dyDescent="0.35">
      <c r="A1627" s="19"/>
      <c r="B1627" s="19" t="s">
        <v>22</v>
      </c>
      <c r="C1627" s="37">
        <v>45899</v>
      </c>
      <c r="D1627" s="31" t="s">
        <v>585</v>
      </c>
      <c r="E1627" s="31" t="s">
        <v>581</v>
      </c>
      <c r="F1627" s="31" t="s">
        <v>160</v>
      </c>
      <c r="H1627" s="38">
        <v>0</v>
      </c>
    </row>
    <row r="1628" spans="1:8" x14ac:dyDescent="0.35">
      <c r="A1628" s="19"/>
      <c r="B1628" s="19" t="s">
        <v>22</v>
      </c>
      <c r="C1628" s="37">
        <v>45899</v>
      </c>
      <c r="D1628" s="31">
        <v>36512</v>
      </c>
      <c r="E1628" s="31" t="s">
        <v>586</v>
      </c>
      <c r="F1628" s="31" t="s">
        <v>160</v>
      </c>
      <c r="H1628" s="38">
        <v>11839.48</v>
      </c>
    </row>
    <row r="1629" spans="1:8" x14ac:dyDescent="0.35">
      <c r="A1629" s="19"/>
      <c r="B1629" s="19" t="s">
        <v>22</v>
      </c>
      <c r="C1629" s="37">
        <v>45899</v>
      </c>
      <c r="D1629" s="31" t="s">
        <v>587</v>
      </c>
      <c r="E1629" s="31" t="s">
        <v>541</v>
      </c>
      <c r="F1629" s="31" t="s">
        <v>160</v>
      </c>
      <c r="H1629" s="38">
        <v>0</v>
      </c>
    </row>
    <row r="1630" spans="1:8" x14ac:dyDescent="0.35">
      <c r="A1630" s="19"/>
      <c r="B1630" s="19" t="s">
        <v>22</v>
      </c>
      <c r="C1630" s="37">
        <v>45899</v>
      </c>
      <c r="D1630" s="31" t="s">
        <v>588</v>
      </c>
      <c r="E1630" s="31" t="s">
        <v>91</v>
      </c>
      <c r="F1630" s="31" t="s">
        <v>160</v>
      </c>
      <c r="H1630" s="38">
        <v>0</v>
      </c>
    </row>
    <row r="1631" spans="1:8" x14ac:dyDescent="0.35">
      <c r="A1631" s="19"/>
      <c r="B1631" s="19" t="s">
        <v>22</v>
      </c>
      <c r="C1631" s="37">
        <v>45899</v>
      </c>
      <c r="D1631" s="31" t="s">
        <v>589</v>
      </c>
      <c r="E1631" s="31" t="s">
        <v>91</v>
      </c>
      <c r="F1631" s="31" t="s">
        <v>160</v>
      </c>
      <c r="H1631" s="38">
        <v>0</v>
      </c>
    </row>
    <row r="1632" spans="1:8" x14ac:dyDescent="0.35">
      <c r="A1632" s="19"/>
      <c r="B1632" s="19" t="s">
        <v>22</v>
      </c>
      <c r="C1632" s="37">
        <v>45899</v>
      </c>
      <c r="D1632" s="31" t="s">
        <v>590</v>
      </c>
      <c r="E1632" s="31" t="s">
        <v>91</v>
      </c>
      <c r="F1632" s="31" t="s">
        <v>160</v>
      </c>
      <c r="H1632" s="38">
        <v>0</v>
      </c>
    </row>
    <row r="1633" spans="1:8" x14ac:dyDescent="0.35">
      <c r="A1633" s="19"/>
      <c r="B1633" s="19" t="s">
        <v>22</v>
      </c>
      <c r="C1633" s="37">
        <v>45899</v>
      </c>
      <c r="D1633" s="31" t="s">
        <v>591</v>
      </c>
      <c r="E1633" s="31" t="s">
        <v>91</v>
      </c>
      <c r="F1633" s="31" t="s">
        <v>160</v>
      </c>
      <c r="H1633" s="38">
        <v>0</v>
      </c>
    </row>
    <row r="1634" spans="1:8" x14ac:dyDescent="0.35">
      <c r="A1634" s="19"/>
      <c r="B1634" s="19" t="s">
        <v>22</v>
      </c>
      <c r="C1634" s="37">
        <v>45899</v>
      </c>
      <c r="D1634" s="31" t="s">
        <v>592</v>
      </c>
      <c r="E1634" s="31" t="s">
        <v>91</v>
      </c>
      <c r="F1634" s="31" t="s">
        <v>160</v>
      </c>
      <c r="H1634" s="38">
        <v>0</v>
      </c>
    </row>
    <row r="1635" spans="1:8" x14ac:dyDescent="0.35">
      <c r="A1635" s="19"/>
      <c r="B1635" s="19" t="s">
        <v>22</v>
      </c>
      <c r="C1635" s="37">
        <v>45899</v>
      </c>
      <c r="D1635" s="31" t="s">
        <v>593</v>
      </c>
      <c r="E1635" s="31" t="s">
        <v>91</v>
      </c>
      <c r="F1635" s="31" t="s">
        <v>160</v>
      </c>
      <c r="H1635" s="38">
        <v>0</v>
      </c>
    </row>
    <row r="1636" spans="1:8" x14ac:dyDescent="0.35">
      <c r="A1636" s="19"/>
      <c r="B1636" s="19" t="s">
        <v>22</v>
      </c>
      <c r="C1636" s="37">
        <v>45899</v>
      </c>
      <c r="D1636" s="31" t="s">
        <v>594</v>
      </c>
      <c r="E1636" s="31" t="s">
        <v>91</v>
      </c>
      <c r="F1636" s="31" t="s">
        <v>160</v>
      </c>
      <c r="H1636" s="38">
        <v>0</v>
      </c>
    </row>
    <row r="1637" spans="1:8" x14ac:dyDescent="0.35">
      <c r="A1637" s="19"/>
      <c r="B1637" s="19" t="s">
        <v>22</v>
      </c>
      <c r="C1637" s="37">
        <v>45899</v>
      </c>
      <c r="D1637" s="31" t="s">
        <v>595</v>
      </c>
      <c r="E1637" s="31" t="s">
        <v>91</v>
      </c>
      <c r="F1637" s="31" t="s">
        <v>160</v>
      </c>
      <c r="H1637" s="38">
        <v>0</v>
      </c>
    </row>
    <row r="1638" spans="1:8" x14ac:dyDescent="0.35">
      <c r="A1638" s="19"/>
      <c r="B1638" s="19" t="s">
        <v>22</v>
      </c>
      <c r="C1638" s="37">
        <v>45899</v>
      </c>
      <c r="D1638" s="31" t="s">
        <v>596</v>
      </c>
      <c r="E1638" s="31" t="s">
        <v>597</v>
      </c>
      <c r="F1638" s="31" t="s">
        <v>160</v>
      </c>
      <c r="H1638" s="38">
        <v>0</v>
      </c>
    </row>
    <row r="1639" spans="1:8" x14ac:dyDescent="0.35">
      <c r="A1639" s="19"/>
      <c r="B1639" s="19" t="s">
        <v>22</v>
      </c>
      <c r="C1639" s="37">
        <v>45899</v>
      </c>
      <c r="D1639" s="31" t="s">
        <v>598</v>
      </c>
      <c r="E1639" s="31" t="s">
        <v>597</v>
      </c>
      <c r="F1639" s="31" t="s">
        <v>160</v>
      </c>
      <c r="H1639" s="38">
        <v>0</v>
      </c>
    </row>
    <row r="1640" spans="1:8" x14ac:dyDescent="0.35">
      <c r="A1640" s="19"/>
      <c r="B1640" s="19" t="s">
        <v>22</v>
      </c>
      <c r="C1640" s="37">
        <v>45899</v>
      </c>
      <c r="D1640" s="31" t="s">
        <v>599</v>
      </c>
      <c r="E1640" s="31" t="s">
        <v>597</v>
      </c>
      <c r="F1640" s="31" t="s">
        <v>160</v>
      </c>
      <c r="H1640" s="38">
        <v>0</v>
      </c>
    </row>
    <row r="1641" spans="1:8" x14ac:dyDescent="0.35">
      <c r="A1641" s="19"/>
      <c r="B1641" s="19" t="s">
        <v>22</v>
      </c>
      <c r="C1641" s="37">
        <v>45899</v>
      </c>
      <c r="D1641" s="31" t="s">
        <v>600</v>
      </c>
      <c r="E1641" s="31" t="s">
        <v>176</v>
      </c>
      <c r="F1641" s="31" t="s">
        <v>160</v>
      </c>
      <c r="H1641" s="38">
        <v>0</v>
      </c>
    </row>
    <row r="1642" spans="1:8" x14ac:dyDescent="0.35">
      <c r="A1642" s="19"/>
      <c r="B1642" s="19" t="s">
        <v>22</v>
      </c>
      <c r="C1642" s="37">
        <v>45899</v>
      </c>
      <c r="D1642" s="31" t="s">
        <v>601</v>
      </c>
      <c r="E1642" s="31" t="s">
        <v>176</v>
      </c>
      <c r="F1642" s="31" t="s">
        <v>160</v>
      </c>
      <c r="H1642" s="38">
        <v>0</v>
      </c>
    </row>
    <row r="1643" spans="1:8" x14ac:dyDescent="0.35">
      <c r="A1643" s="19"/>
      <c r="B1643" s="19" t="s">
        <v>22</v>
      </c>
      <c r="C1643" s="37">
        <v>45899</v>
      </c>
      <c r="D1643" s="31" t="s">
        <v>602</v>
      </c>
      <c r="E1643" s="31" t="s">
        <v>176</v>
      </c>
      <c r="F1643" s="31" t="s">
        <v>160</v>
      </c>
      <c r="H1643" s="38">
        <v>0</v>
      </c>
    </row>
    <row r="1644" spans="1:8" x14ac:dyDescent="0.35">
      <c r="A1644" s="19"/>
      <c r="B1644" s="19" t="s">
        <v>22</v>
      </c>
      <c r="C1644" s="37">
        <v>45899</v>
      </c>
      <c r="D1644" s="31" t="s">
        <v>603</v>
      </c>
      <c r="E1644" s="31" t="s">
        <v>176</v>
      </c>
      <c r="F1644" s="31" t="s">
        <v>160</v>
      </c>
      <c r="H1644" s="38">
        <v>0</v>
      </c>
    </row>
    <row r="1645" spans="1:8" x14ac:dyDescent="0.35">
      <c r="A1645" s="19"/>
      <c r="B1645" s="19" t="s">
        <v>22</v>
      </c>
      <c r="C1645" s="37">
        <v>45899</v>
      </c>
      <c r="D1645" s="31" t="s">
        <v>604</v>
      </c>
      <c r="E1645" s="31" t="s">
        <v>605</v>
      </c>
      <c r="F1645" s="31" t="s">
        <v>160</v>
      </c>
      <c r="H1645" s="38">
        <v>0</v>
      </c>
    </row>
    <row r="1646" spans="1:8" x14ac:dyDescent="0.35">
      <c r="A1646" s="19"/>
      <c r="B1646" s="19" t="s">
        <v>22</v>
      </c>
      <c r="C1646" s="37">
        <v>45899</v>
      </c>
      <c r="D1646" s="31" t="s">
        <v>606</v>
      </c>
      <c r="E1646" s="31" t="s">
        <v>605</v>
      </c>
      <c r="F1646" s="31" t="s">
        <v>160</v>
      </c>
      <c r="H1646" s="38">
        <v>0</v>
      </c>
    </row>
    <row r="1647" spans="1:8" x14ac:dyDescent="0.35">
      <c r="A1647" s="19"/>
      <c r="B1647" s="19" t="s">
        <v>22</v>
      </c>
      <c r="C1647" s="37">
        <v>45899</v>
      </c>
      <c r="D1647" s="31" t="s">
        <v>607</v>
      </c>
      <c r="E1647" s="31" t="s">
        <v>57</v>
      </c>
      <c r="F1647" s="31" t="s">
        <v>160</v>
      </c>
      <c r="H1647" s="38">
        <v>0</v>
      </c>
    </row>
    <row r="1648" spans="1:8" x14ac:dyDescent="0.35">
      <c r="A1648" s="19"/>
      <c r="B1648" s="19" t="s">
        <v>22</v>
      </c>
      <c r="C1648" s="37">
        <v>45899</v>
      </c>
      <c r="D1648" s="31" t="s">
        <v>608</v>
      </c>
      <c r="E1648" s="31" t="s">
        <v>57</v>
      </c>
      <c r="F1648" s="31" t="s">
        <v>160</v>
      </c>
      <c r="H1648" s="38">
        <v>0</v>
      </c>
    </row>
    <row r="1649" spans="1:8" x14ac:dyDescent="0.35">
      <c r="A1649" s="19"/>
      <c r="B1649" s="19" t="s">
        <v>22</v>
      </c>
      <c r="C1649" s="37">
        <v>45899</v>
      </c>
      <c r="D1649" s="31" t="s">
        <v>609</v>
      </c>
      <c r="E1649" s="31" t="s">
        <v>57</v>
      </c>
      <c r="F1649" s="31" t="s">
        <v>160</v>
      </c>
      <c r="H1649" s="38">
        <v>0</v>
      </c>
    </row>
    <row r="1650" spans="1:8" x14ac:dyDescent="0.35">
      <c r="A1650" s="19"/>
      <c r="B1650" s="19" t="s">
        <v>22</v>
      </c>
      <c r="C1650" s="37">
        <v>45899</v>
      </c>
      <c r="D1650" s="31" t="s">
        <v>610</v>
      </c>
      <c r="E1650" s="31" t="s">
        <v>57</v>
      </c>
      <c r="F1650" s="31" t="s">
        <v>160</v>
      </c>
      <c r="H1650" s="38">
        <v>0</v>
      </c>
    </row>
    <row r="1651" spans="1:8" x14ac:dyDescent="0.35">
      <c r="A1651" s="19"/>
      <c r="B1651" s="19" t="s">
        <v>22</v>
      </c>
      <c r="C1651" s="37">
        <v>45899</v>
      </c>
      <c r="D1651" s="31" t="s">
        <v>611</v>
      </c>
      <c r="E1651" s="31" t="s">
        <v>57</v>
      </c>
      <c r="F1651" s="31" t="s">
        <v>160</v>
      </c>
      <c r="H1651" s="38">
        <v>0</v>
      </c>
    </row>
    <row r="1652" spans="1:8" x14ac:dyDescent="0.35">
      <c r="A1652" s="19"/>
      <c r="B1652" s="19" t="s">
        <v>22</v>
      </c>
      <c r="C1652" s="37">
        <v>45899</v>
      </c>
      <c r="D1652" s="31" t="s">
        <v>612</v>
      </c>
      <c r="E1652" s="31" t="s">
        <v>57</v>
      </c>
      <c r="F1652" s="31" t="s">
        <v>160</v>
      </c>
      <c r="H1652" s="38">
        <v>0</v>
      </c>
    </row>
    <row r="1653" spans="1:8" x14ac:dyDescent="0.35">
      <c r="A1653" s="19"/>
      <c r="B1653" s="19" t="s">
        <v>22</v>
      </c>
      <c r="C1653" s="37">
        <v>45899</v>
      </c>
      <c r="D1653" s="31" t="s">
        <v>613</v>
      </c>
      <c r="E1653" s="31" t="s">
        <v>57</v>
      </c>
      <c r="F1653" s="31" t="s">
        <v>160</v>
      </c>
      <c r="H1653" s="38">
        <v>0</v>
      </c>
    </row>
    <row r="1654" spans="1:8" x14ac:dyDescent="0.35">
      <c r="A1654" s="19"/>
      <c r="B1654" s="19" t="s">
        <v>22</v>
      </c>
      <c r="C1654" s="37">
        <v>45899</v>
      </c>
      <c r="D1654" s="31" t="s">
        <v>614</v>
      </c>
      <c r="E1654" s="31" t="s">
        <v>57</v>
      </c>
      <c r="F1654" s="31" t="s">
        <v>160</v>
      </c>
      <c r="H1654" s="38">
        <v>0</v>
      </c>
    </row>
    <row r="1655" spans="1:8" x14ac:dyDescent="0.35">
      <c r="A1655" s="19"/>
      <c r="B1655" s="19" t="s">
        <v>22</v>
      </c>
      <c r="C1655" s="37">
        <v>45899</v>
      </c>
      <c r="D1655" s="31" t="s">
        <v>615</v>
      </c>
      <c r="E1655" s="31" t="s">
        <v>57</v>
      </c>
      <c r="F1655" s="31" t="s">
        <v>160</v>
      </c>
      <c r="H1655" s="38">
        <v>0</v>
      </c>
    </row>
    <row r="1656" spans="1:8" x14ac:dyDescent="0.35">
      <c r="A1656" s="19"/>
      <c r="B1656" s="19" t="s">
        <v>22</v>
      </c>
      <c r="C1656" s="37">
        <v>45899</v>
      </c>
      <c r="D1656" s="31" t="s">
        <v>616</v>
      </c>
      <c r="E1656" s="31" t="s">
        <v>57</v>
      </c>
      <c r="F1656" s="31" t="s">
        <v>160</v>
      </c>
      <c r="H1656" s="38">
        <v>0</v>
      </c>
    </row>
    <row r="1657" spans="1:8" x14ac:dyDescent="0.35">
      <c r="A1657" s="19"/>
      <c r="B1657" s="19" t="s">
        <v>22</v>
      </c>
      <c r="C1657" s="37">
        <v>45899</v>
      </c>
      <c r="D1657" s="31" t="s">
        <v>617</v>
      </c>
      <c r="E1657" s="31" t="s">
        <v>57</v>
      </c>
      <c r="F1657" s="31" t="s">
        <v>160</v>
      </c>
      <c r="H1657" s="38">
        <v>0</v>
      </c>
    </row>
    <row r="1658" spans="1:8" x14ac:dyDescent="0.35">
      <c r="A1658" s="19"/>
      <c r="B1658" s="19" t="s">
        <v>22</v>
      </c>
      <c r="C1658" s="37">
        <v>45899</v>
      </c>
      <c r="D1658" s="31" t="s">
        <v>618</v>
      </c>
      <c r="E1658" s="31" t="s">
        <v>57</v>
      </c>
      <c r="F1658" s="31" t="s">
        <v>160</v>
      </c>
      <c r="H1658" s="38">
        <v>0.56000000000000005</v>
      </c>
    </row>
    <row r="1659" spans="1:8" x14ac:dyDescent="0.35">
      <c r="A1659" s="19"/>
      <c r="B1659" s="19" t="s">
        <v>22</v>
      </c>
      <c r="C1659" s="37">
        <v>45899</v>
      </c>
      <c r="D1659" s="31" t="s">
        <v>619</v>
      </c>
      <c r="E1659" s="31" t="s">
        <v>57</v>
      </c>
      <c r="F1659" s="31" t="s">
        <v>160</v>
      </c>
      <c r="H1659" s="38">
        <v>0</v>
      </c>
    </row>
    <row r="1660" spans="1:8" x14ac:dyDescent="0.35">
      <c r="A1660" s="19"/>
      <c r="B1660" s="19" t="s">
        <v>22</v>
      </c>
      <c r="C1660" s="37">
        <v>45899</v>
      </c>
      <c r="D1660" s="31" t="s">
        <v>620</v>
      </c>
      <c r="E1660" s="31" t="s">
        <v>128</v>
      </c>
      <c r="F1660" s="31" t="s">
        <v>160</v>
      </c>
      <c r="H1660" s="38">
        <v>0</v>
      </c>
    </row>
    <row r="1661" spans="1:8" x14ac:dyDescent="0.35">
      <c r="A1661" s="19"/>
      <c r="B1661" s="19" t="s">
        <v>22</v>
      </c>
      <c r="C1661" s="37">
        <v>45899</v>
      </c>
      <c r="D1661" s="31" t="s">
        <v>621</v>
      </c>
      <c r="E1661" s="31" t="s">
        <v>128</v>
      </c>
      <c r="F1661" s="31" t="s">
        <v>160</v>
      </c>
      <c r="H1661" s="38">
        <v>0</v>
      </c>
    </row>
    <row r="1662" spans="1:8" x14ac:dyDescent="0.35">
      <c r="A1662" s="19"/>
      <c r="B1662" s="19" t="s">
        <v>22</v>
      </c>
      <c r="C1662" s="37">
        <v>45899</v>
      </c>
      <c r="D1662" s="31" t="s">
        <v>622</v>
      </c>
      <c r="E1662" s="31" t="s">
        <v>128</v>
      </c>
      <c r="F1662" s="31" t="s">
        <v>160</v>
      </c>
      <c r="H1662" s="38">
        <v>0</v>
      </c>
    </row>
    <row r="1663" spans="1:8" x14ac:dyDescent="0.35">
      <c r="A1663" s="19"/>
      <c r="B1663" s="19" t="s">
        <v>22</v>
      </c>
      <c r="C1663" s="37">
        <v>45899</v>
      </c>
      <c r="D1663" s="31" t="s">
        <v>623</v>
      </c>
      <c r="E1663" s="31" t="s">
        <v>128</v>
      </c>
      <c r="F1663" s="31" t="s">
        <v>160</v>
      </c>
      <c r="H1663" s="38">
        <v>0</v>
      </c>
    </row>
    <row r="1664" spans="1:8" x14ac:dyDescent="0.35">
      <c r="A1664" s="19"/>
      <c r="B1664" s="19" t="s">
        <v>22</v>
      </c>
      <c r="C1664" s="37">
        <v>45899</v>
      </c>
      <c r="D1664" s="31" t="s">
        <v>624</v>
      </c>
      <c r="E1664" s="31" t="s">
        <v>128</v>
      </c>
      <c r="F1664" s="31" t="s">
        <v>160</v>
      </c>
      <c r="H1664" s="38">
        <v>0</v>
      </c>
    </row>
    <row r="1665" spans="1:8" x14ac:dyDescent="0.35">
      <c r="A1665" s="19"/>
      <c r="B1665" s="19" t="s">
        <v>22</v>
      </c>
      <c r="C1665" s="37">
        <v>45899</v>
      </c>
      <c r="D1665" s="31" t="s">
        <v>625</v>
      </c>
      <c r="E1665" s="31" t="s">
        <v>626</v>
      </c>
      <c r="F1665" s="31" t="s">
        <v>160</v>
      </c>
      <c r="H1665" s="38">
        <v>48.79</v>
      </c>
    </row>
    <row r="1666" spans="1:8" x14ac:dyDescent="0.35">
      <c r="A1666" s="19"/>
      <c r="B1666" s="19" t="s">
        <v>22</v>
      </c>
      <c r="C1666" s="37">
        <v>45899</v>
      </c>
      <c r="D1666" s="31" t="s">
        <v>627</v>
      </c>
      <c r="E1666" s="31" t="s">
        <v>626</v>
      </c>
      <c r="F1666" s="31" t="s">
        <v>160</v>
      </c>
      <c r="H1666" s="38">
        <v>8.92</v>
      </c>
    </row>
    <row r="1667" spans="1:8" x14ac:dyDescent="0.35">
      <c r="A1667" s="19"/>
      <c r="B1667" s="19" t="s">
        <v>22</v>
      </c>
      <c r="C1667" s="37">
        <v>45899</v>
      </c>
      <c r="D1667" s="31" t="s">
        <v>628</v>
      </c>
      <c r="E1667" s="31" t="s">
        <v>82</v>
      </c>
      <c r="F1667" s="31" t="s">
        <v>160</v>
      </c>
      <c r="H1667" s="38">
        <v>0</v>
      </c>
    </row>
    <row r="1668" spans="1:8" x14ac:dyDescent="0.35">
      <c r="A1668" s="19"/>
      <c r="B1668" s="19" t="s">
        <v>22</v>
      </c>
      <c r="C1668" s="37">
        <v>45899</v>
      </c>
      <c r="D1668" s="31" t="s">
        <v>629</v>
      </c>
      <c r="E1668" s="31" t="s">
        <v>82</v>
      </c>
      <c r="F1668" s="31" t="s">
        <v>160</v>
      </c>
      <c r="H1668" s="38">
        <v>0</v>
      </c>
    </row>
    <row r="1669" spans="1:8" x14ac:dyDescent="0.35">
      <c r="A1669" s="19"/>
      <c r="B1669" s="19" t="s">
        <v>22</v>
      </c>
      <c r="C1669" s="37">
        <v>45899</v>
      </c>
      <c r="D1669" s="31" t="s">
        <v>630</v>
      </c>
      <c r="E1669" s="31" t="s">
        <v>82</v>
      </c>
      <c r="F1669" s="31" t="s">
        <v>160</v>
      </c>
      <c r="H1669" s="38">
        <v>0</v>
      </c>
    </row>
    <row r="1670" spans="1:8" x14ac:dyDescent="0.35">
      <c r="A1670" s="19"/>
      <c r="B1670" s="19" t="s">
        <v>22</v>
      </c>
      <c r="C1670" s="37">
        <v>45899</v>
      </c>
      <c r="D1670" s="31" t="s">
        <v>631</v>
      </c>
      <c r="E1670" s="31" t="s">
        <v>233</v>
      </c>
      <c r="F1670" s="31" t="s">
        <v>160</v>
      </c>
      <c r="H1670" s="38">
        <v>0</v>
      </c>
    </row>
    <row r="1671" spans="1:8" x14ac:dyDescent="0.35">
      <c r="A1671" s="19"/>
      <c r="B1671" s="19" t="s">
        <v>22</v>
      </c>
      <c r="C1671" s="37">
        <v>45899</v>
      </c>
      <c r="D1671" s="31" t="s">
        <v>632</v>
      </c>
      <c r="E1671" s="31" t="s">
        <v>233</v>
      </c>
      <c r="F1671" s="31" t="s">
        <v>160</v>
      </c>
      <c r="H1671" s="38">
        <v>0</v>
      </c>
    </row>
    <row r="1672" spans="1:8" x14ac:dyDescent="0.35">
      <c r="A1672" s="19"/>
      <c r="B1672" s="19" t="s">
        <v>22</v>
      </c>
      <c r="C1672" s="37">
        <v>45899</v>
      </c>
      <c r="D1672" s="31" t="s">
        <v>633</v>
      </c>
      <c r="E1672" s="31" t="s">
        <v>233</v>
      </c>
      <c r="F1672" s="31" t="s">
        <v>160</v>
      </c>
      <c r="H1672" s="38">
        <v>0</v>
      </c>
    </row>
    <row r="1673" spans="1:8" x14ac:dyDescent="0.35">
      <c r="A1673" s="19"/>
      <c r="B1673" s="19" t="s">
        <v>22</v>
      </c>
      <c r="C1673" s="37">
        <v>45899</v>
      </c>
      <c r="D1673" s="31" t="s">
        <v>634</v>
      </c>
      <c r="E1673" s="31" t="s">
        <v>635</v>
      </c>
      <c r="F1673" s="31" t="s">
        <v>160</v>
      </c>
      <c r="H1673" s="38">
        <v>0</v>
      </c>
    </row>
    <row r="1674" spans="1:8" x14ac:dyDescent="0.35">
      <c r="A1674" s="19"/>
      <c r="B1674" s="19" t="s">
        <v>22</v>
      </c>
      <c r="C1674" s="37">
        <v>45899</v>
      </c>
      <c r="D1674" s="31" t="s">
        <v>636</v>
      </c>
      <c r="E1674" s="31" t="s">
        <v>635</v>
      </c>
      <c r="F1674" s="31" t="s">
        <v>160</v>
      </c>
      <c r="H1674" s="38">
        <v>0</v>
      </c>
    </row>
    <row r="1675" spans="1:8" x14ac:dyDescent="0.35">
      <c r="A1675" s="19"/>
      <c r="B1675" s="19" t="s">
        <v>22</v>
      </c>
      <c r="C1675" s="37">
        <v>45899</v>
      </c>
      <c r="D1675" s="31" t="s">
        <v>637</v>
      </c>
      <c r="E1675" s="31" t="s">
        <v>635</v>
      </c>
      <c r="F1675" s="31" t="s">
        <v>160</v>
      </c>
      <c r="H1675" s="38">
        <v>0</v>
      </c>
    </row>
    <row r="1676" spans="1:8" x14ac:dyDescent="0.35">
      <c r="A1676" s="19"/>
      <c r="B1676" s="19" t="s">
        <v>22</v>
      </c>
      <c r="C1676" s="37">
        <v>45899</v>
      </c>
      <c r="D1676" s="31" t="s">
        <v>638</v>
      </c>
      <c r="E1676" s="31" t="s">
        <v>635</v>
      </c>
      <c r="F1676" s="31" t="s">
        <v>160</v>
      </c>
      <c r="H1676" s="38">
        <v>0</v>
      </c>
    </row>
    <row r="1677" spans="1:8" x14ac:dyDescent="0.35">
      <c r="A1677" s="19"/>
      <c r="B1677" s="19" t="s">
        <v>22</v>
      </c>
      <c r="C1677" s="37">
        <v>45899</v>
      </c>
      <c r="D1677" s="31" t="s">
        <v>639</v>
      </c>
      <c r="E1677" s="31" t="s">
        <v>235</v>
      </c>
      <c r="F1677" s="31" t="s">
        <v>160</v>
      </c>
      <c r="H1677" s="38">
        <v>600</v>
      </c>
    </row>
    <row r="1678" spans="1:8" x14ac:dyDescent="0.35">
      <c r="A1678" s="19"/>
      <c r="B1678" s="19" t="s">
        <v>22</v>
      </c>
      <c r="C1678" s="37">
        <v>45899</v>
      </c>
      <c r="D1678" s="31" t="s">
        <v>640</v>
      </c>
      <c r="E1678" s="31" t="s">
        <v>235</v>
      </c>
      <c r="F1678" s="31" t="s">
        <v>160</v>
      </c>
      <c r="H1678" s="38">
        <v>0</v>
      </c>
    </row>
    <row r="1679" spans="1:8" x14ac:dyDescent="0.35">
      <c r="A1679" s="19"/>
      <c r="B1679" s="19" t="s">
        <v>22</v>
      </c>
      <c r="C1679" s="37">
        <v>45899</v>
      </c>
      <c r="D1679" s="31" t="s">
        <v>641</v>
      </c>
      <c r="E1679" s="31" t="s">
        <v>235</v>
      </c>
      <c r="F1679" s="31" t="s">
        <v>160</v>
      </c>
      <c r="H1679" s="38">
        <v>0</v>
      </c>
    </row>
    <row r="1680" spans="1:8" x14ac:dyDescent="0.35">
      <c r="A1680" s="19"/>
      <c r="B1680" s="19" t="s">
        <v>22</v>
      </c>
      <c r="C1680" s="37">
        <v>45899</v>
      </c>
      <c r="D1680" s="31" t="s">
        <v>642</v>
      </c>
      <c r="E1680" s="31" t="s">
        <v>235</v>
      </c>
      <c r="F1680" s="31" t="s">
        <v>160</v>
      </c>
      <c r="H1680" s="38">
        <v>0</v>
      </c>
    </row>
    <row r="1681" spans="1:8" x14ac:dyDescent="0.35">
      <c r="A1681" s="19"/>
      <c r="B1681" s="19" t="s">
        <v>22</v>
      </c>
      <c r="C1681" s="37">
        <v>45899</v>
      </c>
      <c r="D1681" s="31" t="s">
        <v>643</v>
      </c>
      <c r="E1681" s="31" t="s">
        <v>235</v>
      </c>
      <c r="F1681" s="31" t="s">
        <v>160</v>
      </c>
      <c r="H1681" s="38">
        <v>0</v>
      </c>
    </row>
    <row r="1682" spans="1:8" x14ac:dyDescent="0.35">
      <c r="A1682" s="19"/>
      <c r="B1682" s="19" t="s">
        <v>22</v>
      </c>
      <c r="C1682" s="37">
        <v>45899</v>
      </c>
      <c r="D1682" s="31" t="s">
        <v>644</v>
      </c>
      <c r="E1682" s="31" t="s">
        <v>235</v>
      </c>
      <c r="F1682" s="31" t="s">
        <v>160</v>
      </c>
      <c r="H1682" s="38">
        <v>0</v>
      </c>
    </row>
    <row r="1683" spans="1:8" x14ac:dyDescent="0.35">
      <c r="A1683" s="19"/>
      <c r="B1683" s="19" t="s">
        <v>22</v>
      </c>
      <c r="C1683" s="37">
        <v>45899</v>
      </c>
      <c r="D1683" s="31" t="s">
        <v>645</v>
      </c>
      <c r="E1683" s="31" t="s">
        <v>235</v>
      </c>
      <c r="F1683" s="31" t="s">
        <v>160</v>
      </c>
      <c r="H1683" s="38">
        <v>0</v>
      </c>
    </row>
    <row r="1684" spans="1:8" x14ac:dyDescent="0.35">
      <c r="A1684" s="19"/>
      <c r="B1684" s="19" t="s">
        <v>22</v>
      </c>
      <c r="C1684" s="37">
        <v>45899</v>
      </c>
      <c r="D1684" s="31" t="s">
        <v>646</v>
      </c>
      <c r="E1684" s="31" t="s">
        <v>235</v>
      </c>
      <c r="F1684" s="31" t="s">
        <v>160</v>
      </c>
      <c r="H1684" s="38">
        <v>0</v>
      </c>
    </row>
    <row r="1685" spans="1:8" x14ac:dyDescent="0.35">
      <c r="A1685" s="19"/>
      <c r="B1685" s="19" t="s">
        <v>22</v>
      </c>
      <c r="C1685" s="37">
        <v>45899</v>
      </c>
      <c r="D1685" s="31" t="s">
        <v>647</v>
      </c>
      <c r="E1685" s="31" t="s">
        <v>235</v>
      </c>
      <c r="F1685" s="31" t="s">
        <v>160</v>
      </c>
      <c r="H1685" s="38">
        <v>0</v>
      </c>
    </row>
    <row r="1686" spans="1:8" x14ac:dyDescent="0.35">
      <c r="A1686" s="19"/>
      <c r="B1686" s="19" t="s">
        <v>22</v>
      </c>
      <c r="C1686" s="37">
        <v>45899</v>
      </c>
      <c r="D1686" s="31" t="s">
        <v>648</v>
      </c>
      <c r="E1686" s="31" t="s">
        <v>235</v>
      </c>
      <c r="F1686" s="31" t="s">
        <v>160</v>
      </c>
      <c r="H1686" s="38">
        <v>0</v>
      </c>
    </row>
    <row r="1687" spans="1:8" x14ac:dyDescent="0.35">
      <c r="A1687" s="19"/>
      <c r="B1687" s="19" t="s">
        <v>22</v>
      </c>
      <c r="C1687" s="37">
        <v>45899</v>
      </c>
      <c r="D1687" s="31" t="s">
        <v>649</v>
      </c>
      <c r="E1687" s="31" t="s">
        <v>131</v>
      </c>
      <c r="F1687" s="31" t="s">
        <v>160</v>
      </c>
      <c r="H1687" s="38">
        <v>0</v>
      </c>
    </row>
    <row r="1688" spans="1:8" x14ac:dyDescent="0.35">
      <c r="A1688" s="19"/>
      <c r="B1688" s="19" t="s">
        <v>22</v>
      </c>
      <c r="C1688" s="37">
        <v>45899</v>
      </c>
      <c r="D1688" s="31" t="s">
        <v>650</v>
      </c>
      <c r="E1688" s="31" t="s">
        <v>651</v>
      </c>
      <c r="F1688" s="31" t="s">
        <v>160</v>
      </c>
      <c r="H1688" s="38">
        <v>0</v>
      </c>
    </row>
    <row r="1689" spans="1:8" x14ac:dyDescent="0.35">
      <c r="A1689" s="19"/>
      <c r="B1689" s="19" t="s">
        <v>22</v>
      </c>
      <c r="C1689" s="37">
        <v>45899</v>
      </c>
      <c r="D1689" s="31" t="s">
        <v>652</v>
      </c>
      <c r="E1689" s="31" t="s">
        <v>57</v>
      </c>
      <c r="F1689" s="31" t="s">
        <v>160</v>
      </c>
      <c r="H1689" s="38">
        <v>0</v>
      </c>
    </row>
    <row r="1690" spans="1:8" x14ac:dyDescent="0.35">
      <c r="A1690" s="19"/>
      <c r="B1690" s="19" t="s">
        <v>22</v>
      </c>
      <c r="C1690" s="37">
        <v>45899</v>
      </c>
      <c r="D1690" s="31" t="s">
        <v>653</v>
      </c>
      <c r="E1690" s="31" t="s">
        <v>131</v>
      </c>
      <c r="F1690" s="31" t="s">
        <v>160</v>
      </c>
      <c r="H1690" s="38">
        <v>0</v>
      </c>
    </row>
    <row r="1691" spans="1:8" x14ac:dyDescent="0.35">
      <c r="A1691" s="19"/>
      <c r="B1691" s="19" t="s">
        <v>22</v>
      </c>
      <c r="C1691" s="37">
        <v>45899</v>
      </c>
      <c r="D1691" s="31" t="s">
        <v>654</v>
      </c>
      <c r="E1691" s="31" t="s">
        <v>655</v>
      </c>
      <c r="F1691" s="31" t="s">
        <v>160</v>
      </c>
      <c r="H1691" s="38">
        <v>0</v>
      </c>
    </row>
    <row r="1692" spans="1:8" x14ac:dyDescent="0.35">
      <c r="A1692" s="19"/>
      <c r="B1692" s="19" t="s">
        <v>22</v>
      </c>
      <c r="C1692" s="37">
        <v>45899</v>
      </c>
      <c r="D1692" s="31" t="s">
        <v>656</v>
      </c>
      <c r="E1692" s="31" t="s">
        <v>464</v>
      </c>
      <c r="F1692" s="31" t="s">
        <v>160</v>
      </c>
      <c r="H1692" s="38">
        <v>0</v>
      </c>
    </row>
    <row r="1693" spans="1:8" x14ac:dyDescent="0.35">
      <c r="A1693" s="19"/>
      <c r="B1693" s="19" t="s">
        <v>22</v>
      </c>
      <c r="C1693" s="37">
        <v>45899</v>
      </c>
      <c r="D1693" s="31" t="s">
        <v>657</v>
      </c>
      <c r="E1693" s="31" t="s">
        <v>145</v>
      </c>
      <c r="F1693" s="31" t="s">
        <v>160</v>
      </c>
      <c r="H1693" s="38">
        <v>0</v>
      </c>
    </row>
    <row r="1694" spans="1:8" x14ac:dyDescent="0.35">
      <c r="A1694" s="19"/>
      <c r="B1694" s="19" t="s">
        <v>22</v>
      </c>
      <c r="C1694" s="37">
        <v>45899</v>
      </c>
      <c r="D1694" s="31" t="s">
        <v>658</v>
      </c>
      <c r="E1694" s="31" t="s">
        <v>145</v>
      </c>
      <c r="F1694" s="31" t="s">
        <v>160</v>
      </c>
      <c r="H1694" s="38">
        <v>0</v>
      </c>
    </row>
    <row r="1695" spans="1:8" x14ac:dyDescent="0.35">
      <c r="A1695" s="19"/>
      <c r="B1695" s="19" t="s">
        <v>22</v>
      </c>
      <c r="C1695" s="37">
        <v>45899</v>
      </c>
      <c r="D1695" s="31" t="s">
        <v>659</v>
      </c>
      <c r="E1695" s="31" t="s">
        <v>145</v>
      </c>
      <c r="F1695" s="31" t="s">
        <v>160</v>
      </c>
      <c r="H1695" s="38">
        <v>0</v>
      </c>
    </row>
    <row r="1696" spans="1:8" x14ac:dyDescent="0.35">
      <c r="A1696" s="19"/>
      <c r="B1696" s="19" t="s">
        <v>22</v>
      </c>
      <c r="C1696" s="37">
        <v>45899</v>
      </c>
      <c r="D1696" s="31" t="s">
        <v>660</v>
      </c>
      <c r="E1696" s="31" t="s">
        <v>145</v>
      </c>
      <c r="F1696" s="31" t="s">
        <v>160</v>
      </c>
      <c r="H1696" s="38">
        <v>0</v>
      </c>
    </row>
    <row r="1697" spans="1:8" x14ac:dyDescent="0.35">
      <c r="A1697" s="19"/>
      <c r="B1697" s="19" t="s">
        <v>22</v>
      </c>
      <c r="C1697" s="37">
        <v>45899</v>
      </c>
      <c r="D1697" s="31" t="s">
        <v>661</v>
      </c>
      <c r="E1697" s="31" t="s">
        <v>145</v>
      </c>
      <c r="F1697" s="31" t="s">
        <v>160</v>
      </c>
      <c r="H1697" s="38">
        <v>0</v>
      </c>
    </row>
    <row r="1698" spans="1:8" x14ac:dyDescent="0.35">
      <c r="A1698" s="19"/>
      <c r="B1698" s="19" t="s">
        <v>22</v>
      </c>
      <c r="C1698" s="37">
        <v>45899</v>
      </c>
      <c r="D1698" s="31" t="s">
        <v>662</v>
      </c>
      <c r="E1698" s="31" t="s">
        <v>145</v>
      </c>
      <c r="F1698" s="31" t="s">
        <v>160</v>
      </c>
      <c r="H1698" s="38">
        <v>0</v>
      </c>
    </row>
    <row r="1699" spans="1:8" x14ac:dyDescent="0.35">
      <c r="A1699" s="19"/>
      <c r="B1699" s="19" t="s">
        <v>22</v>
      </c>
      <c r="C1699" s="37">
        <v>45899</v>
      </c>
      <c r="D1699" s="31" t="s">
        <v>663</v>
      </c>
      <c r="E1699" s="31" t="s">
        <v>84</v>
      </c>
      <c r="F1699" s="31" t="s">
        <v>160</v>
      </c>
      <c r="H1699" s="38">
        <v>0</v>
      </c>
    </row>
    <row r="1700" spans="1:8" x14ac:dyDescent="0.35">
      <c r="A1700" s="19"/>
      <c r="B1700" s="19" t="s">
        <v>22</v>
      </c>
      <c r="C1700" s="37">
        <v>45899</v>
      </c>
      <c r="D1700" s="31" t="s">
        <v>664</v>
      </c>
      <c r="E1700" s="31" t="s">
        <v>84</v>
      </c>
      <c r="F1700" s="31" t="s">
        <v>160</v>
      </c>
      <c r="H1700" s="38">
        <v>0</v>
      </c>
    </row>
    <row r="1701" spans="1:8" x14ac:dyDescent="0.35">
      <c r="A1701" s="19"/>
      <c r="B1701" s="19" t="s">
        <v>22</v>
      </c>
      <c r="C1701" s="37">
        <v>45899</v>
      </c>
      <c r="D1701" s="31" t="s">
        <v>665</v>
      </c>
      <c r="E1701" s="31" t="s">
        <v>84</v>
      </c>
      <c r="F1701" s="31" t="s">
        <v>160</v>
      </c>
      <c r="H1701" s="38">
        <v>0</v>
      </c>
    </row>
    <row r="1702" spans="1:8" x14ac:dyDescent="0.35">
      <c r="A1702" s="19"/>
      <c r="B1702" s="19" t="s">
        <v>22</v>
      </c>
      <c r="C1702" s="37">
        <v>45899</v>
      </c>
      <c r="D1702" s="31" t="s">
        <v>666</v>
      </c>
      <c r="E1702" s="31" t="s">
        <v>84</v>
      </c>
      <c r="F1702" s="31" t="s">
        <v>160</v>
      </c>
      <c r="H1702" s="38">
        <v>0</v>
      </c>
    </row>
    <row r="1703" spans="1:8" x14ac:dyDescent="0.35">
      <c r="A1703" s="19"/>
      <c r="B1703" s="19" t="s">
        <v>22</v>
      </c>
      <c r="C1703" s="37">
        <v>45899</v>
      </c>
      <c r="D1703" s="31" t="s">
        <v>667</v>
      </c>
      <c r="E1703" s="31" t="s">
        <v>84</v>
      </c>
      <c r="F1703" s="31" t="s">
        <v>160</v>
      </c>
      <c r="H1703" s="38">
        <v>0</v>
      </c>
    </row>
    <row r="1704" spans="1:8" x14ac:dyDescent="0.35">
      <c r="A1704" s="19"/>
      <c r="B1704" s="19" t="s">
        <v>22</v>
      </c>
      <c r="C1704" s="37">
        <v>45899</v>
      </c>
      <c r="D1704" s="31" t="s">
        <v>668</v>
      </c>
      <c r="E1704" s="31" t="s">
        <v>84</v>
      </c>
      <c r="F1704" s="31" t="s">
        <v>160</v>
      </c>
      <c r="H1704" s="38">
        <v>0</v>
      </c>
    </row>
    <row r="1705" spans="1:8" x14ac:dyDescent="0.35">
      <c r="A1705" s="19"/>
      <c r="B1705" s="19" t="s">
        <v>22</v>
      </c>
      <c r="C1705" s="37">
        <v>45899</v>
      </c>
      <c r="D1705" s="31" t="s">
        <v>669</v>
      </c>
      <c r="E1705" s="31" t="s">
        <v>670</v>
      </c>
      <c r="F1705" s="31" t="s">
        <v>160</v>
      </c>
      <c r="H1705" s="38">
        <v>0</v>
      </c>
    </row>
    <row r="1706" spans="1:8" x14ac:dyDescent="0.35">
      <c r="A1706" s="19"/>
      <c r="B1706" s="19" t="s">
        <v>22</v>
      </c>
      <c r="C1706" s="37">
        <v>45899</v>
      </c>
      <c r="D1706" s="31" t="s">
        <v>671</v>
      </c>
      <c r="E1706" s="31" t="s">
        <v>672</v>
      </c>
      <c r="F1706" s="31" t="s">
        <v>160</v>
      </c>
      <c r="H1706" s="38">
        <v>0</v>
      </c>
    </row>
    <row r="1707" spans="1:8" x14ac:dyDescent="0.35">
      <c r="A1707" s="19"/>
      <c r="B1707" s="19" t="s">
        <v>22</v>
      </c>
      <c r="C1707" s="37">
        <v>45899</v>
      </c>
      <c r="D1707" s="31" t="s">
        <v>673</v>
      </c>
      <c r="E1707" s="31" t="s">
        <v>529</v>
      </c>
      <c r="F1707" s="31" t="s">
        <v>160</v>
      </c>
      <c r="H1707" s="38">
        <v>0</v>
      </c>
    </row>
    <row r="1708" spans="1:8" x14ac:dyDescent="0.35">
      <c r="A1708" s="19"/>
      <c r="B1708" s="19" t="s">
        <v>22</v>
      </c>
      <c r="C1708" s="37">
        <v>45899</v>
      </c>
      <c r="D1708" s="31" t="s">
        <v>674</v>
      </c>
      <c r="E1708" s="31" t="s">
        <v>225</v>
      </c>
      <c r="F1708" s="31" t="s">
        <v>160</v>
      </c>
      <c r="H1708" s="38">
        <v>0</v>
      </c>
    </row>
    <row r="1709" spans="1:8" x14ac:dyDescent="0.35">
      <c r="A1709" s="19"/>
      <c r="B1709" s="19" t="s">
        <v>22</v>
      </c>
      <c r="C1709" s="37">
        <v>45899</v>
      </c>
      <c r="D1709" s="31" t="s">
        <v>675</v>
      </c>
      <c r="E1709" s="31" t="s">
        <v>635</v>
      </c>
      <c r="F1709" s="31" t="s">
        <v>160</v>
      </c>
      <c r="H1709" s="38">
        <v>0</v>
      </c>
    </row>
    <row r="1710" spans="1:8" x14ac:dyDescent="0.35">
      <c r="A1710" s="19"/>
      <c r="B1710" s="19" t="s">
        <v>22</v>
      </c>
      <c r="C1710" s="37">
        <v>45899</v>
      </c>
      <c r="D1710" s="31" t="s">
        <v>676</v>
      </c>
      <c r="E1710" s="31" t="s">
        <v>677</v>
      </c>
      <c r="F1710" s="31" t="s">
        <v>160</v>
      </c>
      <c r="H1710" s="38">
        <v>0</v>
      </c>
    </row>
    <row r="1711" spans="1:8" x14ac:dyDescent="0.35">
      <c r="A1711" s="19"/>
      <c r="B1711" s="19" t="s">
        <v>22</v>
      </c>
      <c r="C1711" s="37">
        <v>45899</v>
      </c>
      <c r="D1711" s="31" t="s">
        <v>678</v>
      </c>
      <c r="E1711" s="31" t="s">
        <v>677</v>
      </c>
      <c r="F1711" s="31" t="s">
        <v>160</v>
      </c>
      <c r="H1711" s="38">
        <v>0</v>
      </c>
    </row>
    <row r="1712" spans="1:8" x14ac:dyDescent="0.35">
      <c r="A1712" s="19"/>
      <c r="B1712" s="19" t="s">
        <v>22</v>
      </c>
      <c r="C1712" s="37">
        <v>45899</v>
      </c>
      <c r="D1712" s="31" t="s">
        <v>679</v>
      </c>
      <c r="E1712" s="31" t="s">
        <v>677</v>
      </c>
      <c r="F1712" s="31" t="s">
        <v>160</v>
      </c>
      <c r="H1712" s="38">
        <v>0</v>
      </c>
    </row>
    <row r="1713" spans="1:8" x14ac:dyDescent="0.35">
      <c r="A1713" s="19"/>
      <c r="B1713" s="19" t="s">
        <v>22</v>
      </c>
      <c r="C1713" s="37">
        <v>45899</v>
      </c>
      <c r="D1713" s="31" t="s">
        <v>680</v>
      </c>
      <c r="E1713" s="31" t="s">
        <v>395</v>
      </c>
      <c r="F1713" s="31" t="s">
        <v>160</v>
      </c>
      <c r="H1713" s="38">
        <v>0</v>
      </c>
    </row>
    <row r="1714" spans="1:8" x14ac:dyDescent="0.35">
      <c r="A1714" s="19"/>
      <c r="B1714" s="19" t="s">
        <v>22</v>
      </c>
      <c r="C1714" s="37">
        <v>45899</v>
      </c>
      <c r="D1714" s="31" t="s">
        <v>681</v>
      </c>
      <c r="E1714" s="31" t="s">
        <v>682</v>
      </c>
      <c r="F1714" s="31" t="s">
        <v>160</v>
      </c>
      <c r="H1714" s="38">
        <v>0</v>
      </c>
    </row>
    <row r="1715" spans="1:8" x14ac:dyDescent="0.35">
      <c r="A1715" s="19"/>
      <c r="B1715" s="19" t="s">
        <v>22</v>
      </c>
      <c r="C1715" s="37">
        <v>45899</v>
      </c>
      <c r="D1715" s="31" t="s">
        <v>683</v>
      </c>
      <c r="E1715" s="31" t="s">
        <v>581</v>
      </c>
      <c r="F1715" s="31" t="s">
        <v>160</v>
      </c>
      <c r="H1715" s="38">
        <v>0</v>
      </c>
    </row>
    <row r="1716" spans="1:8" x14ac:dyDescent="0.35">
      <c r="A1716" s="19"/>
      <c r="B1716" s="19" t="s">
        <v>22</v>
      </c>
      <c r="C1716" s="37">
        <v>45899</v>
      </c>
      <c r="D1716" s="31" t="s">
        <v>684</v>
      </c>
      <c r="E1716" s="31" t="s">
        <v>581</v>
      </c>
      <c r="F1716" s="31" t="s">
        <v>160</v>
      </c>
      <c r="H1716" s="38">
        <v>0</v>
      </c>
    </row>
    <row r="1717" spans="1:8" x14ac:dyDescent="0.35">
      <c r="A1717" s="19"/>
      <c r="B1717" s="19" t="s">
        <v>22</v>
      </c>
      <c r="C1717" s="37">
        <v>45899</v>
      </c>
      <c r="D1717" s="31" t="s">
        <v>685</v>
      </c>
      <c r="E1717" s="31" t="s">
        <v>581</v>
      </c>
      <c r="F1717" s="31" t="s">
        <v>160</v>
      </c>
      <c r="H1717" s="38">
        <v>0</v>
      </c>
    </row>
    <row r="1718" spans="1:8" x14ac:dyDescent="0.35">
      <c r="A1718" s="19"/>
      <c r="B1718" s="19" t="s">
        <v>22</v>
      </c>
      <c r="C1718" s="37">
        <v>45899</v>
      </c>
      <c r="D1718" s="31" t="s">
        <v>686</v>
      </c>
      <c r="E1718" s="31" t="s">
        <v>55</v>
      </c>
      <c r="F1718" s="31" t="s">
        <v>160</v>
      </c>
      <c r="H1718" s="38">
        <v>0</v>
      </c>
    </row>
    <row r="1719" spans="1:8" x14ac:dyDescent="0.35">
      <c r="A1719" s="19"/>
      <c r="B1719" s="19" t="s">
        <v>22</v>
      </c>
      <c r="C1719" s="37">
        <v>45899</v>
      </c>
      <c r="D1719" s="31" t="s">
        <v>687</v>
      </c>
      <c r="E1719" s="31" t="s">
        <v>148</v>
      </c>
      <c r="F1719" s="31" t="s">
        <v>160</v>
      </c>
      <c r="H1719" s="38">
        <v>0</v>
      </c>
    </row>
    <row r="1720" spans="1:8" x14ac:dyDescent="0.35">
      <c r="A1720" s="19"/>
      <c r="B1720" s="19" t="s">
        <v>22</v>
      </c>
      <c r="C1720" s="37">
        <v>45899</v>
      </c>
      <c r="D1720" s="31" t="s">
        <v>688</v>
      </c>
      <c r="E1720" s="31" t="s">
        <v>148</v>
      </c>
      <c r="F1720" s="31" t="s">
        <v>160</v>
      </c>
      <c r="H1720" s="38">
        <v>0</v>
      </c>
    </row>
    <row r="1721" spans="1:8" x14ac:dyDescent="0.35">
      <c r="A1721" s="19"/>
      <c r="B1721" s="19" t="s">
        <v>22</v>
      </c>
      <c r="C1721" s="37">
        <v>45899</v>
      </c>
      <c r="D1721" s="31" t="s">
        <v>689</v>
      </c>
      <c r="E1721" s="31" t="s">
        <v>148</v>
      </c>
      <c r="F1721" s="31" t="s">
        <v>160</v>
      </c>
      <c r="H1721" s="38">
        <v>0</v>
      </c>
    </row>
    <row r="1722" spans="1:8" x14ac:dyDescent="0.35">
      <c r="A1722" s="19"/>
      <c r="B1722" s="19" t="s">
        <v>22</v>
      </c>
      <c r="C1722" s="37">
        <v>45899</v>
      </c>
      <c r="D1722" s="31" t="s">
        <v>690</v>
      </c>
      <c r="E1722" s="31" t="s">
        <v>148</v>
      </c>
      <c r="F1722" s="31" t="s">
        <v>160</v>
      </c>
      <c r="H1722" s="38">
        <v>0</v>
      </c>
    </row>
    <row r="1723" spans="1:8" x14ac:dyDescent="0.35">
      <c r="A1723" s="19"/>
      <c r="B1723" s="19" t="s">
        <v>22</v>
      </c>
      <c r="C1723" s="37">
        <v>45899</v>
      </c>
      <c r="D1723" s="31" t="s">
        <v>691</v>
      </c>
      <c r="E1723" s="31" t="s">
        <v>148</v>
      </c>
      <c r="F1723" s="31" t="s">
        <v>160</v>
      </c>
      <c r="H1723" s="38">
        <v>0</v>
      </c>
    </row>
    <row r="1724" spans="1:8" x14ac:dyDescent="0.35">
      <c r="A1724" s="19"/>
      <c r="B1724" s="19" t="s">
        <v>22</v>
      </c>
      <c r="C1724" s="37">
        <v>45899</v>
      </c>
      <c r="D1724" s="31" t="s">
        <v>692</v>
      </c>
      <c r="E1724" s="31" t="s">
        <v>86</v>
      </c>
      <c r="F1724" s="31" t="s">
        <v>160</v>
      </c>
      <c r="H1724" s="38">
        <v>0</v>
      </c>
    </row>
    <row r="1725" spans="1:8" x14ac:dyDescent="0.35">
      <c r="A1725" s="19"/>
      <c r="B1725" s="19" t="s">
        <v>22</v>
      </c>
      <c r="C1725" s="37">
        <v>45899</v>
      </c>
      <c r="D1725" s="31" t="s">
        <v>693</v>
      </c>
      <c r="E1725" s="31" t="s">
        <v>86</v>
      </c>
      <c r="F1725" s="31" t="s">
        <v>160</v>
      </c>
      <c r="H1725" s="38">
        <v>0</v>
      </c>
    </row>
    <row r="1726" spans="1:8" x14ac:dyDescent="0.35">
      <c r="A1726" s="19"/>
      <c r="B1726" s="19" t="s">
        <v>22</v>
      </c>
      <c r="C1726" s="37">
        <v>45899</v>
      </c>
      <c r="D1726" s="31" t="s">
        <v>694</v>
      </c>
      <c r="E1726" s="31" t="s">
        <v>86</v>
      </c>
      <c r="F1726" s="31" t="s">
        <v>160</v>
      </c>
      <c r="H1726" s="38">
        <v>0</v>
      </c>
    </row>
    <row r="1727" spans="1:8" x14ac:dyDescent="0.35">
      <c r="A1727" s="19"/>
      <c r="B1727" s="19" t="s">
        <v>22</v>
      </c>
      <c r="C1727" s="37">
        <v>45899</v>
      </c>
      <c r="D1727" s="31" t="s">
        <v>695</v>
      </c>
      <c r="E1727" s="31" t="s">
        <v>177</v>
      </c>
      <c r="F1727" s="31" t="s">
        <v>160</v>
      </c>
      <c r="H1727" s="38">
        <v>0</v>
      </c>
    </row>
    <row r="1728" spans="1:8" x14ac:dyDescent="0.35">
      <c r="A1728" s="19"/>
      <c r="B1728" s="19" t="s">
        <v>22</v>
      </c>
      <c r="C1728" s="37">
        <v>45899</v>
      </c>
      <c r="D1728" s="31" t="s">
        <v>696</v>
      </c>
      <c r="E1728" s="31" t="s">
        <v>86</v>
      </c>
      <c r="F1728" s="31" t="s">
        <v>160</v>
      </c>
      <c r="H1728" s="38">
        <v>1750.43</v>
      </c>
    </row>
    <row r="1729" spans="1:8" x14ac:dyDescent="0.35">
      <c r="A1729" s="19"/>
      <c r="B1729" s="19" t="s">
        <v>22</v>
      </c>
      <c r="C1729" s="37">
        <v>45899</v>
      </c>
      <c r="D1729" s="31" t="s">
        <v>697</v>
      </c>
      <c r="E1729" s="31" t="s">
        <v>86</v>
      </c>
      <c r="F1729" s="31" t="s">
        <v>160</v>
      </c>
      <c r="H1729" s="38">
        <v>0</v>
      </c>
    </row>
    <row r="1730" spans="1:8" x14ac:dyDescent="0.35">
      <c r="A1730" s="19"/>
      <c r="B1730" s="19" t="s">
        <v>22</v>
      </c>
      <c r="C1730" s="37">
        <v>45899</v>
      </c>
      <c r="D1730" s="31" t="s">
        <v>698</v>
      </c>
      <c r="E1730" s="31" t="s">
        <v>86</v>
      </c>
      <c r="F1730" s="31" t="s">
        <v>160</v>
      </c>
      <c r="H1730" s="38">
        <v>0</v>
      </c>
    </row>
    <row r="1731" spans="1:8" x14ac:dyDescent="0.35">
      <c r="A1731" s="19"/>
      <c r="B1731" s="19" t="s">
        <v>22</v>
      </c>
      <c r="C1731" s="37">
        <v>45899</v>
      </c>
      <c r="D1731" s="31" t="s">
        <v>699</v>
      </c>
      <c r="E1731" s="31" t="s">
        <v>432</v>
      </c>
      <c r="F1731" s="31" t="s">
        <v>160</v>
      </c>
      <c r="H1731" s="38">
        <v>0</v>
      </c>
    </row>
    <row r="1732" spans="1:8" x14ac:dyDescent="0.35">
      <c r="A1732" s="19"/>
      <c r="B1732" s="19" t="s">
        <v>22</v>
      </c>
      <c r="C1732" s="37">
        <v>45899</v>
      </c>
      <c r="D1732" s="31" t="s">
        <v>700</v>
      </c>
      <c r="E1732" s="31" t="s">
        <v>701</v>
      </c>
      <c r="F1732" s="31" t="s">
        <v>160</v>
      </c>
      <c r="H1732" s="38">
        <v>0</v>
      </c>
    </row>
    <row r="1733" spans="1:8" x14ac:dyDescent="0.35">
      <c r="A1733" s="19"/>
      <c r="B1733" s="19" t="s">
        <v>22</v>
      </c>
      <c r="C1733" s="37">
        <v>45899</v>
      </c>
      <c r="D1733" s="31" t="s">
        <v>702</v>
      </c>
      <c r="E1733" s="31" t="s">
        <v>701</v>
      </c>
      <c r="F1733" s="31" t="s">
        <v>160</v>
      </c>
      <c r="H1733" s="38">
        <v>0</v>
      </c>
    </row>
    <row r="1734" spans="1:8" x14ac:dyDescent="0.35">
      <c r="A1734" s="19"/>
      <c r="B1734" s="19" t="s">
        <v>22</v>
      </c>
      <c r="C1734" s="37">
        <v>45899</v>
      </c>
      <c r="D1734" s="31" t="s">
        <v>703</v>
      </c>
      <c r="E1734" s="31" t="s">
        <v>701</v>
      </c>
      <c r="F1734" s="31" t="s">
        <v>160</v>
      </c>
      <c r="H1734" s="38">
        <v>0</v>
      </c>
    </row>
    <row r="1735" spans="1:8" x14ac:dyDescent="0.35">
      <c r="A1735" s="19"/>
      <c r="B1735" s="19" t="s">
        <v>22</v>
      </c>
      <c r="C1735" s="37">
        <v>45899</v>
      </c>
      <c r="D1735" s="31" t="s">
        <v>704</v>
      </c>
      <c r="E1735" s="31" t="s">
        <v>475</v>
      </c>
      <c r="F1735" s="31" t="s">
        <v>160</v>
      </c>
      <c r="H1735" s="38">
        <v>0</v>
      </c>
    </row>
    <row r="1736" spans="1:8" x14ac:dyDescent="0.35">
      <c r="A1736" s="19"/>
      <c r="B1736" s="19" t="s">
        <v>22</v>
      </c>
      <c r="C1736" s="37">
        <v>45899</v>
      </c>
      <c r="D1736" s="31" t="s">
        <v>705</v>
      </c>
      <c r="E1736" s="31" t="s">
        <v>337</v>
      </c>
      <c r="F1736" s="31" t="s">
        <v>160</v>
      </c>
      <c r="H1736" s="38">
        <v>0</v>
      </c>
    </row>
    <row r="1737" spans="1:8" x14ac:dyDescent="0.35">
      <c r="A1737" s="19"/>
      <c r="B1737" s="19" t="s">
        <v>22</v>
      </c>
      <c r="C1737" s="37">
        <v>45899</v>
      </c>
      <c r="D1737" s="31" t="s">
        <v>706</v>
      </c>
      <c r="E1737" s="31" t="s">
        <v>707</v>
      </c>
      <c r="F1737" s="31" t="s">
        <v>160</v>
      </c>
      <c r="H1737" s="38">
        <v>3097.55</v>
      </c>
    </row>
    <row r="1738" spans="1:8" x14ac:dyDescent="0.35">
      <c r="A1738" s="19"/>
      <c r="B1738" s="19" t="s">
        <v>22</v>
      </c>
      <c r="C1738" s="37">
        <v>45899</v>
      </c>
      <c r="D1738" s="31" t="s">
        <v>708</v>
      </c>
      <c r="E1738" s="31" t="s">
        <v>597</v>
      </c>
      <c r="F1738" s="31" t="s">
        <v>160</v>
      </c>
      <c r="H1738" s="38">
        <v>0</v>
      </c>
    </row>
    <row r="1739" spans="1:8" x14ac:dyDescent="0.35">
      <c r="A1739" s="19"/>
      <c r="B1739" s="19" t="s">
        <v>22</v>
      </c>
      <c r="C1739" s="37">
        <v>45899</v>
      </c>
      <c r="D1739" s="31" t="s">
        <v>709</v>
      </c>
      <c r="E1739" s="31" t="s">
        <v>597</v>
      </c>
      <c r="F1739" s="31" t="s">
        <v>160</v>
      </c>
      <c r="H1739" s="38">
        <v>0</v>
      </c>
    </row>
    <row r="1740" spans="1:8" x14ac:dyDescent="0.35">
      <c r="A1740" s="19"/>
      <c r="B1740" s="19" t="s">
        <v>22</v>
      </c>
      <c r="C1740" s="37">
        <v>45899</v>
      </c>
      <c r="D1740" s="31" t="s">
        <v>710</v>
      </c>
      <c r="E1740" s="31" t="s">
        <v>597</v>
      </c>
      <c r="F1740" s="31" t="s">
        <v>160</v>
      </c>
      <c r="H1740" s="38">
        <v>0</v>
      </c>
    </row>
    <row r="1741" spans="1:8" x14ac:dyDescent="0.35">
      <c r="A1741" s="19"/>
      <c r="B1741" s="19" t="s">
        <v>22</v>
      </c>
      <c r="C1741" s="37">
        <v>45899</v>
      </c>
      <c r="D1741" s="31" t="s">
        <v>711</v>
      </c>
      <c r="E1741" s="31" t="s">
        <v>597</v>
      </c>
      <c r="F1741" s="31" t="s">
        <v>160</v>
      </c>
      <c r="H1741" s="38">
        <v>0</v>
      </c>
    </row>
    <row r="1742" spans="1:8" x14ac:dyDescent="0.35">
      <c r="A1742" s="19"/>
      <c r="B1742" s="19" t="s">
        <v>22</v>
      </c>
      <c r="C1742" s="37">
        <v>45899</v>
      </c>
      <c r="D1742" s="31" t="s">
        <v>712</v>
      </c>
      <c r="E1742" s="31" t="s">
        <v>713</v>
      </c>
      <c r="F1742" s="31" t="s">
        <v>160</v>
      </c>
      <c r="H1742" s="38">
        <v>0</v>
      </c>
    </row>
    <row r="1743" spans="1:8" x14ac:dyDescent="0.35">
      <c r="A1743" s="19"/>
      <c r="B1743" s="19" t="s">
        <v>22</v>
      </c>
      <c r="C1743" s="37">
        <v>45899</v>
      </c>
      <c r="D1743" s="31" t="s">
        <v>714</v>
      </c>
      <c r="E1743" s="31" t="s">
        <v>715</v>
      </c>
      <c r="F1743" s="31" t="s">
        <v>160</v>
      </c>
      <c r="H1743" s="38">
        <v>0</v>
      </c>
    </row>
    <row r="1744" spans="1:8" x14ac:dyDescent="0.35">
      <c r="A1744" s="19"/>
      <c r="B1744" s="19" t="s">
        <v>22</v>
      </c>
      <c r="C1744" s="37">
        <v>45899</v>
      </c>
      <c r="D1744" s="31" t="s">
        <v>716</v>
      </c>
      <c r="E1744" s="31" t="s">
        <v>715</v>
      </c>
      <c r="F1744" s="31" t="s">
        <v>160</v>
      </c>
      <c r="H1744" s="38">
        <v>0</v>
      </c>
    </row>
    <row r="1745" spans="1:8" x14ac:dyDescent="0.35">
      <c r="A1745" s="19"/>
      <c r="B1745" s="19" t="s">
        <v>22</v>
      </c>
      <c r="C1745" s="37">
        <v>45899</v>
      </c>
      <c r="D1745" s="31" t="s">
        <v>717</v>
      </c>
      <c r="E1745" s="31" t="s">
        <v>715</v>
      </c>
      <c r="F1745" s="31" t="s">
        <v>160</v>
      </c>
      <c r="H1745" s="38">
        <v>0</v>
      </c>
    </row>
    <row r="1746" spans="1:8" x14ac:dyDescent="0.35">
      <c r="A1746" s="19"/>
      <c r="B1746" s="19" t="s">
        <v>22</v>
      </c>
      <c r="C1746" s="37">
        <v>45899</v>
      </c>
      <c r="D1746" s="31" t="s">
        <v>718</v>
      </c>
      <c r="E1746" s="31" t="s">
        <v>715</v>
      </c>
      <c r="F1746" s="31" t="s">
        <v>160</v>
      </c>
      <c r="H1746" s="38">
        <v>0</v>
      </c>
    </row>
    <row r="1747" spans="1:8" x14ac:dyDescent="0.35">
      <c r="A1747" s="19"/>
      <c r="B1747" s="19" t="s">
        <v>22</v>
      </c>
      <c r="C1747" s="37">
        <v>45899</v>
      </c>
      <c r="D1747" s="31" t="s">
        <v>719</v>
      </c>
      <c r="E1747" s="31" t="s">
        <v>701</v>
      </c>
      <c r="F1747" s="31" t="s">
        <v>160</v>
      </c>
      <c r="H1747" s="38">
        <v>0</v>
      </c>
    </row>
    <row r="1748" spans="1:8" x14ac:dyDescent="0.35">
      <c r="A1748" s="19"/>
      <c r="B1748" s="19" t="s">
        <v>22</v>
      </c>
      <c r="C1748" s="37">
        <v>45899</v>
      </c>
      <c r="D1748" s="31" t="s">
        <v>720</v>
      </c>
      <c r="E1748" s="31" t="s">
        <v>701</v>
      </c>
      <c r="F1748" s="31" t="s">
        <v>160</v>
      </c>
      <c r="H1748" s="38">
        <v>0</v>
      </c>
    </row>
    <row r="1749" spans="1:8" x14ac:dyDescent="0.35">
      <c r="A1749" s="19"/>
      <c r="B1749" s="19" t="s">
        <v>22</v>
      </c>
      <c r="C1749" s="37">
        <v>45899</v>
      </c>
      <c r="D1749" s="31" t="s">
        <v>721</v>
      </c>
      <c r="E1749" s="31" t="s">
        <v>722</v>
      </c>
      <c r="F1749" s="31" t="s">
        <v>160</v>
      </c>
      <c r="H1749" s="38">
        <v>622.25</v>
      </c>
    </row>
    <row r="1750" spans="1:8" x14ac:dyDescent="0.35">
      <c r="A1750" s="19"/>
      <c r="B1750" s="19" t="s">
        <v>22</v>
      </c>
      <c r="C1750" s="37">
        <v>45899</v>
      </c>
      <c r="D1750" s="31" t="s">
        <v>723</v>
      </c>
      <c r="E1750" s="31" t="s">
        <v>722</v>
      </c>
      <c r="F1750" s="31" t="s">
        <v>160</v>
      </c>
      <c r="H1750" s="38">
        <v>0</v>
      </c>
    </row>
    <row r="1751" spans="1:8" x14ac:dyDescent="0.35">
      <c r="A1751" s="19"/>
      <c r="B1751" s="19" t="s">
        <v>22</v>
      </c>
      <c r="C1751" s="37">
        <v>45899</v>
      </c>
      <c r="D1751" s="31" t="s">
        <v>724</v>
      </c>
      <c r="E1751" s="31" t="s">
        <v>725</v>
      </c>
      <c r="F1751" s="31" t="s">
        <v>160</v>
      </c>
      <c r="H1751" s="38">
        <v>0</v>
      </c>
    </row>
    <row r="1752" spans="1:8" x14ac:dyDescent="0.35">
      <c r="A1752" s="19"/>
      <c r="B1752" s="19" t="s">
        <v>22</v>
      </c>
      <c r="C1752" s="37">
        <v>45899</v>
      </c>
      <c r="D1752" s="31" t="s">
        <v>726</v>
      </c>
      <c r="E1752" s="31" t="s">
        <v>727</v>
      </c>
      <c r="F1752" s="31" t="s">
        <v>160</v>
      </c>
      <c r="H1752" s="38">
        <v>0</v>
      </c>
    </row>
    <row r="1753" spans="1:8" x14ac:dyDescent="0.35">
      <c r="A1753" s="19"/>
      <c r="B1753" s="19" t="s">
        <v>22</v>
      </c>
      <c r="C1753" s="37">
        <v>45899</v>
      </c>
      <c r="D1753" s="31" t="s">
        <v>728</v>
      </c>
      <c r="E1753" s="31" t="s">
        <v>75</v>
      </c>
      <c r="F1753" s="31" t="s">
        <v>160</v>
      </c>
      <c r="H1753" s="38">
        <v>0</v>
      </c>
    </row>
    <row r="1754" spans="1:8" x14ac:dyDescent="0.35">
      <c r="A1754" s="19"/>
      <c r="B1754" s="19" t="s">
        <v>22</v>
      </c>
      <c r="C1754" s="37">
        <v>45899</v>
      </c>
      <c r="D1754" s="31" t="s">
        <v>729</v>
      </c>
      <c r="E1754" s="31" t="s">
        <v>75</v>
      </c>
      <c r="F1754" s="31" t="s">
        <v>160</v>
      </c>
      <c r="H1754" s="38">
        <v>0</v>
      </c>
    </row>
    <row r="1755" spans="1:8" x14ac:dyDescent="0.35">
      <c r="A1755" s="19"/>
      <c r="B1755" s="19" t="s">
        <v>22</v>
      </c>
      <c r="C1755" s="37">
        <v>45899</v>
      </c>
      <c r="D1755" s="31" t="s">
        <v>730</v>
      </c>
      <c r="E1755" s="31" t="s">
        <v>75</v>
      </c>
      <c r="F1755" s="31" t="s">
        <v>160</v>
      </c>
      <c r="H1755" s="38">
        <v>0</v>
      </c>
    </row>
    <row r="1756" spans="1:8" x14ac:dyDescent="0.35">
      <c r="A1756" s="19"/>
      <c r="B1756" s="19" t="s">
        <v>22</v>
      </c>
      <c r="C1756" s="37">
        <v>45899</v>
      </c>
      <c r="D1756" s="31" t="s">
        <v>731</v>
      </c>
      <c r="E1756" s="31" t="s">
        <v>75</v>
      </c>
      <c r="F1756" s="31" t="s">
        <v>160</v>
      </c>
      <c r="H1756" s="38">
        <v>0</v>
      </c>
    </row>
    <row r="1757" spans="1:8" x14ac:dyDescent="0.35">
      <c r="A1757" s="19"/>
      <c r="B1757" s="19" t="s">
        <v>22</v>
      </c>
      <c r="C1757" s="37">
        <v>45899</v>
      </c>
      <c r="D1757" s="31" t="s">
        <v>732</v>
      </c>
      <c r="E1757" s="31" t="s">
        <v>75</v>
      </c>
      <c r="F1757" s="31" t="s">
        <v>160</v>
      </c>
      <c r="H1757" s="38">
        <v>0</v>
      </c>
    </row>
    <row r="1758" spans="1:8" x14ac:dyDescent="0.35">
      <c r="A1758" s="19"/>
      <c r="B1758" s="19" t="s">
        <v>22</v>
      </c>
      <c r="C1758" s="37">
        <v>45899</v>
      </c>
      <c r="D1758" s="31" t="s">
        <v>733</v>
      </c>
      <c r="E1758" s="31" t="s">
        <v>75</v>
      </c>
      <c r="F1758" s="31" t="s">
        <v>160</v>
      </c>
      <c r="H1758" s="38">
        <v>0</v>
      </c>
    </row>
    <row r="1759" spans="1:8" x14ac:dyDescent="0.35">
      <c r="A1759" s="19"/>
      <c r="B1759" s="19" t="s">
        <v>22</v>
      </c>
      <c r="C1759" s="37">
        <v>45899</v>
      </c>
      <c r="D1759" s="31" t="s">
        <v>734</v>
      </c>
      <c r="E1759" s="31" t="s">
        <v>75</v>
      </c>
      <c r="F1759" s="31" t="s">
        <v>160</v>
      </c>
      <c r="H1759" s="38">
        <v>0</v>
      </c>
    </row>
    <row r="1760" spans="1:8" x14ac:dyDescent="0.35">
      <c r="A1760" s="19"/>
      <c r="B1760" s="19" t="s">
        <v>22</v>
      </c>
      <c r="C1760" s="37">
        <v>45899</v>
      </c>
      <c r="D1760" s="31" t="s">
        <v>735</v>
      </c>
      <c r="E1760" s="31" t="s">
        <v>75</v>
      </c>
      <c r="F1760" s="31" t="s">
        <v>160</v>
      </c>
      <c r="H1760" s="38">
        <v>0</v>
      </c>
    </row>
    <row r="1761" spans="1:8" x14ac:dyDescent="0.35">
      <c r="A1761" s="19"/>
      <c r="B1761" s="19" t="s">
        <v>22</v>
      </c>
      <c r="C1761" s="37">
        <v>45899</v>
      </c>
      <c r="D1761" s="31" t="s">
        <v>736</v>
      </c>
      <c r="E1761" s="31" t="s">
        <v>737</v>
      </c>
      <c r="F1761" s="31" t="s">
        <v>160</v>
      </c>
      <c r="H1761" s="38">
        <v>0</v>
      </c>
    </row>
    <row r="1762" spans="1:8" x14ac:dyDescent="0.35">
      <c r="A1762" s="19"/>
      <c r="B1762" s="19" t="s">
        <v>22</v>
      </c>
      <c r="C1762" s="37">
        <v>45899</v>
      </c>
      <c r="D1762" s="31" t="s">
        <v>738</v>
      </c>
      <c r="E1762" s="31" t="s">
        <v>739</v>
      </c>
      <c r="F1762" s="31" t="s">
        <v>160</v>
      </c>
      <c r="H1762" s="38">
        <v>0</v>
      </c>
    </row>
    <row r="1763" spans="1:8" x14ac:dyDescent="0.35">
      <c r="A1763" s="19"/>
      <c r="B1763" s="19" t="s">
        <v>22</v>
      </c>
      <c r="C1763" s="37">
        <v>45899</v>
      </c>
      <c r="D1763" s="31" t="s">
        <v>740</v>
      </c>
      <c r="E1763" s="31" t="s">
        <v>741</v>
      </c>
      <c r="F1763" s="31" t="s">
        <v>160</v>
      </c>
      <c r="H1763" s="38">
        <v>0</v>
      </c>
    </row>
    <row r="1764" spans="1:8" x14ac:dyDescent="0.35">
      <c r="A1764" s="19"/>
      <c r="B1764" s="19" t="s">
        <v>22</v>
      </c>
      <c r="C1764" s="37">
        <v>45899</v>
      </c>
      <c r="D1764" s="31" t="s">
        <v>742</v>
      </c>
      <c r="E1764" s="31" t="s">
        <v>741</v>
      </c>
      <c r="F1764" s="31" t="s">
        <v>160</v>
      </c>
      <c r="H1764" s="38">
        <v>0</v>
      </c>
    </row>
    <row r="1765" spans="1:8" x14ac:dyDescent="0.35">
      <c r="A1765" s="19"/>
      <c r="B1765" s="19" t="s">
        <v>22</v>
      </c>
      <c r="C1765" s="37">
        <v>45899</v>
      </c>
      <c r="D1765" s="31" t="s">
        <v>743</v>
      </c>
      <c r="E1765" s="31" t="s">
        <v>741</v>
      </c>
      <c r="F1765" s="31" t="s">
        <v>160</v>
      </c>
      <c r="H1765" s="38">
        <v>0</v>
      </c>
    </row>
    <row r="1766" spans="1:8" x14ac:dyDescent="0.35">
      <c r="A1766" s="19"/>
      <c r="B1766" s="19" t="s">
        <v>22</v>
      </c>
      <c r="C1766" s="37">
        <v>45899</v>
      </c>
      <c r="D1766" s="31" t="s">
        <v>744</v>
      </c>
      <c r="E1766" s="31" t="s">
        <v>741</v>
      </c>
      <c r="F1766" s="31" t="s">
        <v>160</v>
      </c>
      <c r="H1766" s="38">
        <v>0</v>
      </c>
    </row>
    <row r="1767" spans="1:8" x14ac:dyDescent="0.35">
      <c r="A1767" s="19"/>
      <c r="B1767" s="19" t="s">
        <v>22</v>
      </c>
      <c r="C1767" s="37">
        <v>45899</v>
      </c>
      <c r="D1767" s="31" t="s">
        <v>745</v>
      </c>
      <c r="E1767" s="31" t="s">
        <v>741</v>
      </c>
      <c r="F1767" s="31" t="s">
        <v>160</v>
      </c>
      <c r="H1767" s="38">
        <v>0</v>
      </c>
    </row>
    <row r="1768" spans="1:8" x14ac:dyDescent="0.35">
      <c r="A1768" s="19"/>
      <c r="B1768" s="19" t="s">
        <v>22</v>
      </c>
      <c r="C1768" s="37">
        <v>45899</v>
      </c>
      <c r="D1768" s="31" t="s">
        <v>746</v>
      </c>
      <c r="E1768" s="31" t="s">
        <v>741</v>
      </c>
      <c r="F1768" s="31" t="s">
        <v>160</v>
      </c>
      <c r="H1768" s="38">
        <v>0</v>
      </c>
    </row>
    <row r="1769" spans="1:8" x14ac:dyDescent="0.35">
      <c r="A1769" s="19"/>
      <c r="B1769" s="19" t="s">
        <v>22</v>
      </c>
      <c r="C1769" s="37">
        <v>45899</v>
      </c>
      <c r="D1769" s="31" t="s">
        <v>747</v>
      </c>
      <c r="E1769" s="31" t="s">
        <v>741</v>
      </c>
      <c r="F1769" s="31" t="s">
        <v>160</v>
      </c>
      <c r="H1769" s="38">
        <v>0</v>
      </c>
    </row>
    <row r="1770" spans="1:8" x14ac:dyDescent="0.35">
      <c r="A1770" s="19"/>
      <c r="B1770" s="19" t="s">
        <v>22</v>
      </c>
      <c r="C1770" s="37">
        <v>45899</v>
      </c>
      <c r="D1770" s="31" t="s">
        <v>748</v>
      </c>
      <c r="E1770" s="31" t="s">
        <v>741</v>
      </c>
      <c r="F1770" s="31" t="s">
        <v>160</v>
      </c>
      <c r="H1770" s="38">
        <v>0</v>
      </c>
    </row>
    <row r="1771" spans="1:8" x14ac:dyDescent="0.35">
      <c r="A1771" s="19"/>
      <c r="B1771" s="19" t="s">
        <v>22</v>
      </c>
      <c r="C1771" s="37">
        <v>45899</v>
      </c>
      <c r="D1771" s="31">
        <v>37789</v>
      </c>
      <c r="E1771" s="31" t="s">
        <v>50</v>
      </c>
      <c r="F1771" s="31" t="s">
        <v>160</v>
      </c>
      <c r="H1771" s="38">
        <v>0</v>
      </c>
    </row>
    <row r="1772" spans="1:8" x14ac:dyDescent="0.35">
      <c r="A1772" s="19"/>
      <c r="B1772" s="19" t="s">
        <v>22</v>
      </c>
      <c r="C1772" s="37">
        <v>45899</v>
      </c>
      <c r="D1772" s="31" t="s">
        <v>749</v>
      </c>
      <c r="E1772" s="31" t="s">
        <v>682</v>
      </c>
      <c r="F1772" s="31" t="s">
        <v>160</v>
      </c>
      <c r="H1772" s="38">
        <v>0</v>
      </c>
    </row>
    <row r="1773" spans="1:8" x14ac:dyDescent="0.35">
      <c r="A1773" s="19"/>
      <c r="B1773" s="19" t="s">
        <v>22</v>
      </c>
      <c r="C1773" s="37">
        <v>45899</v>
      </c>
      <c r="D1773" s="31" t="s">
        <v>750</v>
      </c>
      <c r="E1773" s="31" t="s">
        <v>751</v>
      </c>
      <c r="F1773" s="31" t="s">
        <v>160</v>
      </c>
      <c r="H1773" s="38">
        <v>0</v>
      </c>
    </row>
    <row r="1774" spans="1:8" x14ac:dyDescent="0.35">
      <c r="A1774" s="19"/>
      <c r="B1774" s="19" t="s">
        <v>22</v>
      </c>
      <c r="C1774" s="37">
        <v>45899</v>
      </c>
      <c r="D1774" s="31" t="s">
        <v>752</v>
      </c>
      <c r="E1774" s="31" t="s">
        <v>751</v>
      </c>
      <c r="F1774" s="31" t="s">
        <v>160</v>
      </c>
      <c r="H1774" s="38">
        <v>0</v>
      </c>
    </row>
    <row r="1775" spans="1:8" x14ac:dyDescent="0.35">
      <c r="A1775" s="19"/>
      <c r="B1775" s="19" t="s">
        <v>22</v>
      </c>
      <c r="C1775" s="37">
        <v>45899</v>
      </c>
      <c r="D1775" s="31" t="s">
        <v>753</v>
      </c>
      <c r="E1775" s="31" t="s">
        <v>754</v>
      </c>
      <c r="F1775" s="31" t="s">
        <v>160</v>
      </c>
      <c r="H1775" s="38">
        <v>0</v>
      </c>
    </row>
    <row r="1776" spans="1:8" x14ac:dyDescent="0.35">
      <c r="A1776" s="19"/>
      <c r="B1776" s="19" t="s">
        <v>22</v>
      </c>
      <c r="C1776" s="37">
        <v>45899</v>
      </c>
      <c r="D1776" s="31" t="s">
        <v>755</v>
      </c>
      <c r="E1776" s="31" t="s">
        <v>754</v>
      </c>
      <c r="F1776" s="31" t="s">
        <v>160</v>
      </c>
      <c r="H1776" s="38">
        <v>0</v>
      </c>
    </row>
    <row r="1777" spans="1:8" x14ac:dyDescent="0.35">
      <c r="A1777" s="19"/>
      <c r="B1777" s="19" t="s">
        <v>22</v>
      </c>
      <c r="C1777" s="37">
        <v>45899</v>
      </c>
      <c r="D1777" s="31" t="s">
        <v>756</v>
      </c>
      <c r="E1777" s="31" t="s">
        <v>757</v>
      </c>
      <c r="F1777" s="31" t="s">
        <v>160</v>
      </c>
      <c r="H1777" s="38">
        <v>0</v>
      </c>
    </row>
    <row r="1778" spans="1:8" x14ac:dyDescent="0.35">
      <c r="A1778" s="19"/>
      <c r="B1778" s="19" t="s">
        <v>22</v>
      </c>
      <c r="C1778" s="37">
        <v>45899</v>
      </c>
      <c r="D1778" s="31" t="s">
        <v>758</v>
      </c>
      <c r="E1778" s="31" t="s">
        <v>757</v>
      </c>
      <c r="F1778" s="31" t="s">
        <v>160</v>
      </c>
      <c r="H1778" s="38">
        <v>0</v>
      </c>
    </row>
    <row r="1779" spans="1:8" x14ac:dyDescent="0.35">
      <c r="A1779" s="19"/>
      <c r="B1779" s="19" t="s">
        <v>22</v>
      </c>
      <c r="C1779" s="37">
        <v>45899</v>
      </c>
      <c r="D1779" s="31" t="s">
        <v>759</v>
      </c>
      <c r="E1779" s="31" t="s">
        <v>757</v>
      </c>
      <c r="F1779" s="31" t="s">
        <v>160</v>
      </c>
      <c r="H1779" s="38">
        <v>0</v>
      </c>
    </row>
    <row r="1780" spans="1:8" x14ac:dyDescent="0.35">
      <c r="A1780" s="19"/>
      <c r="B1780" s="19" t="s">
        <v>22</v>
      </c>
      <c r="C1780" s="37">
        <v>45899</v>
      </c>
      <c r="D1780" s="31" t="s">
        <v>760</v>
      </c>
      <c r="E1780" s="31" t="s">
        <v>757</v>
      </c>
      <c r="F1780" s="31" t="s">
        <v>160</v>
      </c>
      <c r="H1780" s="38">
        <v>0</v>
      </c>
    </row>
    <row r="1781" spans="1:8" x14ac:dyDescent="0.35">
      <c r="A1781" s="19"/>
      <c r="B1781" s="19" t="s">
        <v>22</v>
      </c>
      <c r="C1781" s="37">
        <v>45899</v>
      </c>
      <c r="D1781" s="31" t="s">
        <v>761</v>
      </c>
      <c r="E1781" s="31" t="s">
        <v>757</v>
      </c>
      <c r="F1781" s="31" t="s">
        <v>160</v>
      </c>
      <c r="H1781" s="38">
        <v>0</v>
      </c>
    </row>
    <row r="1782" spans="1:8" x14ac:dyDescent="0.35">
      <c r="A1782" s="19"/>
      <c r="B1782" s="19" t="s">
        <v>22</v>
      </c>
      <c r="C1782" s="37">
        <v>45899</v>
      </c>
      <c r="D1782" s="31" t="s">
        <v>762</v>
      </c>
      <c r="E1782" s="31" t="s">
        <v>284</v>
      </c>
      <c r="F1782" s="31" t="s">
        <v>160</v>
      </c>
      <c r="H1782" s="38">
        <v>0</v>
      </c>
    </row>
    <row r="1783" spans="1:8" x14ac:dyDescent="0.35">
      <c r="A1783" s="19"/>
      <c r="B1783" s="19" t="s">
        <v>22</v>
      </c>
      <c r="C1783" s="37">
        <v>45899</v>
      </c>
      <c r="D1783" s="31" t="s">
        <v>763</v>
      </c>
      <c r="E1783" s="31" t="s">
        <v>178</v>
      </c>
      <c r="F1783" s="31" t="s">
        <v>160</v>
      </c>
      <c r="H1783" s="38">
        <v>0</v>
      </c>
    </row>
    <row r="1784" spans="1:8" x14ac:dyDescent="0.35">
      <c r="A1784" s="19"/>
      <c r="B1784" s="19" t="s">
        <v>22</v>
      </c>
      <c r="C1784" s="37">
        <v>45899</v>
      </c>
      <c r="D1784" s="31" t="s">
        <v>764</v>
      </c>
      <c r="E1784" s="31" t="s">
        <v>178</v>
      </c>
      <c r="F1784" s="31" t="s">
        <v>160</v>
      </c>
      <c r="H1784" s="38">
        <v>0</v>
      </c>
    </row>
    <row r="1785" spans="1:8" x14ac:dyDescent="0.35">
      <c r="A1785" s="19"/>
      <c r="B1785" s="19" t="s">
        <v>22</v>
      </c>
      <c r="C1785" s="37">
        <v>45899</v>
      </c>
      <c r="D1785" s="31" t="s">
        <v>765</v>
      </c>
      <c r="E1785" s="31" t="s">
        <v>178</v>
      </c>
      <c r="F1785" s="31" t="s">
        <v>160</v>
      </c>
      <c r="H1785" s="38">
        <v>0</v>
      </c>
    </row>
    <row r="1786" spans="1:8" x14ac:dyDescent="0.35">
      <c r="A1786" s="19"/>
      <c r="B1786" s="19" t="s">
        <v>22</v>
      </c>
      <c r="C1786" s="37">
        <v>45899</v>
      </c>
      <c r="D1786" s="31" t="s">
        <v>766</v>
      </c>
      <c r="E1786" s="31" t="s">
        <v>767</v>
      </c>
      <c r="F1786" s="31" t="s">
        <v>160</v>
      </c>
      <c r="H1786" s="38">
        <v>0</v>
      </c>
    </row>
    <row r="1787" spans="1:8" x14ac:dyDescent="0.35">
      <c r="A1787" s="19"/>
      <c r="B1787" s="19" t="s">
        <v>22</v>
      </c>
      <c r="C1787" s="37">
        <v>45899</v>
      </c>
      <c r="D1787" s="31" t="s">
        <v>768</v>
      </c>
      <c r="E1787" s="31" t="s">
        <v>767</v>
      </c>
      <c r="F1787" s="31" t="s">
        <v>160</v>
      </c>
      <c r="H1787" s="38">
        <v>0</v>
      </c>
    </row>
    <row r="1788" spans="1:8" x14ac:dyDescent="0.35">
      <c r="A1788" s="19"/>
      <c r="B1788" s="19" t="s">
        <v>22</v>
      </c>
      <c r="C1788" s="37">
        <v>45899</v>
      </c>
      <c r="D1788" s="31" t="s">
        <v>769</v>
      </c>
      <c r="E1788" s="31" t="s">
        <v>767</v>
      </c>
      <c r="F1788" s="31" t="s">
        <v>160</v>
      </c>
      <c r="H1788" s="38">
        <v>0</v>
      </c>
    </row>
    <row r="1789" spans="1:8" x14ac:dyDescent="0.35">
      <c r="A1789" s="19"/>
      <c r="B1789" s="19" t="s">
        <v>22</v>
      </c>
      <c r="C1789" s="37">
        <v>45899</v>
      </c>
      <c r="D1789" s="31" t="s">
        <v>770</v>
      </c>
      <c r="E1789" s="31" t="s">
        <v>767</v>
      </c>
      <c r="F1789" s="31" t="s">
        <v>160</v>
      </c>
      <c r="H1789" s="38">
        <v>0</v>
      </c>
    </row>
    <row r="1790" spans="1:8" x14ac:dyDescent="0.35">
      <c r="A1790" s="19"/>
      <c r="B1790" s="19" t="s">
        <v>22</v>
      </c>
      <c r="C1790" s="37">
        <v>45899</v>
      </c>
      <c r="D1790" s="31" t="s">
        <v>771</v>
      </c>
      <c r="E1790" s="31" t="s">
        <v>767</v>
      </c>
      <c r="F1790" s="31" t="s">
        <v>160</v>
      </c>
      <c r="H1790" s="38">
        <v>0</v>
      </c>
    </row>
    <row r="1791" spans="1:8" x14ac:dyDescent="0.35">
      <c r="A1791" s="19"/>
      <c r="B1791" s="19" t="s">
        <v>22</v>
      </c>
      <c r="C1791" s="37">
        <v>45899</v>
      </c>
      <c r="D1791" s="31" t="s">
        <v>772</v>
      </c>
      <c r="E1791" s="31" t="s">
        <v>767</v>
      </c>
      <c r="F1791" s="31" t="s">
        <v>160</v>
      </c>
      <c r="H1791" s="38">
        <v>0</v>
      </c>
    </row>
    <row r="1792" spans="1:8" x14ac:dyDescent="0.35">
      <c r="A1792" s="19"/>
      <c r="B1792" s="19" t="s">
        <v>22</v>
      </c>
      <c r="C1792" s="37">
        <v>45899</v>
      </c>
      <c r="D1792" s="31" t="s">
        <v>773</v>
      </c>
      <c r="E1792" s="31" t="s">
        <v>767</v>
      </c>
      <c r="F1792" s="31" t="s">
        <v>160</v>
      </c>
      <c r="H1792" s="38">
        <v>0</v>
      </c>
    </row>
    <row r="1793" spans="1:8" x14ac:dyDescent="0.35">
      <c r="A1793" s="19"/>
      <c r="B1793" s="19" t="s">
        <v>22</v>
      </c>
      <c r="C1793" s="37">
        <v>45899</v>
      </c>
      <c r="D1793" s="31" t="s">
        <v>774</v>
      </c>
      <c r="E1793" s="31" t="s">
        <v>775</v>
      </c>
      <c r="F1793" s="31" t="s">
        <v>160</v>
      </c>
      <c r="H1793" s="38">
        <v>0</v>
      </c>
    </row>
    <row r="1794" spans="1:8" x14ac:dyDescent="0.35">
      <c r="A1794" s="19"/>
      <c r="B1794" s="19" t="s">
        <v>22</v>
      </c>
      <c r="C1794" s="37">
        <v>45899</v>
      </c>
      <c r="D1794" s="31" t="s">
        <v>776</v>
      </c>
      <c r="E1794" s="31" t="s">
        <v>777</v>
      </c>
      <c r="F1794" s="31" t="s">
        <v>160</v>
      </c>
      <c r="H1794" s="38">
        <v>351.49</v>
      </c>
    </row>
    <row r="1795" spans="1:8" x14ac:dyDescent="0.35">
      <c r="A1795" s="19"/>
      <c r="B1795" s="19" t="s">
        <v>22</v>
      </c>
      <c r="C1795" s="37">
        <v>45899</v>
      </c>
      <c r="D1795" s="31" t="s">
        <v>778</v>
      </c>
      <c r="E1795" s="31" t="s">
        <v>779</v>
      </c>
      <c r="F1795" s="31" t="s">
        <v>160</v>
      </c>
      <c r="H1795" s="38">
        <v>0</v>
      </c>
    </row>
    <row r="1796" spans="1:8" x14ac:dyDescent="0.35">
      <c r="A1796" s="19"/>
      <c r="B1796" s="19" t="s">
        <v>22</v>
      </c>
      <c r="C1796" s="37">
        <v>45899</v>
      </c>
      <c r="D1796" s="31" t="s">
        <v>780</v>
      </c>
      <c r="E1796" s="31" t="s">
        <v>775</v>
      </c>
      <c r="F1796" s="31" t="s">
        <v>160</v>
      </c>
      <c r="H1796" s="38">
        <v>0</v>
      </c>
    </row>
    <row r="1797" spans="1:8" x14ac:dyDescent="0.35">
      <c r="A1797" s="19"/>
      <c r="B1797" s="19" t="s">
        <v>22</v>
      </c>
      <c r="C1797" s="37">
        <v>45899</v>
      </c>
      <c r="D1797" s="31" t="s">
        <v>781</v>
      </c>
      <c r="E1797" s="31" t="s">
        <v>775</v>
      </c>
      <c r="F1797" s="31" t="s">
        <v>160</v>
      </c>
      <c r="H1797" s="38">
        <v>0</v>
      </c>
    </row>
    <row r="1798" spans="1:8" x14ac:dyDescent="0.35">
      <c r="A1798" s="19"/>
      <c r="B1798" s="19" t="s">
        <v>22</v>
      </c>
      <c r="C1798" s="37">
        <v>45899</v>
      </c>
      <c r="D1798" s="31" t="s">
        <v>782</v>
      </c>
      <c r="E1798" s="31" t="s">
        <v>775</v>
      </c>
      <c r="F1798" s="31" t="s">
        <v>160</v>
      </c>
      <c r="H1798" s="38">
        <v>0</v>
      </c>
    </row>
    <row r="1799" spans="1:8" x14ac:dyDescent="0.35">
      <c r="A1799" s="19"/>
      <c r="B1799" s="19" t="s">
        <v>22</v>
      </c>
      <c r="C1799" s="37">
        <v>45899</v>
      </c>
      <c r="D1799" s="31" t="s">
        <v>783</v>
      </c>
      <c r="E1799" s="31" t="s">
        <v>115</v>
      </c>
      <c r="F1799" s="31" t="s">
        <v>160</v>
      </c>
      <c r="H1799" s="38">
        <v>0</v>
      </c>
    </row>
    <row r="1800" spans="1:8" x14ac:dyDescent="0.35">
      <c r="A1800" s="19"/>
      <c r="B1800" s="19" t="s">
        <v>22</v>
      </c>
      <c r="C1800" s="37">
        <v>45899</v>
      </c>
      <c r="D1800" s="31" t="s">
        <v>784</v>
      </c>
      <c r="E1800" s="31" t="s">
        <v>115</v>
      </c>
      <c r="F1800" s="31" t="s">
        <v>160</v>
      </c>
      <c r="H1800" s="38">
        <v>0</v>
      </c>
    </row>
    <row r="1801" spans="1:8" x14ac:dyDescent="0.35">
      <c r="A1801" s="19"/>
      <c r="B1801" s="19" t="s">
        <v>22</v>
      </c>
      <c r="C1801" s="37">
        <v>45899</v>
      </c>
      <c r="D1801" s="31" t="s">
        <v>785</v>
      </c>
      <c r="E1801" s="31" t="s">
        <v>115</v>
      </c>
      <c r="F1801" s="31" t="s">
        <v>160</v>
      </c>
      <c r="H1801" s="38">
        <v>0</v>
      </c>
    </row>
    <row r="1802" spans="1:8" x14ac:dyDescent="0.35">
      <c r="A1802" s="19"/>
      <c r="B1802" s="19" t="s">
        <v>22</v>
      </c>
      <c r="C1802" s="37">
        <v>45899</v>
      </c>
      <c r="D1802" s="31" t="s">
        <v>786</v>
      </c>
      <c r="E1802" s="31" t="s">
        <v>787</v>
      </c>
      <c r="F1802" s="31" t="s">
        <v>160</v>
      </c>
      <c r="H1802" s="38">
        <v>0</v>
      </c>
    </row>
    <row r="1803" spans="1:8" x14ac:dyDescent="0.35">
      <c r="A1803" s="19"/>
      <c r="B1803" s="19" t="s">
        <v>22</v>
      </c>
      <c r="C1803" s="37">
        <v>45899</v>
      </c>
      <c r="D1803" s="31" t="s">
        <v>788</v>
      </c>
      <c r="E1803" s="31" t="s">
        <v>787</v>
      </c>
      <c r="F1803" s="31" t="s">
        <v>160</v>
      </c>
      <c r="H1803" s="38">
        <v>0</v>
      </c>
    </row>
    <row r="1804" spans="1:8" x14ac:dyDescent="0.35">
      <c r="A1804" s="19"/>
      <c r="B1804" s="19" t="s">
        <v>22</v>
      </c>
      <c r="C1804" s="37">
        <v>45899</v>
      </c>
      <c r="D1804" s="31" t="s">
        <v>789</v>
      </c>
      <c r="E1804" s="31" t="s">
        <v>787</v>
      </c>
      <c r="F1804" s="31" t="s">
        <v>160</v>
      </c>
      <c r="H1804" s="38">
        <v>0</v>
      </c>
    </row>
    <row r="1805" spans="1:8" x14ac:dyDescent="0.35">
      <c r="A1805" s="19"/>
      <c r="B1805" s="19" t="s">
        <v>22</v>
      </c>
      <c r="C1805" s="37">
        <v>45899</v>
      </c>
      <c r="D1805" s="31" t="s">
        <v>790</v>
      </c>
      <c r="E1805" s="31" t="s">
        <v>791</v>
      </c>
      <c r="F1805" s="31" t="s">
        <v>160</v>
      </c>
      <c r="H1805" s="38">
        <v>0</v>
      </c>
    </row>
    <row r="1806" spans="1:8" x14ac:dyDescent="0.35">
      <c r="A1806" s="19"/>
      <c r="B1806" s="19" t="s">
        <v>22</v>
      </c>
      <c r="C1806" s="37">
        <v>45899</v>
      </c>
      <c r="D1806" s="31">
        <v>38034</v>
      </c>
      <c r="E1806" s="31" t="s">
        <v>792</v>
      </c>
      <c r="F1806" s="31" t="s">
        <v>160</v>
      </c>
      <c r="H1806" s="38">
        <v>2645</v>
      </c>
    </row>
    <row r="1807" spans="1:8" x14ac:dyDescent="0.35">
      <c r="A1807" s="19"/>
      <c r="B1807" s="19" t="s">
        <v>22</v>
      </c>
      <c r="C1807" s="37">
        <v>45899</v>
      </c>
      <c r="D1807" s="31" t="s">
        <v>793</v>
      </c>
      <c r="E1807" s="31" t="s">
        <v>777</v>
      </c>
      <c r="F1807" s="31" t="s">
        <v>160</v>
      </c>
      <c r="H1807" s="38">
        <v>0</v>
      </c>
    </row>
    <row r="1808" spans="1:8" x14ac:dyDescent="0.35">
      <c r="A1808" s="19"/>
      <c r="B1808" s="19" t="s">
        <v>22</v>
      </c>
      <c r="C1808" s="37">
        <v>45899</v>
      </c>
      <c r="D1808" s="31" t="s">
        <v>794</v>
      </c>
      <c r="E1808" s="31" t="s">
        <v>107</v>
      </c>
      <c r="F1808" s="31" t="s">
        <v>160</v>
      </c>
      <c r="H1808" s="38">
        <v>0</v>
      </c>
    </row>
    <row r="1809" spans="1:8" x14ac:dyDescent="0.35">
      <c r="A1809" s="19"/>
      <c r="B1809" s="19" t="s">
        <v>22</v>
      </c>
      <c r="C1809" s="37">
        <v>45899</v>
      </c>
      <c r="D1809" s="31" t="s">
        <v>795</v>
      </c>
      <c r="E1809" s="31" t="s">
        <v>107</v>
      </c>
      <c r="F1809" s="31" t="s">
        <v>160</v>
      </c>
      <c r="H1809" s="38">
        <v>0</v>
      </c>
    </row>
    <row r="1810" spans="1:8" x14ac:dyDescent="0.35">
      <c r="A1810" s="19"/>
      <c r="B1810" s="19" t="s">
        <v>22</v>
      </c>
      <c r="C1810" s="37">
        <v>45899</v>
      </c>
      <c r="D1810" s="31" t="s">
        <v>796</v>
      </c>
      <c r="E1810" s="31" t="s">
        <v>597</v>
      </c>
      <c r="F1810" s="31" t="s">
        <v>160</v>
      </c>
      <c r="H1810" s="38">
        <v>0</v>
      </c>
    </row>
    <row r="1811" spans="1:8" x14ac:dyDescent="0.35">
      <c r="A1811" s="19"/>
      <c r="B1811" s="19" t="s">
        <v>22</v>
      </c>
      <c r="C1811" s="37">
        <v>45899</v>
      </c>
      <c r="D1811" s="31" t="s">
        <v>797</v>
      </c>
      <c r="E1811" s="31" t="s">
        <v>597</v>
      </c>
      <c r="F1811" s="31" t="s">
        <v>160</v>
      </c>
      <c r="H1811" s="38">
        <v>0</v>
      </c>
    </row>
    <row r="1812" spans="1:8" x14ac:dyDescent="0.35">
      <c r="A1812" s="19"/>
      <c r="B1812" s="19" t="s">
        <v>22</v>
      </c>
      <c r="C1812" s="37">
        <v>45899</v>
      </c>
      <c r="D1812" s="31">
        <v>38051</v>
      </c>
      <c r="E1812" s="31" t="s">
        <v>682</v>
      </c>
      <c r="F1812" s="31" t="s">
        <v>160</v>
      </c>
      <c r="H1812" s="38">
        <v>54331.65</v>
      </c>
    </row>
    <row r="1813" spans="1:8" x14ac:dyDescent="0.35">
      <c r="A1813" s="19"/>
      <c r="B1813" s="19" t="s">
        <v>22</v>
      </c>
      <c r="C1813" s="37">
        <v>45899</v>
      </c>
      <c r="D1813" s="31" t="s">
        <v>798</v>
      </c>
      <c r="E1813" s="31" t="s">
        <v>799</v>
      </c>
      <c r="F1813" s="31" t="s">
        <v>160</v>
      </c>
      <c r="H1813" s="38">
        <v>0</v>
      </c>
    </row>
    <row r="1814" spans="1:8" x14ac:dyDescent="0.35">
      <c r="A1814" s="19"/>
      <c r="B1814" s="19" t="s">
        <v>22</v>
      </c>
      <c r="C1814" s="37">
        <v>45899</v>
      </c>
      <c r="D1814" s="31" t="s">
        <v>800</v>
      </c>
      <c r="E1814" s="31" t="s">
        <v>799</v>
      </c>
      <c r="F1814" s="31" t="s">
        <v>160</v>
      </c>
      <c r="H1814" s="38">
        <v>0</v>
      </c>
    </row>
    <row r="1815" spans="1:8" x14ac:dyDescent="0.35">
      <c r="A1815" s="19"/>
      <c r="B1815" s="19" t="s">
        <v>22</v>
      </c>
      <c r="C1815" s="37">
        <v>45899</v>
      </c>
      <c r="D1815" s="31" t="s">
        <v>801</v>
      </c>
      <c r="E1815" s="31" t="s">
        <v>799</v>
      </c>
      <c r="F1815" s="31" t="s">
        <v>160</v>
      </c>
      <c r="H1815" s="38">
        <v>0</v>
      </c>
    </row>
    <row r="1816" spans="1:8" x14ac:dyDescent="0.35">
      <c r="A1816" s="19"/>
      <c r="B1816" s="19" t="s">
        <v>22</v>
      </c>
      <c r="C1816" s="37">
        <v>45899</v>
      </c>
      <c r="D1816" s="31" t="s">
        <v>802</v>
      </c>
      <c r="E1816" s="31" t="s">
        <v>799</v>
      </c>
      <c r="F1816" s="31" t="s">
        <v>160</v>
      </c>
      <c r="H1816" s="38">
        <v>0</v>
      </c>
    </row>
    <row r="1817" spans="1:8" x14ac:dyDescent="0.35">
      <c r="A1817" s="19"/>
      <c r="B1817" s="19" t="s">
        <v>22</v>
      </c>
      <c r="C1817" s="37">
        <v>45899</v>
      </c>
      <c r="D1817" s="31" t="s">
        <v>803</v>
      </c>
      <c r="E1817" s="31" t="s">
        <v>804</v>
      </c>
      <c r="F1817" s="31" t="s">
        <v>160</v>
      </c>
      <c r="H1817" s="38">
        <v>0</v>
      </c>
    </row>
    <row r="1818" spans="1:8" x14ac:dyDescent="0.35">
      <c r="A1818" s="19"/>
      <c r="B1818" s="19" t="s">
        <v>22</v>
      </c>
      <c r="C1818" s="37">
        <v>45899</v>
      </c>
      <c r="D1818" s="31" t="s">
        <v>805</v>
      </c>
      <c r="E1818" s="31" t="s">
        <v>804</v>
      </c>
      <c r="F1818" s="31" t="s">
        <v>160</v>
      </c>
      <c r="H1818" s="38">
        <v>0</v>
      </c>
    </row>
    <row r="1819" spans="1:8" x14ac:dyDescent="0.35">
      <c r="A1819" s="19"/>
      <c r="B1819" s="19" t="s">
        <v>22</v>
      </c>
      <c r="C1819" s="37">
        <v>45899</v>
      </c>
      <c r="D1819" s="31" t="s">
        <v>806</v>
      </c>
      <c r="E1819" s="31" t="s">
        <v>807</v>
      </c>
      <c r="F1819" s="31" t="s">
        <v>160</v>
      </c>
      <c r="H1819" s="38">
        <v>0</v>
      </c>
    </row>
    <row r="1820" spans="1:8" x14ac:dyDescent="0.35">
      <c r="A1820" s="19"/>
      <c r="B1820" s="19" t="s">
        <v>22</v>
      </c>
      <c r="C1820" s="37">
        <v>45899</v>
      </c>
      <c r="D1820" s="31" t="s">
        <v>808</v>
      </c>
      <c r="E1820" s="31" t="s">
        <v>670</v>
      </c>
      <c r="F1820" s="31" t="s">
        <v>160</v>
      </c>
      <c r="H1820" s="38">
        <v>0</v>
      </c>
    </row>
    <row r="1821" spans="1:8" x14ac:dyDescent="0.35">
      <c r="A1821" s="19"/>
      <c r="B1821" s="19" t="s">
        <v>22</v>
      </c>
      <c r="C1821" s="37">
        <v>45899</v>
      </c>
      <c r="D1821" s="31" t="s">
        <v>809</v>
      </c>
      <c r="E1821" s="31" t="s">
        <v>810</v>
      </c>
      <c r="F1821" s="31" t="s">
        <v>160</v>
      </c>
      <c r="H1821" s="38">
        <v>0</v>
      </c>
    </row>
    <row r="1822" spans="1:8" x14ac:dyDescent="0.35">
      <c r="A1822" s="19"/>
      <c r="B1822" s="19" t="s">
        <v>22</v>
      </c>
      <c r="C1822" s="37">
        <v>45899</v>
      </c>
      <c r="D1822" s="31" t="s">
        <v>811</v>
      </c>
      <c r="E1822" s="31" t="s">
        <v>810</v>
      </c>
      <c r="F1822" s="31" t="s">
        <v>160</v>
      </c>
      <c r="H1822" s="38">
        <v>0</v>
      </c>
    </row>
    <row r="1823" spans="1:8" x14ac:dyDescent="0.35">
      <c r="A1823" s="19"/>
      <c r="B1823" s="19" t="s">
        <v>22</v>
      </c>
      <c r="C1823" s="37">
        <v>45899</v>
      </c>
      <c r="D1823" s="31" t="s">
        <v>812</v>
      </c>
      <c r="E1823" s="31" t="s">
        <v>810</v>
      </c>
      <c r="F1823" s="31" t="s">
        <v>160</v>
      </c>
      <c r="H1823" s="38">
        <v>0</v>
      </c>
    </row>
    <row r="1824" spans="1:8" x14ac:dyDescent="0.35">
      <c r="A1824" s="19"/>
      <c r="B1824" s="19" t="s">
        <v>22</v>
      </c>
      <c r="C1824" s="37">
        <v>45899</v>
      </c>
      <c r="D1824" s="31" t="s">
        <v>813</v>
      </c>
      <c r="E1824" s="31" t="s">
        <v>810</v>
      </c>
      <c r="F1824" s="31" t="s">
        <v>160</v>
      </c>
      <c r="H1824" s="38">
        <v>0</v>
      </c>
    </row>
    <row r="1825" spans="1:8" x14ac:dyDescent="0.35">
      <c r="A1825" s="19"/>
      <c r="B1825" s="19" t="s">
        <v>22</v>
      </c>
      <c r="C1825" s="37">
        <v>45899</v>
      </c>
      <c r="D1825" s="31" t="s">
        <v>814</v>
      </c>
      <c r="E1825" s="31" t="s">
        <v>810</v>
      </c>
      <c r="F1825" s="31" t="s">
        <v>160</v>
      </c>
      <c r="H1825" s="38">
        <v>0</v>
      </c>
    </row>
    <row r="1826" spans="1:8" x14ac:dyDescent="0.35">
      <c r="A1826" s="19"/>
      <c r="B1826" s="19" t="s">
        <v>22</v>
      </c>
      <c r="C1826" s="37">
        <v>45899</v>
      </c>
      <c r="D1826" s="31" t="s">
        <v>815</v>
      </c>
      <c r="E1826" s="31" t="s">
        <v>810</v>
      </c>
      <c r="F1826" s="31" t="s">
        <v>160</v>
      </c>
      <c r="H1826" s="38">
        <v>0</v>
      </c>
    </row>
    <row r="1827" spans="1:8" x14ac:dyDescent="0.35">
      <c r="A1827" s="19"/>
      <c r="B1827" s="19" t="s">
        <v>22</v>
      </c>
      <c r="C1827" s="37">
        <v>45899</v>
      </c>
      <c r="D1827" s="31" t="s">
        <v>816</v>
      </c>
      <c r="E1827" s="31" t="s">
        <v>810</v>
      </c>
      <c r="F1827" s="31" t="s">
        <v>160</v>
      </c>
      <c r="H1827" s="38">
        <v>0</v>
      </c>
    </row>
    <row r="1828" spans="1:8" x14ac:dyDescent="0.35">
      <c r="A1828" s="19"/>
      <c r="B1828" s="19" t="s">
        <v>22</v>
      </c>
      <c r="C1828" s="37">
        <v>45899</v>
      </c>
      <c r="D1828" s="31" t="s">
        <v>817</v>
      </c>
      <c r="E1828" s="31" t="s">
        <v>810</v>
      </c>
      <c r="F1828" s="31" t="s">
        <v>160</v>
      </c>
      <c r="H1828" s="38">
        <v>0</v>
      </c>
    </row>
    <row r="1829" spans="1:8" x14ac:dyDescent="0.35">
      <c r="A1829" s="19"/>
      <c r="B1829" s="19" t="s">
        <v>22</v>
      </c>
      <c r="C1829" s="37">
        <v>45899</v>
      </c>
      <c r="D1829" s="31" t="s">
        <v>818</v>
      </c>
      <c r="E1829" s="31" t="s">
        <v>810</v>
      </c>
      <c r="F1829" s="31" t="s">
        <v>160</v>
      </c>
      <c r="H1829" s="38">
        <v>0</v>
      </c>
    </row>
    <row r="1830" spans="1:8" x14ac:dyDescent="0.35">
      <c r="A1830" s="19"/>
      <c r="B1830" s="19" t="s">
        <v>22</v>
      </c>
      <c r="C1830" s="37">
        <v>45899</v>
      </c>
      <c r="D1830" s="31" t="s">
        <v>819</v>
      </c>
      <c r="E1830" s="31" t="s">
        <v>559</v>
      </c>
      <c r="F1830" s="31" t="s">
        <v>160</v>
      </c>
      <c r="H1830" s="38">
        <v>0</v>
      </c>
    </row>
    <row r="1831" spans="1:8" x14ac:dyDescent="0.35">
      <c r="A1831" s="19"/>
      <c r="B1831" s="19" t="s">
        <v>22</v>
      </c>
      <c r="C1831" s="37">
        <v>45899</v>
      </c>
      <c r="D1831" s="31" t="s">
        <v>820</v>
      </c>
      <c r="E1831" s="31" t="s">
        <v>225</v>
      </c>
      <c r="F1831" s="31" t="s">
        <v>160</v>
      </c>
      <c r="H1831" s="38">
        <v>0</v>
      </c>
    </row>
    <row r="1832" spans="1:8" x14ac:dyDescent="0.35">
      <c r="A1832" s="19"/>
      <c r="B1832" s="19" t="s">
        <v>22</v>
      </c>
      <c r="C1832" s="37">
        <v>45899</v>
      </c>
      <c r="D1832" s="31" t="s">
        <v>821</v>
      </c>
      <c r="E1832" s="31" t="s">
        <v>418</v>
      </c>
      <c r="F1832" s="31" t="s">
        <v>160</v>
      </c>
      <c r="H1832" s="38">
        <v>0</v>
      </c>
    </row>
    <row r="1833" spans="1:8" x14ac:dyDescent="0.35">
      <c r="A1833" s="19"/>
      <c r="B1833" s="19" t="s">
        <v>22</v>
      </c>
      <c r="C1833" s="37">
        <v>45899</v>
      </c>
      <c r="D1833" s="31" t="s">
        <v>822</v>
      </c>
      <c r="E1833" s="31" t="s">
        <v>823</v>
      </c>
      <c r="F1833" s="31" t="s">
        <v>160</v>
      </c>
      <c r="H1833" s="38">
        <v>0</v>
      </c>
    </row>
    <row r="1834" spans="1:8" x14ac:dyDescent="0.35">
      <c r="A1834" s="19"/>
      <c r="B1834" s="19" t="s">
        <v>22</v>
      </c>
      <c r="C1834" s="37">
        <v>45899</v>
      </c>
      <c r="D1834" s="31" t="s">
        <v>824</v>
      </c>
      <c r="E1834" s="31" t="s">
        <v>823</v>
      </c>
      <c r="F1834" s="31" t="s">
        <v>160</v>
      </c>
      <c r="H1834" s="38">
        <v>0</v>
      </c>
    </row>
    <row r="1835" spans="1:8" x14ac:dyDescent="0.35">
      <c r="A1835" s="19"/>
      <c r="B1835" s="19" t="s">
        <v>22</v>
      </c>
      <c r="C1835" s="37">
        <v>45899</v>
      </c>
      <c r="D1835" s="31" t="s">
        <v>825</v>
      </c>
      <c r="E1835" s="31" t="s">
        <v>70</v>
      </c>
      <c r="F1835" s="31" t="s">
        <v>160</v>
      </c>
      <c r="H1835" s="38">
        <v>37.35</v>
      </c>
    </row>
    <row r="1836" spans="1:8" x14ac:dyDescent="0.35">
      <c r="A1836" s="19"/>
      <c r="B1836" s="19" t="s">
        <v>22</v>
      </c>
      <c r="C1836" s="37">
        <v>45899</v>
      </c>
      <c r="D1836" s="31" t="s">
        <v>826</v>
      </c>
      <c r="E1836" s="31" t="s">
        <v>70</v>
      </c>
      <c r="F1836" s="31" t="s">
        <v>160</v>
      </c>
      <c r="H1836" s="38">
        <v>1200</v>
      </c>
    </row>
    <row r="1837" spans="1:8" x14ac:dyDescent="0.35">
      <c r="A1837" s="19"/>
      <c r="B1837" s="19" t="s">
        <v>22</v>
      </c>
      <c r="C1837" s="37">
        <v>45899</v>
      </c>
      <c r="D1837" s="31" t="s">
        <v>827</v>
      </c>
      <c r="E1837" s="31" t="s">
        <v>70</v>
      </c>
      <c r="F1837" s="31" t="s">
        <v>160</v>
      </c>
      <c r="H1837" s="38">
        <v>0</v>
      </c>
    </row>
    <row r="1838" spans="1:8" x14ac:dyDescent="0.35">
      <c r="A1838" s="19"/>
      <c r="B1838" s="19" t="s">
        <v>22</v>
      </c>
      <c r="C1838" s="37">
        <v>45899</v>
      </c>
      <c r="D1838" s="31" t="s">
        <v>828</v>
      </c>
      <c r="E1838" s="31" t="s">
        <v>70</v>
      </c>
      <c r="F1838" s="31" t="s">
        <v>160</v>
      </c>
      <c r="H1838" s="38">
        <v>0</v>
      </c>
    </row>
    <row r="1839" spans="1:8" x14ac:dyDescent="0.35">
      <c r="A1839" s="19"/>
      <c r="B1839" s="19" t="s">
        <v>22</v>
      </c>
      <c r="C1839" s="37">
        <v>45899</v>
      </c>
      <c r="D1839" s="31" t="s">
        <v>829</v>
      </c>
      <c r="E1839" s="31" t="s">
        <v>70</v>
      </c>
      <c r="F1839" s="31" t="s">
        <v>160</v>
      </c>
      <c r="H1839" s="38">
        <v>0</v>
      </c>
    </row>
    <row r="1840" spans="1:8" x14ac:dyDescent="0.35">
      <c r="A1840" s="19"/>
      <c r="B1840" s="19" t="s">
        <v>22</v>
      </c>
      <c r="C1840" s="37">
        <v>45899</v>
      </c>
      <c r="D1840" s="31" t="s">
        <v>830</v>
      </c>
      <c r="E1840" s="31" t="s">
        <v>767</v>
      </c>
      <c r="F1840" s="31" t="s">
        <v>160</v>
      </c>
      <c r="H1840" s="38">
        <v>0</v>
      </c>
    </row>
    <row r="1841" spans="1:8" x14ac:dyDescent="0.35">
      <c r="A1841" s="19"/>
      <c r="B1841" s="19" t="s">
        <v>22</v>
      </c>
      <c r="C1841" s="37">
        <v>45899</v>
      </c>
      <c r="D1841" s="31">
        <v>38229</v>
      </c>
      <c r="E1841" s="31" t="s">
        <v>57</v>
      </c>
      <c r="F1841" s="31" t="s">
        <v>160</v>
      </c>
      <c r="H1841" s="38">
        <v>0</v>
      </c>
    </row>
    <row r="1842" spans="1:8" x14ac:dyDescent="0.35">
      <c r="A1842" s="19"/>
      <c r="B1842" s="19" t="s">
        <v>22</v>
      </c>
      <c r="C1842" s="37">
        <v>45899</v>
      </c>
      <c r="D1842" s="31">
        <v>38230</v>
      </c>
      <c r="E1842" s="31" t="s">
        <v>831</v>
      </c>
      <c r="F1842" s="31" t="s">
        <v>160</v>
      </c>
      <c r="H1842" s="38">
        <v>24119</v>
      </c>
    </row>
    <row r="1843" spans="1:8" x14ac:dyDescent="0.35">
      <c r="A1843" s="19"/>
      <c r="B1843" s="19" t="s">
        <v>22</v>
      </c>
      <c r="C1843" s="37">
        <v>45899</v>
      </c>
      <c r="D1843" s="31" t="s">
        <v>832</v>
      </c>
      <c r="E1843" s="31" t="s">
        <v>64</v>
      </c>
      <c r="F1843" s="31" t="s">
        <v>160</v>
      </c>
      <c r="H1843" s="38">
        <v>0</v>
      </c>
    </row>
    <row r="1844" spans="1:8" x14ac:dyDescent="0.35">
      <c r="A1844" s="19"/>
      <c r="B1844" s="19" t="s">
        <v>22</v>
      </c>
      <c r="C1844" s="37">
        <v>45899</v>
      </c>
      <c r="D1844" s="31" t="s">
        <v>833</v>
      </c>
      <c r="E1844" s="31" t="s">
        <v>64</v>
      </c>
      <c r="F1844" s="31" t="s">
        <v>160</v>
      </c>
      <c r="H1844" s="38">
        <v>0</v>
      </c>
    </row>
    <row r="1845" spans="1:8" x14ac:dyDescent="0.35">
      <c r="A1845" s="19"/>
      <c r="B1845" s="19" t="s">
        <v>22</v>
      </c>
      <c r="C1845" s="37">
        <v>45899</v>
      </c>
      <c r="D1845" s="31" t="s">
        <v>834</v>
      </c>
      <c r="E1845" s="31" t="s">
        <v>64</v>
      </c>
      <c r="F1845" s="31" t="s">
        <v>160</v>
      </c>
      <c r="H1845" s="38">
        <v>0</v>
      </c>
    </row>
    <row r="1846" spans="1:8" x14ac:dyDescent="0.35">
      <c r="A1846" s="19"/>
      <c r="B1846" s="19" t="s">
        <v>22</v>
      </c>
      <c r="C1846" s="37">
        <v>45899</v>
      </c>
      <c r="D1846" s="31" t="s">
        <v>835</v>
      </c>
      <c r="E1846" s="31" t="s">
        <v>836</v>
      </c>
      <c r="F1846" s="31" t="s">
        <v>160</v>
      </c>
      <c r="H1846" s="38">
        <v>0</v>
      </c>
    </row>
    <row r="1847" spans="1:8" x14ac:dyDescent="0.35">
      <c r="A1847" s="19"/>
      <c r="B1847" s="19" t="s">
        <v>22</v>
      </c>
      <c r="C1847" s="37">
        <v>45899</v>
      </c>
      <c r="D1847" s="31" t="s">
        <v>837</v>
      </c>
      <c r="E1847" s="31" t="s">
        <v>177</v>
      </c>
      <c r="F1847" s="31" t="s">
        <v>160</v>
      </c>
      <c r="H1847" s="38">
        <v>2494.5700000000002</v>
      </c>
    </row>
    <row r="1848" spans="1:8" x14ac:dyDescent="0.35">
      <c r="A1848" s="19"/>
      <c r="B1848" s="19" t="s">
        <v>22</v>
      </c>
      <c r="C1848" s="37">
        <v>45899</v>
      </c>
      <c r="D1848" s="31" t="s">
        <v>838</v>
      </c>
      <c r="E1848" s="31" t="s">
        <v>177</v>
      </c>
      <c r="F1848" s="31" t="s">
        <v>160</v>
      </c>
      <c r="H1848" s="38">
        <v>4394.0499999999993</v>
      </c>
    </row>
    <row r="1849" spans="1:8" x14ac:dyDescent="0.35">
      <c r="A1849" s="19"/>
      <c r="B1849" s="19" t="s">
        <v>22</v>
      </c>
      <c r="C1849" s="37">
        <v>45899</v>
      </c>
      <c r="D1849" s="31">
        <v>38254</v>
      </c>
      <c r="E1849" s="31" t="s">
        <v>177</v>
      </c>
      <c r="F1849" s="31" t="s">
        <v>160</v>
      </c>
      <c r="H1849" s="38">
        <v>70206.000000000015</v>
      </c>
    </row>
    <row r="1850" spans="1:8" x14ac:dyDescent="0.35">
      <c r="A1850" s="19"/>
      <c r="B1850" s="19" t="s">
        <v>22</v>
      </c>
      <c r="C1850" s="37">
        <v>45899</v>
      </c>
      <c r="D1850" s="31" t="s">
        <v>839</v>
      </c>
      <c r="E1850" s="31" t="s">
        <v>177</v>
      </c>
      <c r="F1850" s="31" t="s">
        <v>160</v>
      </c>
      <c r="H1850" s="38">
        <v>268894.41000000003</v>
      </c>
    </row>
    <row r="1851" spans="1:8" x14ac:dyDescent="0.35">
      <c r="A1851" s="19"/>
      <c r="B1851" s="19" t="s">
        <v>22</v>
      </c>
      <c r="C1851" s="37">
        <v>45899</v>
      </c>
      <c r="D1851" s="31" t="s">
        <v>840</v>
      </c>
      <c r="E1851" s="31" t="s">
        <v>177</v>
      </c>
      <c r="F1851" s="31" t="s">
        <v>160</v>
      </c>
      <c r="H1851" s="38">
        <v>32981.75</v>
      </c>
    </row>
    <row r="1852" spans="1:8" x14ac:dyDescent="0.35">
      <c r="A1852" s="19"/>
      <c r="B1852" s="19" t="s">
        <v>22</v>
      </c>
      <c r="C1852" s="37">
        <v>45899</v>
      </c>
      <c r="D1852" s="31" t="s">
        <v>841</v>
      </c>
      <c r="E1852" s="31" t="s">
        <v>177</v>
      </c>
      <c r="F1852" s="31" t="s">
        <v>160</v>
      </c>
      <c r="H1852" s="38">
        <v>72633.990000000005</v>
      </c>
    </row>
    <row r="1853" spans="1:8" x14ac:dyDescent="0.35">
      <c r="A1853" s="19"/>
      <c r="B1853" s="19" t="s">
        <v>22</v>
      </c>
      <c r="C1853" s="37">
        <v>45899</v>
      </c>
      <c r="D1853" s="31" t="s">
        <v>842</v>
      </c>
      <c r="E1853" s="31" t="s">
        <v>177</v>
      </c>
      <c r="F1853" s="31" t="s">
        <v>160</v>
      </c>
      <c r="H1853" s="38">
        <v>0</v>
      </c>
    </row>
    <row r="1854" spans="1:8" x14ac:dyDescent="0.35">
      <c r="A1854" s="19"/>
      <c r="B1854" s="19" t="s">
        <v>22</v>
      </c>
      <c r="C1854" s="37">
        <v>45899</v>
      </c>
      <c r="D1854" s="31" t="s">
        <v>843</v>
      </c>
      <c r="E1854" s="31" t="s">
        <v>177</v>
      </c>
      <c r="F1854" s="31" t="s">
        <v>160</v>
      </c>
      <c r="H1854" s="38">
        <v>2754.29</v>
      </c>
    </row>
    <row r="1855" spans="1:8" x14ac:dyDescent="0.35">
      <c r="A1855" s="19"/>
      <c r="B1855" s="19" t="s">
        <v>22</v>
      </c>
      <c r="C1855" s="37">
        <v>45899</v>
      </c>
      <c r="D1855" s="31" t="s">
        <v>844</v>
      </c>
      <c r="E1855" s="31" t="s">
        <v>177</v>
      </c>
      <c r="F1855" s="31" t="s">
        <v>160</v>
      </c>
      <c r="H1855" s="38">
        <v>0</v>
      </c>
    </row>
    <row r="1856" spans="1:8" x14ac:dyDescent="0.35">
      <c r="A1856" s="19"/>
      <c r="B1856" s="19" t="s">
        <v>22</v>
      </c>
      <c r="C1856" s="37">
        <v>45899</v>
      </c>
      <c r="D1856" s="31">
        <v>38263</v>
      </c>
      <c r="E1856" s="31" t="s">
        <v>177</v>
      </c>
      <c r="F1856" s="31" t="s">
        <v>160</v>
      </c>
      <c r="H1856" s="38">
        <v>1203.22</v>
      </c>
    </row>
    <row r="1857" spans="1:8" x14ac:dyDescent="0.35">
      <c r="A1857" s="19"/>
      <c r="B1857" s="19" t="s">
        <v>22</v>
      </c>
      <c r="C1857" s="37">
        <v>45899</v>
      </c>
      <c r="D1857" s="31" t="s">
        <v>845</v>
      </c>
      <c r="E1857" s="31" t="s">
        <v>177</v>
      </c>
      <c r="F1857" s="31" t="s">
        <v>160</v>
      </c>
      <c r="H1857" s="38">
        <v>0</v>
      </c>
    </row>
    <row r="1858" spans="1:8" x14ac:dyDescent="0.35">
      <c r="A1858" s="19"/>
      <c r="B1858" s="19" t="s">
        <v>22</v>
      </c>
      <c r="C1858" s="37">
        <v>45899</v>
      </c>
      <c r="D1858" s="31" t="s">
        <v>846</v>
      </c>
      <c r="E1858" s="31" t="s">
        <v>177</v>
      </c>
      <c r="F1858" s="31" t="s">
        <v>160</v>
      </c>
      <c r="H1858" s="38">
        <v>0</v>
      </c>
    </row>
    <row r="1859" spans="1:8" x14ac:dyDescent="0.35">
      <c r="A1859" s="19"/>
      <c r="B1859" s="19" t="s">
        <v>22</v>
      </c>
      <c r="C1859" s="37">
        <v>45899</v>
      </c>
      <c r="D1859" s="31">
        <v>38265</v>
      </c>
      <c r="E1859" s="31" t="s">
        <v>177</v>
      </c>
      <c r="F1859" s="31" t="s">
        <v>160</v>
      </c>
      <c r="H1859" s="38">
        <v>21741</v>
      </c>
    </row>
    <row r="1860" spans="1:8" x14ac:dyDescent="0.35">
      <c r="A1860" s="19"/>
      <c r="B1860" s="19" t="s">
        <v>22</v>
      </c>
      <c r="C1860" s="37">
        <v>45899</v>
      </c>
      <c r="D1860" s="31">
        <v>38266</v>
      </c>
      <c r="E1860" s="31" t="s">
        <v>177</v>
      </c>
      <c r="F1860" s="31" t="s">
        <v>160</v>
      </c>
      <c r="H1860" s="38">
        <v>21848.110000000004</v>
      </c>
    </row>
    <row r="1861" spans="1:8" x14ac:dyDescent="0.35">
      <c r="A1861" s="19"/>
      <c r="B1861" s="19" t="s">
        <v>22</v>
      </c>
      <c r="C1861" s="37">
        <v>45899</v>
      </c>
      <c r="D1861" s="31" t="s">
        <v>847</v>
      </c>
      <c r="E1861" s="31" t="s">
        <v>284</v>
      </c>
      <c r="F1861" s="31" t="s">
        <v>160</v>
      </c>
      <c r="H1861" s="38">
        <v>0</v>
      </c>
    </row>
    <row r="1862" spans="1:8" x14ac:dyDescent="0.35">
      <c r="A1862" s="19"/>
      <c r="B1862" s="19" t="s">
        <v>22</v>
      </c>
      <c r="C1862" s="37">
        <v>45899</v>
      </c>
      <c r="D1862" s="31" t="s">
        <v>848</v>
      </c>
      <c r="E1862" s="31" t="s">
        <v>284</v>
      </c>
      <c r="F1862" s="31" t="s">
        <v>160</v>
      </c>
      <c r="H1862" s="38">
        <v>0</v>
      </c>
    </row>
    <row r="1863" spans="1:8" x14ac:dyDescent="0.35">
      <c r="A1863" s="19"/>
      <c r="B1863" s="19" t="s">
        <v>22</v>
      </c>
      <c r="C1863" s="37">
        <v>45899</v>
      </c>
      <c r="D1863" s="31" t="s">
        <v>849</v>
      </c>
      <c r="E1863" s="31" t="s">
        <v>850</v>
      </c>
      <c r="F1863" s="31" t="s">
        <v>160</v>
      </c>
      <c r="H1863" s="38">
        <v>0</v>
      </c>
    </row>
    <row r="1864" spans="1:8" x14ac:dyDescent="0.35">
      <c r="A1864" s="19"/>
      <c r="B1864" s="19" t="s">
        <v>22</v>
      </c>
      <c r="C1864" s="37">
        <v>45899</v>
      </c>
      <c r="D1864" s="31" t="s">
        <v>851</v>
      </c>
      <c r="E1864" s="31" t="s">
        <v>852</v>
      </c>
      <c r="F1864" s="31" t="s">
        <v>160</v>
      </c>
      <c r="H1864" s="38">
        <v>0</v>
      </c>
    </row>
    <row r="1865" spans="1:8" x14ac:dyDescent="0.35">
      <c r="A1865" s="19"/>
      <c r="B1865" s="19" t="s">
        <v>22</v>
      </c>
      <c r="C1865" s="37">
        <v>45899</v>
      </c>
      <c r="D1865" s="31" t="s">
        <v>853</v>
      </c>
      <c r="E1865" s="31" t="s">
        <v>741</v>
      </c>
      <c r="F1865" s="31" t="s">
        <v>160</v>
      </c>
      <c r="H1865" s="38">
        <v>0</v>
      </c>
    </row>
    <row r="1866" spans="1:8" x14ac:dyDescent="0.35">
      <c r="A1866" s="19"/>
      <c r="B1866" s="19" t="s">
        <v>22</v>
      </c>
      <c r="C1866" s="37">
        <v>45899</v>
      </c>
      <c r="D1866" s="31" t="s">
        <v>854</v>
      </c>
      <c r="E1866" s="31" t="s">
        <v>741</v>
      </c>
      <c r="F1866" s="31" t="s">
        <v>160</v>
      </c>
      <c r="H1866" s="38">
        <v>0</v>
      </c>
    </row>
    <row r="1867" spans="1:8" x14ac:dyDescent="0.35">
      <c r="A1867" s="19"/>
      <c r="B1867" s="19" t="s">
        <v>22</v>
      </c>
      <c r="C1867" s="37">
        <v>45899</v>
      </c>
      <c r="D1867" s="31" t="s">
        <v>855</v>
      </c>
      <c r="E1867" s="31" t="s">
        <v>105</v>
      </c>
      <c r="F1867" s="31" t="s">
        <v>160</v>
      </c>
      <c r="H1867" s="38">
        <v>0</v>
      </c>
    </row>
    <row r="1868" spans="1:8" x14ac:dyDescent="0.35">
      <c r="A1868" s="19"/>
      <c r="B1868" s="19" t="s">
        <v>22</v>
      </c>
      <c r="C1868" s="37">
        <v>45899</v>
      </c>
      <c r="D1868" s="31" t="s">
        <v>856</v>
      </c>
      <c r="E1868" s="31" t="s">
        <v>105</v>
      </c>
      <c r="F1868" s="31" t="s">
        <v>160</v>
      </c>
      <c r="H1868" s="38">
        <v>0</v>
      </c>
    </row>
    <row r="1869" spans="1:8" x14ac:dyDescent="0.35">
      <c r="A1869" s="19"/>
      <c r="B1869" s="19" t="s">
        <v>22</v>
      </c>
      <c r="C1869" s="37">
        <v>45899</v>
      </c>
      <c r="D1869" s="31" t="s">
        <v>857</v>
      </c>
      <c r="E1869" s="31" t="s">
        <v>105</v>
      </c>
      <c r="F1869" s="31" t="s">
        <v>160</v>
      </c>
      <c r="H1869" s="38">
        <v>0</v>
      </c>
    </row>
    <row r="1870" spans="1:8" x14ac:dyDescent="0.35">
      <c r="A1870" s="19"/>
      <c r="B1870" s="19" t="s">
        <v>22</v>
      </c>
      <c r="C1870" s="37">
        <v>45899</v>
      </c>
      <c r="D1870" s="31" t="s">
        <v>858</v>
      </c>
      <c r="E1870" s="31" t="s">
        <v>105</v>
      </c>
      <c r="F1870" s="31" t="s">
        <v>160</v>
      </c>
      <c r="H1870" s="38">
        <v>0</v>
      </c>
    </row>
    <row r="1871" spans="1:8" x14ac:dyDescent="0.35">
      <c r="A1871" s="19"/>
      <c r="B1871" s="19" t="s">
        <v>22</v>
      </c>
      <c r="C1871" s="37">
        <v>45899</v>
      </c>
      <c r="D1871" s="31" t="s">
        <v>859</v>
      </c>
      <c r="E1871" s="31" t="s">
        <v>570</v>
      </c>
      <c r="F1871" s="31" t="s">
        <v>160</v>
      </c>
      <c r="H1871" s="38">
        <v>0</v>
      </c>
    </row>
    <row r="1872" spans="1:8" x14ac:dyDescent="0.35">
      <c r="A1872" s="19"/>
      <c r="B1872" s="19" t="s">
        <v>22</v>
      </c>
      <c r="C1872" s="37">
        <v>45899</v>
      </c>
      <c r="D1872" s="31" t="s">
        <v>860</v>
      </c>
      <c r="E1872" s="31" t="s">
        <v>107</v>
      </c>
      <c r="F1872" s="31" t="s">
        <v>160</v>
      </c>
      <c r="H1872" s="38">
        <v>0</v>
      </c>
    </row>
    <row r="1873" spans="1:8" x14ac:dyDescent="0.35">
      <c r="A1873" s="19"/>
      <c r="B1873" s="19" t="s">
        <v>22</v>
      </c>
      <c r="C1873" s="37">
        <v>45899</v>
      </c>
      <c r="D1873" s="31" t="s">
        <v>861</v>
      </c>
      <c r="E1873" s="31" t="s">
        <v>107</v>
      </c>
      <c r="F1873" s="31" t="s">
        <v>160</v>
      </c>
      <c r="H1873" s="38">
        <v>0</v>
      </c>
    </row>
    <row r="1874" spans="1:8" x14ac:dyDescent="0.35">
      <c r="A1874" s="19"/>
      <c r="B1874" s="19" t="s">
        <v>22</v>
      </c>
      <c r="C1874" s="37">
        <v>45899</v>
      </c>
      <c r="D1874" s="31" t="s">
        <v>862</v>
      </c>
      <c r="E1874" s="31" t="s">
        <v>107</v>
      </c>
      <c r="F1874" s="31" t="s">
        <v>160</v>
      </c>
      <c r="H1874" s="38">
        <v>0</v>
      </c>
    </row>
    <row r="1875" spans="1:8" x14ac:dyDescent="0.35">
      <c r="A1875" s="19"/>
      <c r="B1875" s="19" t="s">
        <v>22</v>
      </c>
      <c r="C1875" s="37">
        <v>45899</v>
      </c>
      <c r="D1875" s="31" t="s">
        <v>863</v>
      </c>
      <c r="E1875" s="31" t="s">
        <v>137</v>
      </c>
      <c r="F1875" s="31" t="s">
        <v>160</v>
      </c>
      <c r="H1875" s="38">
        <v>32435.98</v>
      </c>
    </row>
    <row r="1876" spans="1:8" x14ac:dyDescent="0.35">
      <c r="A1876" s="19"/>
      <c r="B1876" s="19" t="s">
        <v>22</v>
      </c>
      <c r="C1876" s="37">
        <v>45899</v>
      </c>
      <c r="D1876" s="31" t="s">
        <v>864</v>
      </c>
      <c r="E1876" s="31" t="s">
        <v>137</v>
      </c>
      <c r="F1876" s="31" t="s">
        <v>160</v>
      </c>
      <c r="H1876" s="38">
        <v>0</v>
      </c>
    </row>
    <row r="1877" spans="1:8" x14ac:dyDescent="0.35">
      <c r="A1877" s="19"/>
      <c r="B1877" s="19" t="s">
        <v>22</v>
      </c>
      <c r="C1877" s="37">
        <v>45899</v>
      </c>
      <c r="D1877" s="31" t="s">
        <v>865</v>
      </c>
      <c r="E1877" s="31" t="s">
        <v>137</v>
      </c>
      <c r="F1877" s="31" t="s">
        <v>160</v>
      </c>
      <c r="H1877" s="38">
        <v>0</v>
      </c>
    </row>
    <row r="1878" spans="1:8" x14ac:dyDescent="0.35">
      <c r="A1878" s="19"/>
      <c r="B1878" s="19" t="s">
        <v>22</v>
      </c>
      <c r="C1878" s="37">
        <v>45899</v>
      </c>
      <c r="D1878" s="31" t="s">
        <v>866</v>
      </c>
      <c r="E1878" s="31" t="s">
        <v>137</v>
      </c>
      <c r="F1878" s="31" t="s">
        <v>160</v>
      </c>
      <c r="H1878" s="38">
        <v>0</v>
      </c>
    </row>
    <row r="1879" spans="1:8" x14ac:dyDescent="0.35">
      <c r="A1879" s="19"/>
      <c r="B1879" s="19" t="s">
        <v>22</v>
      </c>
      <c r="C1879" s="37">
        <v>45899</v>
      </c>
      <c r="D1879" s="31" t="s">
        <v>867</v>
      </c>
      <c r="E1879" s="31" t="s">
        <v>477</v>
      </c>
      <c r="F1879" s="31" t="s">
        <v>160</v>
      </c>
      <c r="H1879" s="38">
        <v>0</v>
      </c>
    </row>
    <row r="1880" spans="1:8" x14ac:dyDescent="0.35">
      <c r="A1880" s="19"/>
      <c r="B1880" s="19" t="s">
        <v>22</v>
      </c>
      <c r="C1880" s="37">
        <v>45899</v>
      </c>
      <c r="D1880" s="31" t="s">
        <v>868</v>
      </c>
      <c r="E1880" s="31" t="s">
        <v>148</v>
      </c>
      <c r="F1880" s="31" t="s">
        <v>160</v>
      </c>
      <c r="H1880" s="38">
        <v>0</v>
      </c>
    </row>
    <row r="1881" spans="1:8" x14ac:dyDescent="0.35">
      <c r="A1881" s="19"/>
      <c r="B1881" s="19" t="s">
        <v>22</v>
      </c>
      <c r="C1881" s="37">
        <v>45899</v>
      </c>
      <c r="D1881" s="31" t="s">
        <v>869</v>
      </c>
      <c r="E1881" s="31" t="s">
        <v>66</v>
      </c>
      <c r="F1881" s="31" t="s">
        <v>160</v>
      </c>
      <c r="H1881" s="38">
        <v>0</v>
      </c>
    </row>
    <row r="1882" spans="1:8" x14ac:dyDescent="0.35">
      <c r="A1882" s="19"/>
      <c r="B1882" s="19" t="s">
        <v>22</v>
      </c>
      <c r="C1882" s="37">
        <v>45899</v>
      </c>
      <c r="D1882" s="31" t="s">
        <v>870</v>
      </c>
      <c r="E1882" s="31" t="s">
        <v>66</v>
      </c>
      <c r="F1882" s="31" t="s">
        <v>160</v>
      </c>
      <c r="H1882" s="38">
        <v>0</v>
      </c>
    </row>
    <row r="1883" spans="1:8" x14ac:dyDescent="0.35">
      <c r="A1883" s="19"/>
      <c r="B1883" s="19" t="s">
        <v>22</v>
      </c>
      <c r="C1883" s="37">
        <v>45899</v>
      </c>
      <c r="D1883" s="31" t="s">
        <v>871</v>
      </c>
      <c r="E1883" s="31" t="s">
        <v>872</v>
      </c>
      <c r="F1883" s="31" t="s">
        <v>160</v>
      </c>
      <c r="H1883" s="38">
        <v>0</v>
      </c>
    </row>
    <row r="1884" spans="1:8" x14ac:dyDescent="0.35">
      <c r="A1884" s="19"/>
      <c r="B1884" s="19" t="s">
        <v>22</v>
      </c>
      <c r="C1884" s="37">
        <v>45899</v>
      </c>
      <c r="D1884" s="31" t="s">
        <v>873</v>
      </c>
      <c r="E1884" s="31" t="s">
        <v>872</v>
      </c>
      <c r="F1884" s="31" t="s">
        <v>160</v>
      </c>
      <c r="H1884" s="38">
        <v>0</v>
      </c>
    </row>
    <row r="1885" spans="1:8" x14ac:dyDescent="0.35">
      <c r="A1885" s="19"/>
      <c r="B1885" s="19" t="s">
        <v>22</v>
      </c>
      <c r="C1885" s="37">
        <v>45899</v>
      </c>
      <c r="D1885" s="31" t="s">
        <v>874</v>
      </c>
      <c r="E1885" s="31" t="s">
        <v>872</v>
      </c>
      <c r="F1885" s="31" t="s">
        <v>160</v>
      </c>
      <c r="H1885" s="38">
        <v>0</v>
      </c>
    </row>
    <row r="1886" spans="1:8" x14ac:dyDescent="0.35">
      <c r="A1886" s="19"/>
      <c r="B1886" s="19" t="s">
        <v>22</v>
      </c>
      <c r="C1886" s="37">
        <v>45899</v>
      </c>
      <c r="D1886" s="31" t="s">
        <v>875</v>
      </c>
      <c r="E1886" s="31" t="s">
        <v>872</v>
      </c>
      <c r="F1886" s="31" t="s">
        <v>160</v>
      </c>
      <c r="H1886" s="38">
        <v>0</v>
      </c>
    </row>
    <row r="1887" spans="1:8" x14ac:dyDescent="0.35">
      <c r="A1887" s="19"/>
      <c r="B1887" s="19" t="s">
        <v>22</v>
      </c>
      <c r="C1887" s="37">
        <v>45899</v>
      </c>
      <c r="D1887" s="31" t="s">
        <v>876</v>
      </c>
      <c r="E1887" s="31" t="s">
        <v>872</v>
      </c>
      <c r="F1887" s="31" t="s">
        <v>160</v>
      </c>
      <c r="H1887" s="38">
        <v>0</v>
      </c>
    </row>
    <row r="1888" spans="1:8" x14ac:dyDescent="0.35">
      <c r="A1888" s="19"/>
      <c r="B1888" s="19" t="s">
        <v>22</v>
      </c>
      <c r="C1888" s="37">
        <v>45899</v>
      </c>
      <c r="D1888" s="31" t="s">
        <v>877</v>
      </c>
      <c r="E1888" s="31" t="s">
        <v>872</v>
      </c>
      <c r="F1888" s="31" t="s">
        <v>160</v>
      </c>
      <c r="H1888" s="38">
        <v>0</v>
      </c>
    </row>
    <row r="1889" spans="1:8" x14ac:dyDescent="0.35">
      <c r="A1889" s="19"/>
      <c r="B1889" s="19" t="s">
        <v>22</v>
      </c>
      <c r="C1889" s="37">
        <v>45899</v>
      </c>
      <c r="D1889" s="31" t="s">
        <v>878</v>
      </c>
      <c r="E1889" s="31" t="s">
        <v>879</v>
      </c>
      <c r="F1889" s="31" t="s">
        <v>160</v>
      </c>
      <c r="H1889" s="38">
        <v>0</v>
      </c>
    </row>
    <row r="1890" spans="1:8" x14ac:dyDescent="0.35">
      <c r="A1890" s="19"/>
      <c r="B1890" s="19" t="s">
        <v>22</v>
      </c>
      <c r="C1890" s="37">
        <v>45899</v>
      </c>
      <c r="D1890" s="31" t="s">
        <v>880</v>
      </c>
      <c r="E1890" s="31" t="s">
        <v>115</v>
      </c>
      <c r="F1890" s="31" t="s">
        <v>160</v>
      </c>
      <c r="H1890" s="38">
        <v>0</v>
      </c>
    </row>
    <row r="1891" spans="1:8" x14ac:dyDescent="0.35">
      <c r="A1891" s="19"/>
      <c r="B1891" s="19" t="s">
        <v>22</v>
      </c>
      <c r="C1891" s="37">
        <v>45899</v>
      </c>
      <c r="D1891" s="31" t="s">
        <v>881</v>
      </c>
      <c r="E1891" s="31" t="s">
        <v>137</v>
      </c>
      <c r="F1891" s="31" t="s">
        <v>160</v>
      </c>
      <c r="H1891" s="38">
        <v>0</v>
      </c>
    </row>
    <row r="1892" spans="1:8" x14ac:dyDescent="0.35">
      <c r="A1892" s="19"/>
      <c r="B1892" s="19" t="s">
        <v>22</v>
      </c>
      <c r="C1892" s="37">
        <v>45899</v>
      </c>
      <c r="D1892" s="31" t="s">
        <v>882</v>
      </c>
      <c r="E1892" s="31" t="s">
        <v>883</v>
      </c>
      <c r="F1892" s="31" t="s">
        <v>160</v>
      </c>
      <c r="H1892" s="38">
        <v>0</v>
      </c>
    </row>
    <row r="1893" spans="1:8" x14ac:dyDescent="0.35">
      <c r="A1893" s="19"/>
      <c r="B1893" s="19" t="s">
        <v>22</v>
      </c>
      <c r="C1893" s="37">
        <v>45899</v>
      </c>
      <c r="D1893" s="31" t="s">
        <v>884</v>
      </c>
      <c r="E1893" s="31" t="s">
        <v>807</v>
      </c>
      <c r="F1893" s="31" t="s">
        <v>160</v>
      </c>
      <c r="H1893" s="38">
        <v>0</v>
      </c>
    </row>
    <row r="1894" spans="1:8" x14ac:dyDescent="0.35">
      <c r="A1894" s="19"/>
      <c r="B1894" s="19" t="s">
        <v>22</v>
      </c>
      <c r="C1894" s="37">
        <v>45899</v>
      </c>
      <c r="D1894" s="31">
        <v>38546</v>
      </c>
      <c r="E1894" s="31" t="s">
        <v>86</v>
      </c>
      <c r="F1894" s="31" t="s">
        <v>160</v>
      </c>
      <c r="H1894" s="38">
        <v>42122.14</v>
      </c>
    </row>
    <row r="1895" spans="1:8" x14ac:dyDescent="0.35">
      <c r="A1895" s="19"/>
      <c r="B1895" s="19" t="s">
        <v>22</v>
      </c>
      <c r="C1895" s="37">
        <v>45899</v>
      </c>
      <c r="D1895" s="31" t="s">
        <v>885</v>
      </c>
      <c r="E1895" s="31" t="s">
        <v>886</v>
      </c>
      <c r="F1895" s="31" t="s">
        <v>160</v>
      </c>
      <c r="H1895" s="38">
        <v>0</v>
      </c>
    </row>
    <row r="1896" spans="1:8" x14ac:dyDescent="0.35">
      <c r="A1896" s="19"/>
      <c r="B1896" s="19" t="s">
        <v>22</v>
      </c>
      <c r="C1896" s="37">
        <v>45899</v>
      </c>
      <c r="D1896" s="31" t="s">
        <v>887</v>
      </c>
      <c r="E1896" s="31" t="s">
        <v>178</v>
      </c>
      <c r="F1896" s="31" t="s">
        <v>160</v>
      </c>
      <c r="H1896" s="38">
        <v>0</v>
      </c>
    </row>
    <row r="1897" spans="1:8" x14ac:dyDescent="0.35">
      <c r="A1897" s="19"/>
      <c r="B1897" s="19" t="s">
        <v>22</v>
      </c>
      <c r="C1897" s="37">
        <v>45899</v>
      </c>
      <c r="D1897" s="31" t="s">
        <v>888</v>
      </c>
      <c r="E1897" s="31" t="s">
        <v>178</v>
      </c>
      <c r="F1897" s="31" t="s">
        <v>160</v>
      </c>
      <c r="H1897" s="38">
        <v>0</v>
      </c>
    </row>
    <row r="1898" spans="1:8" x14ac:dyDescent="0.35">
      <c r="A1898" s="19"/>
      <c r="B1898" s="19" t="s">
        <v>22</v>
      </c>
      <c r="C1898" s="37">
        <v>45899</v>
      </c>
      <c r="D1898" s="31" t="s">
        <v>889</v>
      </c>
      <c r="E1898" s="31" t="s">
        <v>178</v>
      </c>
      <c r="F1898" s="31" t="s">
        <v>160</v>
      </c>
      <c r="H1898" s="38">
        <v>0</v>
      </c>
    </row>
    <row r="1899" spans="1:8" x14ac:dyDescent="0.35">
      <c r="A1899" s="19"/>
      <c r="B1899" s="19" t="s">
        <v>22</v>
      </c>
      <c r="C1899" s="37">
        <v>45899</v>
      </c>
      <c r="D1899" s="31" t="s">
        <v>890</v>
      </c>
      <c r="E1899" s="31" t="s">
        <v>178</v>
      </c>
      <c r="F1899" s="31" t="s">
        <v>160</v>
      </c>
      <c r="H1899" s="38">
        <v>0</v>
      </c>
    </row>
    <row r="1900" spans="1:8" x14ac:dyDescent="0.35">
      <c r="A1900" s="19"/>
      <c r="B1900" s="19" t="s">
        <v>22</v>
      </c>
      <c r="C1900" s="37">
        <v>45899</v>
      </c>
      <c r="D1900" s="31" t="s">
        <v>891</v>
      </c>
      <c r="E1900" s="31" t="s">
        <v>178</v>
      </c>
      <c r="F1900" s="31" t="s">
        <v>160</v>
      </c>
      <c r="H1900" s="38">
        <v>0</v>
      </c>
    </row>
    <row r="1901" spans="1:8" x14ac:dyDescent="0.35">
      <c r="A1901" s="19"/>
      <c r="B1901" s="19" t="s">
        <v>22</v>
      </c>
      <c r="C1901" s="37">
        <v>45899</v>
      </c>
      <c r="D1901" s="31" t="s">
        <v>892</v>
      </c>
      <c r="E1901" s="31" t="s">
        <v>701</v>
      </c>
      <c r="F1901" s="31" t="s">
        <v>160</v>
      </c>
      <c r="H1901" s="38">
        <v>0</v>
      </c>
    </row>
    <row r="1902" spans="1:8" x14ac:dyDescent="0.35">
      <c r="A1902" s="19"/>
      <c r="B1902" s="19" t="s">
        <v>22</v>
      </c>
      <c r="C1902" s="37">
        <v>45899</v>
      </c>
      <c r="D1902" s="31" t="s">
        <v>893</v>
      </c>
      <c r="E1902" s="31" t="s">
        <v>701</v>
      </c>
      <c r="F1902" s="31" t="s">
        <v>160</v>
      </c>
      <c r="H1902" s="38">
        <v>0</v>
      </c>
    </row>
    <row r="1903" spans="1:8" x14ac:dyDescent="0.35">
      <c r="A1903" s="19"/>
      <c r="B1903" s="19" t="s">
        <v>22</v>
      </c>
      <c r="C1903" s="37">
        <v>45899</v>
      </c>
      <c r="D1903" s="31" t="s">
        <v>894</v>
      </c>
      <c r="E1903" s="31" t="s">
        <v>412</v>
      </c>
      <c r="F1903" s="31" t="s">
        <v>160</v>
      </c>
      <c r="H1903" s="38">
        <v>0</v>
      </c>
    </row>
    <row r="1904" spans="1:8" x14ac:dyDescent="0.35">
      <c r="A1904" s="19"/>
      <c r="B1904" s="19" t="s">
        <v>22</v>
      </c>
      <c r="C1904" s="37">
        <v>45899</v>
      </c>
      <c r="D1904" s="31" t="s">
        <v>895</v>
      </c>
      <c r="E1904" s="31" t="s">
        <v>896</v>
      </c>
      <c r="F1904" s="31" t="s">
        <v>160</v>
      </c>
      <c r="H1904" s="38">
        <v>0</v>
      </c>
    </row>
    <row r="1905" spans="1:8" x14ac:dyDescent="0.35">
      <c r="A1905" s="19"/>
      <c r="B1905" s="19" t="s">
        <v>22</v>
      </c>
      <c r="C1905" s="37">
        <v>45899</v>
      </c>
      <c r="D1905" s="31" t="s">
        <v>897</v>
      </c>
      <c r="E1905" s="31" t="s">
        <v>896</v>
      </c>
      <c r="F1905" s="31" t="s">
        <v>160</v>
      </c>
      <c r="H1905" s="38">
        <v>0</v>
      </c>
    </row>
    <row r="1906" spans="1:8" x14ac:dyDescent="0.35">
      <c r="A1906" s="19"/>
      <c r="B1906" s="19" t="s">
        <v>22</v>
      </c>
      <c r="C1906" s="37">
        <v>45899</v>
      </c>
      <c r="D1906" s="31" t="s">
        <v>898</v>
      </c>
      <c r="E1906" s="31" t="s">
        <v>137</v>
      </c>
      <c r="F1906" s="31" t="s">
        <v>160</v>
      </c>
      <c r="H1906" s="38">
        <v>0</v>
      </c>
    </row>
    <row r="1907" spans="1:8" x14ac:dyDescent="0.35">
      <c r="A1907" s="19"/>
      <c r="B1907" s="19" t="s">
        <v>22</v>
      </c>
      <c r="C1907" s="37">
        <v>45899</v>
      </c>
      <c r="D1907" s="31" t="s">
        <v>899</v>
      </c>
      <c r="E1907" s="31" t="s">
        <v>137</v>
      </c>
      <c r="F1907" s="31" t="s">
        <v>160</v>
      </c>
      <c r="H1907" s="38">
        <v>0</v>
      </c>
    </row>
    <row r="1908" spans="1:8" x14ac:dyDescent="0.35">
      <c r="A1908" s="19"/>
      <c r="B1908" s="19" t="s">
        <v>22</v>
      </c>
      <c r="C1908" s="37">
        <v>45899</v>
      </c>
      <c r="D1908" s="31" t="s">
        <v>900</v>
      </c>
      <c r="E1908" s="31" t="s">
        <v>137</v>
      </c>
      <c r="F1908" s="31" t="s">
        <v>160</v>
      </c>
      <c r="H1908" s="38">
        <v>0</v>
      </c>
    </row>
    <row r="1909" spans="1:8" x14ac:dyDescent="0.35">
      <c r="A1909" s="19"/>
      <c r="B1909" s="19" t="s">
        <v>22</v>
      </c>
      <c r="C1909" s="37">
        <v>45899</v>
      </c>
      <c r="D1909" s="31" t="s">
        <v>901</v>
      </c>
      <c r="E1909" s="31" t="s">
        <v>137</v>
      </c>
      <c r="F1909" s="31" t="s">
        <v>160</v>
      </c>
      <c r="H1909" s="38">
        <v>0</v>
      </c>
    </row>
    <row r="1910" spans="1:8" x14ac:dyDescent="0.35">
      <c r="A1910" s="19"/>
      <c r="B1910" s="19" t="s">
        <v>22</v>
      </c>
      <c r="C1910" s="37">
        <v>45899</v>
      </c>
      <c r="D1910" s="31" t="s">
        <v>902</v>
      </c>
      <c r="E1910" s="31" t="s">
        <v>903</v>
      </c>
      <c r="F1910" s="31" t="s">
        <v>160</v>
      </c>
      <c r="H1910" s="38">
        <v>0</v>
      </c>
    </row>
    <row r="1911" spans="1:8" x14ac:dyDescent="0.35">
      <c r="A1911" s="19"/>
      <c r="B1911" s="19" t="s">
        <v>22</v>
      </c>
      <c r="C1911" s="37">
        <v>45899</v>
      </c>
      <c r="D1911" s="31" t="s">
        <v>904</v>
      </c>
      <c r="E1911" s="31" t="s">
        <v>64</v>
      </c>
      <c r="F1911" s="31" t="s">
        <v>160</v>
      </c>
      <c r="H1911" s="38">
        <v>185760.69000000006</v>
      </c>
    </row>
    <row r="1912" spans="1:8" x14ac:dyDescent="0.35">
      <c r="A1912" s="19"/>
      <c r="B1912" s="19" t="s">
        <v>22</v>
      </c>
      <c r="C1912" s="37">
        <v>45899</v>
      </c>
      <c r="D1912" s="31">
        <v>38651</v>
      </c>
      <c r="E1912" s="31" t="s">
        <v>586</v>
      </c>
      <c r="F1912" s="31" t="s">
        <v>160</v>
      </c>
      <c r="H1912" s="38">
        <v>6400</v>
      </c>
    </row>
    <row r="1913" spans="1:8" x14ac:dyDescent="0.35">
      <c r="A1913" s="19"/>
      <c r="B1913" s="19" t="s">
        <v>22</v>
      </c>
      <c r="C1913" s="37">
        <v>45899</v>
      </c>
      <c r="D1913" s="31" t="s">
        <v>905</v>
      </c>
      <c r="E1913" s="31" t="s">
        <v>906</v>
      </c>
      <c r="F1913" s="31" t="s">
        <v>160</v>
      </c>
      <c r="H1913" s="38">
        <v>0</v>
      </c>
    </row>
    <row r="1914" spans="1:8" x14ac:dyDescent="0.35">
      <c r="A1914" s="19"/>
      <c r="B1914" s="19" t="s">
        <v>22</v>
      </c>
      <c r="C1914" s="37">
        <v>45899</v>
      </c>
      <c r="D1914" s="31" t="s">
        <v>907</v>
      </c>
      <c r="E1914" s="31" t="s">
        <v>59</v>
      </c>
      <c r="F1914" s="31" t="s">
        <v>160</v>
      </c>
      <c r="H1914" s="38">
        <v>55417.46</v>
      </c>
    </row>
    <row r="1915" spans="1:8" x14ac:dyDescent="0.35">
      <c r="A1915" s="19"/>
      <c r="B1915" s="19" t="s">
        <v>22</v>
      </c>
      <c r="C1915" s="37">
        <v>45899</v>
      </c>
      <c r="D1915" s="31" t="s">
        <v>908</v>
      </c>
      <c r="E1915" s="31" t="s">
        <v>59</v>
      </c>
      <c r="F1915" s="31" t="s">
        <v>160</v>
      </c>
      <c r="H1915" s="38">
        <v>0</v>
      </c>
    </row>
    <row r="1916" spans="1:8" x14ac:dyDescent="0.35">
      <c r="A1916" s="19"/>
      <c r="B1916" s="19" t="s">
        <v>22</v>
      </c>
      <c r="C1916" s="37">
        <v>45899</v>
      </c>
      <c r="D1916" s="31" t="s">
        <v>909</v>
      </c>
      <c r="E1916" s="31" t="s">
        <v>767</v>
      </c>
      <c r="F1916" s="31" t="s">
        <v>160</v>
      </c>
      <c r="H1916" s="38">
        <v>0</v>
      </c>
    </row>
    <row r="1917" spans="1:8" x14ac:dyDescent="0.35">
      <c r="A1917" s="19"/>
      <c r="B1917" s="19" t="s">
        <v>22</v>
      </c>
      <c r="C1917" s="37">
        <v>45899</v>
      </c>
      <c r="D1917" s="31" t="s">
        <v>910</v>
      </c>
      <c r="E1917" s="31" t="s">
        <v>767</v>
      </c>
      <c r="F1917" s="31" t="s">
        <v>160</v>
      </c>
      <c r="H1917" s="38">
        <v>0</v>
      </c>
    </row>
    <row r="1918" spans="1:8" x14ac:dyDescent="0.35">
      <c r="A1918" s="19"/>
      <c r="B1918" s="19" t="s">
        <v>22</v>
      </c>
      <c r="C1918" s="37">
        <v>45899</v>
      </c>
      <c r="D1918" s="31" t="s">
        <v>911</v>
      </c>
      <c r="E1918" s="31" t="s">
        <v>66</v>
      </c>
      <c r="F1918" s="31" t="s">
        <v>160</v>
      </c>
      <c r="H1918" s="38">
        <v>0</v>
      </c>
    </row>
    <row r="1919" spans="1:8" x14ac:dyDescent="0.35">
      <c r="A1919" s="19"/>
      <c r="B1919" s="19" t="s">
        <v>22</v>
      </c>
      <c r="C1919" s="37">
        <v>45899</v>
      </c>
      <c r="D1919" s="31" t="s">
        <v>912</v>
      </c>
      <c r="E1919" s="31" t="s">
        <v>107</v>
      </c>
      <c r="F1919" s="31" t="s">
        <v>160</v>
      </c>
      <c r="H1919" s="38">
        <v>0</v>
      </c>
    </row>
    <row r="1920" spans="1:8" x14ac:dyDescent="0.35">
      <c r="A1920" s="19"/>
      <c r="B1920" s="19" t="s">
        <v>22</v>
      </c>
      <c r="C1920" s="37">
        <v>45899</v>
      </c>
      <c r="D1920" s="31" t="s">
        <v>913</v>
      </c>
      <c r="E1920" s="31" t="s">
        <v>137</v>
      </c>
      <c r="F1920" s="31" t="s">
        <v>160</v>
      </c>
      <c r="H1920" s="38">
        <v>0</v>
      </c>
    </row>
    <row r="1921" spans="1:8" x14ac:dyDescent="0.35">
      <c r="A1921" s="19"/>
      <c r="B1921" s="19" t="s">
        <v>22</v>
      </c>
      <c r="C1921" s="37">
        <v>45899</v>
      </c>
      <c r="D1921" s="31" t="s">
        <v>914</v>
      </c>
      <c r="E1921" s="31" t="s">
        <v>915</v>
      </c>
      <c r="F1921" s="31" t="s">
        <v>160</v>
      </c>
      <c r="H1921" s="38">
        <v>0</v>
      </c>
    </row>
    <row r="1922" spans="1:8" x14ac:dyDescent="0.35">
      <c r="A1922" s="19"/>
      <c r="B1922" s="19" t="s">
        <v>22</v>
      </c>
      <c r="C1922" s="37">
        <v>45899</v>
      </c>
      <c r="D1922" s="31" t="s">
        <v>916</v>
      </c>
      <c r="E1922" s="31" t="s">
        <v>886</v>
      </c>
      <c r="F1922" s="31" t="s">
        <v>160</v>
      </c>
      <c r="H1922" s="38">
        <v>0</v>
      </c>
    </row>
    <row r="1923" spans="1:8" x14ac:dyDescent="0.35">
      <c r="A1923" s="19"/>
      <c r="B1923" s="19" t="s">
        <v>22</v>
      </c>
      <c r="C1923" s="37">
        <v>45899</v>
      </c>
      <c r="D1923" s="31">
        <v>38791</v>
      </c>
      <c r="E1923" s="31" t="s">
        <v>917</v>
      </c>
      <c r="F1923" s="31" t="s">
        <v>160</v>
      </c>
      <c r="H1923" s="38">
        <v>3128.97</v>
      </c>
    </row>
    <row r="1924" spans="1:8" x14ac:dyDescent="0.35">
      <c r="A1924" s="19"/>
      <c r="B1924" s="19" t="s">
        <v>22</v>
      </c>
      <c r="C1924" s="37">
        <v>45899</v>
      </c>
      <c r="D1924" s="31">
        <v>38806</v>
      </c>
      <c r="E1924" s="31" t="s">
        <v>918</v>
      </c>
      <c r="F1924" s="31" t="s">
        <v>160</v>
      </c>
      <c r="H1924" s="38">
        <v>90040</v>
      </c>
    </row>
    <row r="1925" spans="1:8" x14ac:dyDescent="0.35">
      <c r="A1925" s="19"/>
      <c r="B1925" s="19" t="s">
        <v>22</v>
      </c>
      <c r="C1925" s="37">
        <v>45899</v>
      </c>
      <c r="D1925" s="31">
        <v>38817</v>
      </c>
      <c r="E1925" s="31" t="s">
        <v>919</v>
      </c>
      <c r="F1925" s="31" t="s">
        <v>160</v>
      </c>
      <c r="H1925" s="38">
        <v>3338.15</v>
      </c>
    </row>
    <row r="1926" spans="1:8" x14ac:dyDescent="0.35">
      <c r="A1926" s="19"/>
      <c r="B1926" s="19" t="s">
        <v>22</v>
      </c>
      <c r="C1926" s="37">
        <v>45899</v>
      </c>
      <c r="D1926" s="31">
        <v>38834</v>
      </c>
      <c r="E1926" s="31" t="s">
        <v>920</v>
      </c>
      <c r="F1926" s="31" t="s">
        <v>160</v>
      </c>
      <c r="H1926" s="38">
        <v>29900</v>
      </c>
    </row>
    <row r="1927" spans="1:8" x14ac:dyDescent="0.35">
      <c r="A1927" s="19"/>
      <c r="B1927" s="19" t="s">
        <v>22</v>
      </c>
      <c r="C1927" s="37">
        <v>45899</v>
      </c>
      <c r="D1927" s="31">
        <v>38839</v>
      </c>
      <c r="E1927" s="31" t="s">
        <v>921</v>
      </c>
      <c r="F1927" s="31" t="s">
        <v>160</v>
      </c>
      <c r="H1927" s="38">
        <v>1498.38</v>
      </c>
    </row>
    <row r="1928" spans="1:8" x14ac:dyDescent="0.35">
      <c r="A1928" s="19"/>
      <c r="B1928" s="19" t="s">
        <v>22</v>
      </c>
      <c r="C1928" s="37">
        <v>45899</v>
      </c>
      <c r="D1928" s="31">
        <v>38846</v>
      </c>
      <c r="E1928" s="31" t="s">
        <v>922</v>
      </c>
      <c r="F1928" s="31" t="s">
        <v>160</v>
      </c>
      <c r="H1928" s="38">
        <v>5544.58</v>
      </c>
    </row>
    <row r="1929" spans="1:8" x14ac:dyDescent="0.35">
      <c r="A1929" s="19"/>
      <c r="B1929" s="19" t="s">
        <v>22</v>
      </c>
      <c r="C1929" s="37">
        <v>45899</v>
      </c>
      <c r="D1929" s="31">
        <v>38850</v>
      </c>
      <c r="E1929" s="31" t="s">
        <v>238</v>
      </c>
      <c r="F1929" s="31" t="s">
        <v>160</v>
      </c>
      <c r="H1929" s="38">
        <v>30081.78</v>
      </c>
    </row>
    <row r="1930" spans="1:8" x14ac:dyDescent="0.35">
      <c r="A1930" s="19"/>
      <c r="B1930" s="19" t="s">
        <v>22</v>
      </c>
      <c r="C1930" s="37">
        <v>45899</v>
      </c>
      <c r="D1930" s="31">
        <v>38874</v>
      </c>
      <c r="E1930" s="31" t="s">
        <v>923</v>
      </c>
      <c r="F1930" s="31" t="s">
        <v>160</v>
      </c>
      <c r="H1930" s="38">
        <v>705.25</v>
      </c>
    </row>
    <row r="1931" spans="1:8" x14ac:dyDescent="0.35">
      <c r="A1931" s="19"/>
      <c r="B1931" s="19" t="s">
        <v>22</v>
      </c>
      <c r="C1931" s="37">
        <v>45899</v>
      </c>
      <c r="D1931" s="31">
        <v>38889</v>
      </c>
      <c r="E1931" s="31" t="s">
        <v>107</v>
      </c>
      <c r="F1931" s="31" t="s">
        <v>160</v>
      </c>
      <c r="H1931" s="38">
        <v>2080.0300000000002</v>
      </c>
    </row>
    <row r="1932" spans="1:8" x14ac:dyDescent="0.35">
      <c r="A1932" s="19"/>
      <c r="B1932" s="19" t="s">
        <v>22</v>
      </c>
      <c r="C1932" s="37">
        <v>45899</v>
      </c>
      <c r="D1932" s="31">
        <v>38953</v>
      </c>
      <c r="E1932" s="31" t="s">
        <v>917</v>
      </c>
      <c r="F1932" s="31" t="s">
        <v>160</v>
      </c>
      <c r="H1932" s="38">
        <v>2254.2799999999997</v>
      </c>
    </row>
    <row r="1933" spans="1:8" x14ac:dyDescent="0.35">
      <c r="A1933" s="19"/>
      <c r="B1933" s="19" t="s">
        <v>22</v>
      </c>
      <c r="C1933" s="37">
        <v>45899</v>
      </c>
      <c r="D1933" s="31">
        <v>38954</v>
      </c>
      <c r="E1933" s="31" t="s">
        <v>924</v>
      </c>
      <c r="F1933" s="31" t="s">
        <v>160</v>
      </c>
      <c r="H1933" s="38">
        <v>10400</v>
      </c>
    </row>
    <row r="1934" spans="1:8" x14ac:dyDescent="0.35">
      <c r="A1934" s="19"/>
      <c r="B1934" s="19" t="s">
        <v>22</v>
      </c>
      <c r="C1934" s="37">
        <v>45899</v>
      </c>
      <c r="D1934" s="31">
        <v>38970</v>
      </c>
      <c r="E1934" s="31" t="s">
        <v>925</v>
      </c>
      <c r="F1934" s="31" t="s">
        <v>160</v>
      </c>
      <c r="H1934" s="38">
        <v>127.68</v>
      </c>
    </row>
    <row r="1935" spans="1:8" x14ac:dyDescent="0.35">
      <c r="A1935" s="19"/>
      <c r="B1935" s="19" t="s">
        <v>22</v>
      </c>
      <c r="C1935" s="37">
        <v>45899</v>
      </c>
      <c r="D1935" s="31">
        <v>38981</v>
      </c>
      <c r="E1935" s="31" t="s">
        <v>917</v>
      </c>
      <c r="F1935" s="31" t="s">
        <v>160</v>
      </c>
      <c r="H1935" s="38">
        <v>793.26</v>
      </c>
    </row>
    <row r="1936" spans="1:8" x14ac:dyDescent="0.35">
      <c r="A1936" s="19"/>
      <c r="B1936" s="19" t="s">
        <v>22</v>
      </c>
      <c r="C1936" s="37">
        <v>45899</v>
      </c>
      <c r="D1936" s="31">
        <v>38983</v>
      </c>
      <c r="E1936" s="31" t="s">
        <v>50</v>
      </c>
      <c r="F1936" s="31" t="s">
        <v>160</v>
      </c>
      <c r="H1936" s="38">
        <v>23686.73</v>
      </c>
    </row>
    <row r="1937" spans="1:8" x14ac:dyDescent="0.35">
      <c r="A1937" s="19"/>
      <c r="B1937" s="19" t="s">
        <v>22</v>
      </c>
      <c r="C1937" s="37">
        <v>45899</v>
      </c>
      <c r="D1937" s="31">
        <v>38993</v>
      </c>
      <c r="E1937" s="31" t="s">
        <v>55</v>
      </c>
      <c r="F1937" s="31" t="s">
        <v>160</v>
      </c>
      <c r="H1937" s="38">
        <v>32760</v>
      </c>
    </row>
    <row r="1938" spans="1:8" x14ac:dyDescent="0.35">
      <c r="A1938" s="19"/>
      <c r="B1938" s="19" t="s">
        <v>22</v>
      </c>
      <c r="C1938" s="37">
        <v>45899</v>
      </c>
      <c r="D1938" s="31">
        <v>38996</v>
      </c>
      <c r="E1938" s="31" t="s">
        <v>128</v>
      </c>
      <c r="F1938" s="31" t="s">
        <v>160</v>
      </c>
      <c r="H1938" s="38">
        <v>1777.5</v>
      </c>
    </row>
    <row r="1939" spans="1:8" x14ac:dyDescent="0.35">
      <c r="A1939" s="19"/>
      <c r="B1939" s="19" t="s">
        <v>22</v>
      </c>
      <c r="C1939" s="37">
        <v>45899</v>
      </c>
      <c r="D1939" s="31">
        <v>39002</v>
      </c>
      <c r="E1939" s="31" t="s">
        <v>926</v>
      </c>
      <c r="F1939" s="31" t="s">
        <v>160</v>
      </c>
      <c r="H1939" s="38">
        <v>30800</v>
      </c>
    </row>
    <row r="1940" spans="1:8" x14ac:dyDescent="0.35">
      <c r="A1940" s="19"/>
      <c r="B1940" s="19" t="s">
        <v>22</v>
      </c>
      <c r="C1940" s="37">
        <v>45899</v>
      </c>
      <c r="D1940" s="31">
        <v>39010</v>
      </c>
      <c r="E1940" s="31" t="s">
        <v>927</v>
      </c>
      <c r="F1940" s="31" t="s">
        <v>160</v>
      </c>
      <c r="H1940" s="38">
        <v>709.87</v>
      </c>
    </row>
    <row r="1941" spans="1:8" x14ac:dyDescent="0.35">
      <c r="A1941" s="19"/>
      <c r="B1941" s="19" t="s">
        <v>22</v>
      </c>
      <c r="C1941" s="37">
        <v>45899</v>
      </c>
      <c r="D1941" s="31" t="s">
        <v>928</v>
      </c>
      <c r="E1941" s="31" t="s">
        <v>929</v>
      </c>
      <c r="F1941" s="31" t="s">
        <v>160</v>
      </c>
      <c r="H1941" s="38">
        <v>0</v>
      </c>
    </row>
    <row r="1942" spans="1:8" x14ac:dyDescent="0.35">
      <c r="A1942" s="19"/>
      <c r="B1942" s="19" t="s">
        <v>22</v>
      </c>
      <c r="C1942" s="37">
        <v>45899</v>
      </c>
      <c r="D1942" s="31" t="s">
        <v>930</v>
      </c>
      <c r="E1942" s="31" t="s">
        <v>137</v>
      </c>
      <c r="F1942" s="31" t="s">
        <v>160</v>
      </c>
      <c r="H1942" s="38">
        <v>0</v>
      </c>
    </row>
    <row r="1943" spans="1:8" x14ac:dyDescent="0.35">
      <c r="A1943" s="19"/>
      <c r="B1943" s="19" t="s">
        <v>22</v>
      </c>
      <c r="C1943" s="37">
        <v>45899</v>
      </c>
      <c r="D1943" s="31">
        <v>39090</v>
      </c>
      <c r="E1943" s="31" t="s">
        <v>931</v>
      </c>
      <c r="F1943" s="31" t="s">
        <v>160</v>
      </c>
      <c r="H1943" s="38">
        <v>0</v>
      </c>
    </row>
    <row r="1944" spans="1:8" x14ac:dyDescent="0.35">
      <c r="A1944" s="19"/>
      <c r="B1944" s="19" t="s">
        <v>22</v>
      </c>
      <c r="C1944" s="37">
        <v>45899</v>
      </c>
      <c r="D1944" s="31">
        <v>39123</v>
      </c>
      <c r="E1944" s="31" t="s">
        <v>932</v>
      </c>
      <c r="F1944" s="31" t="s">
        <v>160</v>
      </c>
      <c r="H1944" s="38">
        <v>0</v>
      </c>
    </row>
    <row r="1945" spans="1:8" x14ac:dyDescent="0.35">
      <c r="A1945" s="19"/>
      <c r="B1945" s="19" t="s">
        <v>22</v>
      </c>
      <c r="C1945" s="37">
        <v>45900</v>
      </c>
      <c r="D1945" s="31" t="s">
        <v>933</v>
      </c>
      <c r="E1945" s="31" t="s">
        <v>53</v>
      </c>
      <c r="F1945" s="31" t="s">
        <v>160</v>
      </c>
      <c r="H1945" s="38">
        <v>0</v>
      </c>
    </row>
    <row r="1946" spans="1:8" x14ac:dyDescent="0.35">
      <c r="A1946" s="19"/>
      <c r="B1946" s="19" t="s">
        <v>22</v>
      </c>
      <c r="C1946" s="37">
        <v>45900</v>
      </c>
      <c r="D1946" s="31" t="s">
        <v>934</v>
      </c>
      <c r="E1946" s="31" t="s">
        <v>935</v>
      </c>
      <c r="F1946" s="31" t="s">
        <v>160</v>
      </c>
      <c r="H1946" s="38">
        <v>0</v>
      </c>
    </row>
    <row r="1947" spans="1:8" x14ac:dyDescent="0.35">
      <c r="A1947" s="19"/>
      <c r="B1947" s="19" t="s">
        <v>22</v>
      </c>
      <c r="C1947" s="37">
        <v>45900</v>
      </c>
      <c r="D1947" s="31" t="s">
        <v>936</v>
      </c>
      <c r="E1947" s="31" t="s">
        <v>246</v>
      </c>
      <c r="F1947" s="31" t="s">
        <v>160</v>
      </c>
      <c r="H1947" s="38">
        <v>1421.79</v>
      </c>
    </row>
    <row r="1948" spans="1:8" x14ac:dyDescent="0.35">
      <c r="A1948" s="19"/>
      <c r="B1948" s="19" t="s">
        <v>22</v>
      </c>
      <c r="C1948" s="37">
        <v>45900</v>
      </c>
      <c r="D1948" s="31" t="s">
        <v>937</v>
      </c>
      <c r="E1948" s="31" t="s">
        <v>253</v>
      </c>
      <c r="F1948" s="31" t="s">
        <v>160</v>
      </c>
      <c r="H1948" s="38">
        <v>92649.31</v>
      </c>
    </row>
    <row r="1949" spans="1:8" x14ac:dyDescent="0.35">
      <c r="A1949" s="19"/>
      <c r="B1949" s="19" t="s">
        <v>22</v>
      </c>
      <c r="C1949" s="37">
        <v>45900</v>
      </c>
      <c r="D1949" s="31" t="s">
        <v>938</v>
      </c>
      <c r="E1949" s="31" t="s">
        <v>253</v>
      </c>
      <c r="F1949" s="31" t="s">
        <v>160</v>
      </c>
      <c r="H1949" s="38">
        <v>77496.3</v>
      </c>
    </row>
    <row r="1950" spans="1:8" x14ac:dyDescent="0.35">
      <c r="A1950" s="19"/>
      <c r="B1950" s="19" t="s">
        <v>22</v>
      </c>
      <c r="C1950" s="37">
        <v>45900</v>
      </c>
      <c r="D1950" s="31" t="s">
        <v>939</v>
      </c>
      <c r="E1950" s="31" t="s">
        <v>253</v>
      </c>
      <c r="F1950" s="31" t="s">
        <v>160</v>
      </c>
      <c r="H1950" s="38">
        <v>158263.4</v>
      </c>
    </row>
    <row r="1951" spans="1:8" x14ac:dyDescent="0.35">
      <c r="A1951" s="19"/>
      <c r="B1951" s="19" t="s">
        <v>22</v>
      </c>
      <c r="C1951" s="37">
        <v>45900</v>
      </c>
      <c r="D1951" s="31" t="s">
        <v>940</v>
      </c>
      <c r="E1951" s="31" t="s">
        <v>253</v>
      </c>
      <c r="F1951" s="31" t="s">
        <v>160</v>
      </c>
      <c r="H1951" s="38">
        <v>24326.89</v>
      </c>
    </row>
    <row r="1952" spans="1:8" x14ac:dyDescent="0.35">
      <c r="A1952" s="19"/>
      <c r="B1952" s="19" t="s">
        <v>22</v>
      </c>
      <c r="C1952" s="37">
        <v>45900</v>
      </c>
      <c r="D1952" s="31" t="s">
        <v>941</v>
      </c>
      <c r="E1952" s="31" t="s">
        <v>50</v>
      </c>
      <c r="F1952" s="31" t="s">
        <v>160</v>
      </c>
      <c r="H1952" s="38">
        <v>0</v>
      </c>
    </row>
    <row r="1953" spans="1:8" x14ac:dyDescent="0.35">
      <c r="A1953" s="19"/>
      <c r="B1953" s="19" t="s">
        <v>22</v>
      </c>
      <c r="C1953" s="37">
        <v>45900</v>
      </c>
      <c r="D1953" s="31">
        <v>32212</v>
      </c>
      <c r="E1953" s="31" t="s">
        <v>253</v>
      </c>
      <c r="F1953" s="31" t="s">
        <v>160</v>
      </c>
      <c r="H1953" s="38">
        <v>0</v>
      </c>
    </row>
    <row r="1954" spans="1:8" x14ac:dyDescent="0.35">
      <c r="A1954" s="19"/>
      <c r="B1954" s="19" t="s">
        <v>22</v>
      </c>
      <c r="C1954" s="37">
        <v>45900</v>
      </c>
      <c r="D1954" s="31" t="s">
        <v>942</v>
      </c>
      <c r="E1954" s="31" t="s">
        <v>253</v>
      </c>
      <c r="F1954" s="31" t="s">
        <v>160</v>
      </c>
      <c r="H1954" s="38">
        <v>2127.5100000000002</v>
      </c>
    </row>
    <row r="1955" spans="1:8" x14ac:dyDescent="0.35">
      <c r="A1955" s="19"/>
      <c r="B1955" s="19" t="s">
        <v>22</v>
      </c>
      <c r="C1955" s="37">
        <v>45900</v>
      </c>
      <c r="D1955" s="31" t="s">
        <v>943</v>
      </c>
      <c r="E1955" s="31" t="s">
        <v>253</v>
      </c>
      <c r="F1955" s="31" t="s">
        <v>160</v>
      </c>
      <c r="H1955" s="38">
        <v>32809.47</v>
      </c>
    </row>
    <row r="1956" spans="1:8" x14ac:dyDescent="0.35">
      <c r="A1956" s="19"/>
      <c r="B1956" s="19" t="s">
        <v>22</v>
      </c>
      <c r="C1956" s="37">
        <v>45900</v>
      </c>
      <c r="D1956" s="31" t="s">
        <v>944</v>
      </c>
      <c r="E1956" s="31" t="s">
        <v>50</v>
      </c>
      <c r="F1956" s="31" t="s">
        <v>160</v>
      </c>
      <c r="H1956" s="38">
        <v>0</v>
      </c>
    </row>
    <row r="1957" spans="1:8" x14ac:dyDescent="0.35">
      <c r="A1957" s="19"/>
      <c r="B1957" s="19" t="s">
        <v>22</v>
      </c>
      <c r="C1957" s="37">
        <v>45900</v>
      </c>
      <c r="D1957" s="31" t="s">
        <v>945</v>
      </c>
      <c r="E1957" s="31" t="s">
        <v>50</v>
      </c>
      <c r="F1957" s="31" t="s">
        <v>160</v>
      </c>
      <c r="H1957" s="38">
        <v>0</v>
      </c>
    </row>
    <row r="1958" spans="1:8" x14ac:dyDescent="0.35">
      <c r="A1958" s="19"/>
      <c r="B1958" s="19" t="s">
        <v>22</v>
      </c>
      <c r="C1958" s="37">
        <v>45900</v>
      </c>
      <c r="D1958" s="31" t="s">
        <v>946</v>
      </c>
      <c r="E1958" s="31" t="s">
        <v>263</v>
      </c>
      <c r="F1958" s="31" t="s">
        <v>160</v>
      </c>
      <c r="H1958" s="38">
        <v>0</v>
      </c>
    </row>
    <row r="1959" spans="1:8" x14ac:dyDescent="0.35">
      <c r="A1959" s="19"/>
      <c r="B1959" s="19" t="s">
        <v>22</v>
      </c>
      <c r="C1959" s="37">
        <v>45900</v>
      </c>
      <c r="D1959" s="31" t="s">
        <v>947</v>
      </c>
      <c r="E1959" s="31" t="s">
        <v>50</v>
      </c>
      <c r="F1959" s="31" t="s">
        <v>160</v>
      </c>
      <c r="H1959" s="38">
        <v>0</v>
      </c>
    </row>
    <row r="1960" spans="1:8" x14ac:dyDescent="0.35">
      <c r="A1960" s="19"/>
      <c r="B1960" s="19" t="s">
        <v>22</v>
      </c>
      <c r="C1960" s="37">
        <v>45900</v>
      </c>
      <c r="D1960" s="31" t="s">
        <v>948</v>
      </c>
      <c r="E1960" s="31" t="s">
        <v>29</v>
      </c>
      <c r="F1960" s="31" t="s">
        <v>160</v>
      </c>
      <c r="H1960" s="38">
        <v>3259.34</v>
      </c>
    </row>
    <row r="1961" spans="1:8" x14ac:dyDescent="0.35">
      <c r="A1961" s="19"/>
      <c r="B1961" s="19" t="s">
        <v>22</v>
      </c>
      <c r="C1961" s="37">
        <v>45900</v>
      </c>
      <c r="D1961" s="31" t="s">
        <v>949</v>
      </c>
      <c r="E1961" s="31" t="s">
        <v>29</v>
      </c>
      <c r="F1961" s="31" t="s">
        <v>160</v>
      </c>
      <c r="H1961" s="38">
        <v>2593.4</v>
      </c>
    </row>
    <row r="1962" spans="1:8" x14ac:dyDescent="0.35">
      <c r="A1962" s="19"/>
      <c r="B1962" s="19" t="s">
        <v>22</v>
      </c>
      <c r="C1962" s="37">
        <v>45900</v>
      </c>
      <c r="D1962" s="31" t="s">
        <v>950</v>
      </c>
      <c r="E1962" s="31" t="s">
        <v>29</v>
      </c>
      <c r="F1962" s="31" t="s">
        <v>160</v>
      </c>
      <c r="H1962" s="38">
        <v>9081.1</v>
      </c>
    </row>
    <row r="1963" spans="1:8" x14ac:dyDescent="0.35">
      <c r="A1963" s="19"/>
      <c r="B1963" s="19" t="s">
        <v>22</v>
      </c>
      <c r="C1963" s="37">
        <v>45900</v>
      </c>
      <c r="D1963" s="31" t="s">
        <v>951</v>
      </c>
      <c r="E1963" s="31" t="s">
        <v>29</v>
      </c>
      <c r="F1963" s="31" t="s">
        <v>160</v>
      </c>
      <c r="H1963" s="38">
        <v>5745.5599999999995</v>
      </c>
    </row>
    <row r="1964" spans="1:8" x14ac:dyDescent="0.35">
      <c r="A1964" s="19"/>
      <c r="B1964" s="19" t="s">
        <v>22</v>
      </c>
      <c r="C1964" s="37">
        <v>45900</v>
      </c>
      <c r="D1964" s="31" t="s">
        <v>952</v>
      </c>
      <c r="E1964" s="31" t="s">
        <v>29</v>
      </c>
      <c r="F1964" s="31" t="s">
        <v>160</v>
      </c>
      <c r="H1964" s="38">
        <v>0</v>
      </c>
    </row>
    <row r="1965" spans="1:8" x14ac:dyDescent="0.35">
      <c r="A1965" s="19"/>
      <c r="B1965" s="19" t="s">
        <v>22</v>
      </c>
      <c r="C1965" s="37">
        <v>45900</v>
      </c>
      <c r="D1965" s="31" t="s">
        <v>953</v>
      </c>
      <c r="E1965" s="31" t="s">
        <v>29</v>
      </c>
      <c r="F1965" s="31" t="s">
        <v>160</v>
      </c>
      <c r="H1965" s="38">
        <v>2083.1799999999998</v>
      </c>
    </row>
    <row r="1966" spans="1:8" x14ac:dyDescent="0.35">
      <c r="A1966" s="19"/>
      <c r="B1966" s="19" t="s">
        <v>22</v>
      </c>
      <c r="C1966" s="37">
        <v>45900</v>
      </c>
      <c r="D1966" s="31" t="s">
        <v>954</v>
      </c>
      <c r="E1966" s="31" t="s">
        <v>29</v>
      </c>
      <c r="F1966" s="31" t="s">
        <v>160</v>
      </c>
      <c r="H1966" s="38">
        <v>2578.21</v>
      </c>
    </row>
    <row r="1967" spans="1:8" x14ac:dyDescent="0.35">
      <c r="A1967" s="19"/>
      <c r="B1967" s="19" t="s">
        <v>22</v>
      </c>
      <c r="C1967" s="37">
        <v>45900</v>
      </c>
      <c r="D1967" s="31" t="s">
        <v>955</v>
      </c>
      <c r="E1967" s="31" t="s">
        <v>29</v>
      </c>
      <c r="F1967" s="31" t="s">
        <v>160</v>
      </c>
      <c r="H1967" s="38">
        <v>3036.2499999999995</v>
      </c>
    </row>
    <row r="1968" spans="1:8" x14ac:dyDescent="0.35">
      <c r="A1968" s="19"/>
      <c r="B1968" s="19" t="s">
        <v>22</v>
      </c>
      <c r="C1968" s="37">
        <v>45900</v>
      </c>
      <c r="D1968" s="31" t="s">
        <v>956</v>
      </c>
      <c r="E1968" s="31" t="s">
        <v>50</v>
      </c>
      <c r="F1968" s="31" t="s">
        <v>160</v>
      </c>
      <c r="H1968" s="38">
        <v>0</v>
      </c>
    </row>
    <row r="1969" spans="1:8" x14ac:dyDescent="0.35">
      <c r="A1969" s="19"/>
      <c r="B1969" s="19" t="s">
        <v>22</v>
      </c>
      <c r="C1969" s="37">
        <v>45900</v>
      </c>
      <c r="D1969" s="31" t="s">
        <v>957</v>
      </c>
      <c r="E1969" s="31" t="s">
        <v>50</v>
      </c>
      <c r="F1969" s="31" t="s">
        <v>160</v>
      </c>
      <c r="H1969" s="38">
        <v>0</v>
      </c>
    </row>
    <row r="1970" spans="1:8" x14ac:dyDescent="0.35">
      <c r="A1970" s="19"/>
      <c r="B1970" s="19" t="s">
        <v>22</v>
      </c>
      <c r="C1970" s="37">
        <v>45900</v>
      </c>
      <c r="D1970" s="31" t="s">
        <v>958</v>
      </c>
      <c r="E1970" s="31" t="s">
        <v>36</v>
      </c>
      <c r="F1970" s="31" t="s">
        <v>160</v>
      </c>
      <c r="H1970" s="38">
        <v>1863.21</v>
      </c>
    </row>
    <row r="1971" spans="1:8" x14ac:dyDescent="0.35">
      <c r="A1971" s="19"/>
      <c r="B1971" s="19" t="s">
        <v>22</v>
      </c>
      <c r="C1971" s="37">
        <v>45900</v>
      </c>
      <c r="D1971" s="31">
        <v>33826</v>
      </c>
      <c r="E1971" s="31" t="s">
        <v>50</v>
      </c>
      <c r="F1971" s="31" t="s">
        <v>160</v>
      </c>
      <c r="H1971" s="38">
        <v>0</v>
      </c>
    </row>
    <row r="1972" spans="1:8" x14ac:dyDescent="0.35">
      <c r="A1972" s="19"/>
      <c r="B1972" s="19" t="s">
        <v>22</v>
      </c>
      <c r="C1972" s="37">
        <v>45900</v>
      </c>
      <c r="D1972" s="31" t="s">
        <v>959</v>
      </c>
      <c r="E1972" s="31" t="s">
        <v>50</v>
      </c>
      <c r="F1972" s="31" t="s">
        <v>160</v>
      </c>
      <c r="H1972" s="38">
        <v>0</v>
      </c>
    </row>
    <row r="1973" spans="1:8" x14ac:dyDescent="0.35">
      <c r="A1973" s="19"/>
      <c r="B1973" s="19" t="s">
        <v>22</v>
      </c>
      <c r="C1973" s="37">
        <v>45900</v>
      </c>
      <c r="D1973" s="31" t="s">
        <v>960</v>
      </c>
      <c r="E1973" s="31" t="s">
        <v>50</v>
      </c>
      <c r="F1973" s="31" t="s">
        <v>160</v>
      </c>
      <c r="H1973" s="38">
        <v>0</v>
      </c>
    </row>
    <row r="1974" spans="1:8" x14ac:dyDescent="0.35">
      <c r="A1974" s="19"/>
      <c r="B1974" s="19" t="s">
        <v>22</v>
      </c>
      <c r="C1974" s="37">
        <v>45900</v>
      </c>
      <c r="D1974" s="31" t="s">
        <v>961</v>
      </c>
      <c r="E1974" s="31" t="s">
        <v>50</v>
      </c>
      <c r="F1974" s="31" t="s">
        <v>160</v>
      </c>
      <c r="H1974" s="38">
        <v>0</v>
      </c>
    </row>
    <row r="1975" spans="1:8" x14ac:dyDescent="0.35">
      <c r="A1975" s="19"/>
      <c r="B1975" s="19" t="s">
        <v>22</v>
      </c>
      <c r="C1975" s="37">
        <v>45900</v>
      </c>
      <c r="D1975" s="31" t="s">
        <v>962</v>
      </c>
      <c r="E1975" s="31" t="s">
        <v>50</v>
      </c>
      <c r="F1975" s="31" t="s">
        <v>160</v>
      </c>
      <c r="H1975" s="38">
        <v>0</v>
      </c>
    </row>
    <row r="1976" spans="1:8" x14ac:dyDescent="0.35">
      <c r="A1976" s="19"/>
      <c r="B1976" s="19" t="s">
        <v>22</v>
      </c>
      <c r="C1976" s="37">
        <v>45900</v>
      </c>
      <c r="D1976" s="31" t="s">
        <v>963</v>
      </c>
      <c r="E1976" s="31" t="s">
        <v>50</v>
      </c>
      <c r="F1976" s="31" t="s">
        <v>160</v>
      </c>
      <c r="H1976" s="38">
        <v>0</v>
      </c>
    </row>
    <row r="1977" spans="1:8" x14ac:dyDescent="0.35">
      <c r="A1977" s="19"/>
      <c r="B1977" s="19" t="s">
        <v>22</v>
      </c>
      <c r="C1977" s="37">
        <v>45900</v>
      </c>
      <c r="D1977" s="31">
        <v>33967</v>
      </c>
      <c r="E1977" s="31" t="s">
        <v>50</v>
      </c>
      <c r="F1977" s="31" t="s">
        <v>160</v>
      </c>
      <c r="H1977" s="38">
        <v>0</v>
      </c>
    </row>
    <row r="1978" spans="1:8" x14ac:dyDescent="0.35">
      <c r="A1978" s="19"/>
      <c r="B1978" s="19" t="s">
        <v>22</v>
      </c>
      <c r="C1978" s="37">
        <v>45900</v>
      </c>
      <c r="D1978" s="31">
        <v>33968</v>
      </c>
      <c r="E1978" s="31" t="s">
        <v>50</v>
      </c>
      <c r="F1978" s="31" t="s">
        <v>160</v>
      </c>
      <c r="H1978" s="38">
        <v>0</v>
      </c>
    </row>
    <row r="1979" spans="1:8" x14ac:dyDescent="0.35">
      <c r="A1979" s="19"/>
      <c r="B1979" s="19" t="s">
        <v>22</v>
      </c>
      <c r="C1979" s="37">
        <v>45900</v>
      </c>
      <c r="D1979" s="31" t="s">
        <v>964</v>
      </c>
      <c r="E1979" s="31" t="s">
        <v>44</v>
      </c>
      <c r="F1979" s="31" t="s">
        <v>160</v>
      </c>
      <c r="H1979" s="38">
        <v>9207.6</v>
      </c>
    </row>
    <row r="1980" spans="1:8" x14ac:dyDescent="0.35">
      <c r="A1980" s="19"/>
      <c r="B1980" s="19" t="s">
        <v>22</v>
      </c>
      <c r="C1980" s="37">
        <v>45900</v>
      </c>
      <c r="D1980" s="31" t="s">
        <v>965</v>
      </c>
      <c r="E1980" s="31" t="s">
        <v>44</v>
      </c>
      <c r="F1980" s="31" t="s">
        <v>160</v>
      </c>
      <c r="H1980" s="38">
        <v>2790</v>
      </c>
    </row>
    <row r="1981" spans="1:8" x14ac:dyDescent="0.35">
      <c r="A1981" s="19"/>
      <c r="B1981" s="19" t="s">
        <v>22</v>
      </c>
      <c r="C1981" s="37">
        <v>45900</v>
      </c>
      <c r="D1981" s="31" t="s">
        <v>966</v>
      </c>
      <c r="E1981" s="31" t="s">
        <v>44</v>
      </c>
      <c r="F1981" s="31" t="s">
        <v>160</v>
      </c>
      <c r="H1981" s="38">
        <v>18662.900000000001</v>
      </c>
    </row>
    <row r="1982" spans="1:8" x14ac:dyDescent="0.35">
      <c r="A1982" s="19"/>
      <c r="B1982" s="19" t="s">
        <v>22</v>
      </c>
      <c r="C1982" s="37">
        <v>45900</v>
      </c>
      <c r="D1982" s="31">
        <v>33999</v>
      </c>
      <c r="E1982" s="31" t="s">
        <v>50</v>
      </c>
      <c r="F1982" s="31" t="s">
        <v>160</v>
      </c>
      <c r="H1982" s="38">
        <v>0</v>
      </c>
    </row>
    <row r="1983" spans="1:8" x14ac:dyDescent="0.35">
      <c r="A1983" s="19"/>
      <c r="B1983" s="19" t="s">
        <v>22</v>
      </c>
      <c r="C1983" s="37">
        <v>45900</v>
      </c>
      <c r="D1983" s="31" t="s">
        <v>967</v>
      </c>
      <c r="E1983" s="31" t="s">
        <v>44</v>
      </c>
      <c r="F1983" s="31" t="s">
        <v>160</v>
      </c>
      <c r="H1983" s="38">
        <v>14593.32</v>
      </c>
    </row>
    <row r="1984" spans="1:8" x14ac:dyDescent="0.35">
      <c r="A1984" s="19"/>
      <c r="B1984" s="19" t="s">
        <v>22</v>
      </c>
      <c r="C1984" s="37">
        <v>45900</v>
      </c>
      <c r="D1984" s="31" t="s">
        <v>968</v>
      </c>
      <c r="E1984" s="31" t="s">
        <v>44</v>
      </c>
      <c r="F1984" s="31" t="s">
        <v>160</v>
      </c>
      <c r="H1984" s="38">
        <v>3598.88</v>
      </c>
    </row>
    <row r="1985" spans="1:8" x14ac:dyDescent="0.35">
      <c r="A1985" s="19"/>
      <c r="B1985" s="19" t="s">
        <v>22</v>
      </c>
      <c r="C1985" s="37">
        <v>45900</v>
      </c>
      <c r="D1985" s="31">
        <v>34128</v>
      </c>
      <c r="E1985" s="31" t="s">
        <v>50</v>
      </c>
      <c r="F1985" s="31" t="s">
        <v>160</v>
      </c>
      <c r="H1985" s="38">
        <v>0</v>
      </c>
    </row>
    <row r="1986" spans="1:8" x14ac:dyDescent="0.35">
      <c r="A1986" s="19"/>
      <c r="B1986" s="19" t="s">
        <v>22</v>
      </c>
      <c r="C1986" s="37">
        <v>45900</v>
      </c>
      <c r="D1986" s="31" t="s">
        <v>969</v>
      </c>
      <c r="E1986" s="31" t="s">
        <v>970</v>
      </c>
      <c r="F1986" s="31" t="s">
        <v>160</v>
      </c>
      <c r="H1986" s="38">
        <v>1738.9900000000002</v>
      </c>
    </row>
    <row r="1987" spans="1:8" x14ac:dyDescent="0.35">
      <c r="A1987" s="19"/>
      <c r="B1987" s="19" t="s">
        <v>22</v>
      </c>
      <c r="C1987" s="37">
        <v>45900</v>
      </c>
      <c r="D1987" s="31" t="s">
        <v>971</v>
      </c>
      <c r="E1987" s="31" t="s">
        <v>343</v>
      </c>
      <c r="F1987" s="31" t="s">
        <v>160</v>
      </c>
      <c r="H1987" s="38">
        <v>0</v>
      </c>
    </row>
    <row r="1988" spans="1:8" x14ac:dyDescent="0.35">
      <c r="A1988" s="19"/>
      <c r="B1988" s="19" t="s">
        <v>22</v>
      </c>
      <c r="C1988" s="37">
        <v>45900</v>
      </c>
      <c r="D1988" s="31" t="s">
        <v>972</v>
      </c>
      <c r="E1988" s="31" t="s">
        <v>349</v>
      </c>
      <c r="F1988" s="31" t="s">
        <v>160</v>
      </c>
      <c r="H1988" s="38">
        <v>0</v>
      </c>
    </row>
    <row r="1989" spans="1:8" x14ac:dyDescent="0.35">
      <c r="A1989" s="19"/>
      <c r="B1989" s="19" t="s">
        <v>22</v>
      </c>
      <c r="C1989" s="37">
        <v>45900</v>
      </c>
      <c r="D1989" s="31">
        <v>34529</v>
      </c>
      <c r="E1989" s="31" t="s">
        <v>50</v>
      </c>
      <c r="F1989" s="31" t="s">
        <v>160</v>
      </c>
      <c r="H1989" s="38">
        <v>0</v>
      </c>
    </row>
    <row r="1990" spans="1:8" x14ac:dyDescent="0.35">
      <c r="A1990" s="19"/>
      <c r="B1990" s="19" t="s">
        <v>22</v>
      </c>
      <c r="C1990" s="37">
        <v>45900</v>
      </c>
      <c r="D1990" s="31">
        <v>34753</v>
      </c>
      <c r="E1990" s="31" t="s">
        <v>50</v>
      </c>
      <c r="F1990" s="31" t="s">
        <v>160</v>
      </c>
      <c r="H1990" s="38">
        <v>0</v>
      </c>
    </row>
    <row r="1991" spans="1:8" x14ac:dyDescent="0.35">
      <c r="A1991" s="19"/>
      <c r="B1991" s="19" t="s">
        <v>22</v>
      </c>
      <c r="C1991" s="37">
        <v>45900</v>
      </c>
      <c r="D1991" s="31" t="s">
        <v>973</v>
      </c>
      <c r="E1991" s="31" t="s">
        <v>974</v>
      </c>
      <c r="F1991" s="31" t="s">
        <v>160</v>
      </c>
      <c r="H1991" s="38">
        <v>0</v>
      </c>
    </row>
    <row r="1992" spans="1:8" x14ac:dyDescent="0.35">
      <c r="A1992" s="19"/>
      <c r="B1992" s="19" t="s">
        <v>22</v>
      </c>
      <c r="C1992" s="37">
        <v>45900</v>
      </c>
      <c r="D1992" s="31" t="s">
        <v>975</v>
      </c>
      <c r="E1992" s="31" t="s">
        <v>50</v>
      </c>
      <c r="F1992" s="31" t="s">
        <v>160</v>
      </c>
      <c r="H1992" s="38">
        <v>0</v>
      </c>
    </row>
    <row r="1993" spans="1:8" x14ac:dyDescent="0.35">
      <c r="A1993" s="19"/>
      <c r="B1993" s="19" t="s">
        <v>22</v>
      </c>
      <c r="C1993" s="37">
        <v>45900</v>
      </c>
      <c r="D1993" s="31">
        <v>34768</v>
      </c>
      <c r="E1993" s="31" t="s">
        <v>50</v>
      </c>
      <c r="F1993" s="31" t="s">
        <v>160</v>
      </c>
      <c r="H1993" s="38">
        <v>0</v>
      </c>
    </row>
    <row r="1994" spans="1:8" x14ac:dyDescent="0.35">
      <c r="A1994" s="19"/>
      <c r="B1994" s="19" t="s">
        <v>22</v>
      </c>
      <c r="C1994" s="37">
        <v>45900</v>
      </c>
      <c r="D1994" s="31">
        <v>34769</v>
      </c>
      <c r="E1994" s="31" t="s">
        <v>50</v>
      </c>
      <c r="F1994" s="31" t="s">
        <v>160</v>
      </c>
      <c r="H1994" s="38">
        <v>0</v>
      </c>
    </row>
    <row r="1995" spans="1:8" x14ac:dyDescent="0.35">
      <c r="A1995" s="19"/>
      <c r="B1995" s="19" t="s">
        <v>22</v>
      </c>
      <c r="C1995" s="37">
        <v>45900</v>
      </c>
      <c r="D1995" s="31" t="s">
        <v>976</v>
      </c>
      <c r="E1995" s="31" t="s">
        <v>387</v>
      </c>
      <c r="F1995" s="31" t="s">
        <v>160</v>
      </c>
      <c r="H1995" s="38">
        <v>350</v>
      </c>
    </row>
    <row r="1996" spans="1:8" x14ac:dyDescent="0.35">
      <c r="A1996" s="19"/>
      <c r="B1996" s="19" t="s">
        <v>22</v>
      </c>
      <c r="C1996" s="37">
        <v>45900</v>
      </c>
      <c r="D1996" s="31" t="s">
        <v>977</v>
      </c>
      <c r="E1996" s="31" t="s">
        <v>50</v>
      </c>
      <c r="F1996" s="31" t="s">
        <v>160</v>
      </c>
      <c r="H1996" s="38">
        <v>0</v>
      </c>
    </row>
    <row r="1997" spans="1:8" x14ac:dyDescent="0.35">
      <c r="A1997" s="19"/>
      <c r="B1997" s="19" t="s">
        <v>22</v>
      </c>
      <c r="C1997" s="37">
        <v>45900</v>
      </c>
      <c r="D1997" s="31" t="s">
        <v>978</v>
      </c>
      <c r="E1997" s="31" t="s">
        <v>408</v>
      </c>
      <c r="F1997" s="31" t="s">
        <v>160</v>
      </c>
      <c r="H1997" s="38">
        <v>9627.86</v>
      </c>
    </row>
    <row r="1998" spans="1:8" x14ac:dyDescent="0.35">
      <c r="A1998" s="19"/>
      <c r="B1998" s="19" t="s">
        <v>22</v>
      </c>
      <c r="C1998" s="37">
        <v>45900</v>
      </c>
      <c r="D1998" s="31" t="s">
        <v>979</v>
      </c>
      <c r="E1998" s="31" t="s">
        <v>408</v>
      </c>
      <c r="F1998" s="31" t="s">
        <v>160</v>
      </c>
      <c r="H1998" s="38">
        <v>12464.64</v>
      </c>
    </row>
    <row r="1999" spans="1:8" x14ac:dyDescent="0.35">
      <c r="A1999" s="19"/>
      <c r="B1999" s="19" t="s">
        <v>22</v>
      </c>
      <c r="C1999" s="37">
        <v>45900</v>
      </c>
      <c r="D1999" s="31" t="s">
        <v>980</v>
      </c>
      <c r="E1999" s="31" t="s">
        <v>48</v>
      </c>
      <c r="F1999" s="31" t="s">
        <v>160</v>
      </c>
      <c r="H1999" s="38">
        <v>0</v>
      </c>
    </row>
    <row r="2000" spans="1:8" x14ac:dyDescent="0.35">
      <c r="A2000" s="19"/>
      <c r="B2000" s="19" t="s">
        <v>22</v>
      </c>
      <c r="C2000" s="37">
        <v>45900</v>
      </c>
      <c r="D2000" s="31" t="s">
        <v>981</v>
      </c>
      <c r="E2000" s="31" t="s">
        <v>50</v>
      </c>
      <c r="F2000" s="31" t="s">
        <v>160</v>
      </c>
      <c r="H2000" s="38">
        <v>0</v>
      </c>
    </row>
    <row r="2001" spans="1:8" x14ac:dyDescent="0.35">
      <c r="A2001" s="19"/>
      <c r="B2001" s="19" t="s">
        <v>22</v>
      </c>
      <c r="C2001" s="37">
        <v>45900</v>
      </c>
      <c r="D2001" s="31" t="s">
        <v>982</v>
      </c>
      <c r="E2001" s="31" t="s">
        <v>50</v>
      </c>
      <c r="F2001" s="31" t="s">
        <v>160</v>
      </c>
      <c r="H2001" s="38">
        <v>0</v>
      </c>
    </row>
    <row r="2002" spans="1:8" x14ac:dyDescent="0.35">
      <c r="A2002" s="19"/>
      <c r="B2002" s="19" t="s">
        <v>22</v>
      </c>
      <c r="C2002" s="37">
        <v>45900</v>
      </c>
      <c r="D2002" s="31" t="s">
        <v>983</v>
      </c>
      <c r="E2002" s="31" t="s">
        <v>50</v>
      </c>
      <c r="F2002" s="31" t="s">
        <v>160</v>
      </c>
      <c r="H2002" s="38">
        <v>0</v>
      </c>
    </row>
    <row r="2003" spans="1:8" x14ac:dyDescent="0.35">
      <c r="A2003" s="19"/>
      <c r="B2003" s="19" t="s">
        <v>22</v>
      </c>
      <c r="C2003" s="37">
        <v>45900</v>
      </c>
      <c r="D2003" s="31" t="s">
        <v>984</v>
      </c>
      <c r="E2003" s="31" t="s">
        <v>50</v>
      </c>
      <c r="F2003" s="31" t="s">
        <v>160</v>
      </c>
      <c r="H2003" s="38">
        <v>0</v>
      </c>
    </row>
    <row r="2004" spans="1:8" x14ac:dyDescent="0.35">
      <c r="A2004" s="19"/>
      <c r="B2004" s="19" t="s">
        <v>22</v>
      </c>
      <c r="C2004" s="37">
        <v>45900</v>
      </c>
      <c r="D2004" s="31" t="s">
        <v>985</v>
      </c>
      <c r="E2004" s="31" t="s">
        <v>50</v>
      </c>
      <c r="F2004" s="31" t="s">
        <v>160</v>
      </c>
      <c r="H2004" s="38">
        <v>0</v>
      </c>
    </row>
    <row r="2005" spans="1:8" x14ac:dyDescent="0.35">
      <c r="A2005" s="19"/>
      <c r="B2005" s="19" t="s">
        <v>22</v>
      </c>
      <c r="C2005" s="37">
        <v>45900</v>
      </c>
      <c r="D2005" s="31" t="s">
        <v>986</v>
      </c>
      <c r="E2005" s="31" t="s">
        <v>50</v>
      </c>
      <c r="F2005" s="31" t="s">
        <v>160</v>
      </c>
      <c r="H2005" s="38">
        <v>0</v>
      </c>
    </row>
    <row r="2006" spans="1:8" x14ac:dyDescent="0.35">
      <c r="A2006" s="19"/>
      <c r="B2006" s="19" t="s">
        <v>22</v>
      </c>
      <c r="C2006" s="37">
        <v>45900</v>
      </c>
      <c r="D2006" s="31" t="s">
        <v>987</v>
      </c>
      <c r="E2006" s="31" t="s">
        <v>50</v>
      </c>
      <c r="F2006" s="31" t="s">
        <v>160</v>
      </c>
      <c r="H2006" s="38">
        <v>0</v>
      </c>
    </row>
    <row r="2007" spans="1:8" x14ac:dyDescent="0.35">
      <c r="A2007" s="19"/>
      <c r="B2007" s="19" t="s">
        <v>22</v>
      </c>
      <c r="C2007" s="37">
        <v>45900</v>
      </c>
      <c r="D2007" s="31" t="s">
        <v>988</v>
      </c>
      <c r="E2007" s="31" t="s">
        <v>727</v>
      </c>
      <c r="F2007" s="31" t="s">
        <v>160</v>
      </c>
      <c r="H2007" s="38">
        <v>1106.25</v>
      </c>
    </row>
    <row r="2008" spans="1:8" x14ac:dyDescent="0.35">
      <c r="A2008" s="19"/>
      <c r="B2008" s="19" t="s">
        <v>22</v>
      </c>
      <c r="C2008" s="37">
        <v>45900</v>
      </c>
      <c r="D2008" s="31" t="s">
        <v>989</v>
      </c>
      <c r="E2008" s="31" t="s">
        <v>970</v>
      </c>
      <c r="F2008" s="31" t="s">
        <v>160</v>
      </c>
      <c r="H2008" s="38">
        <v>0</v>
      </c>
    </row>
    <row r="2009" spans="1:8" x14ac:dyDescent="0.35">
      <c r="A2009" s="19"/>
      <c r="B2009" s="19" t="s">
        <v>22</v>
      </c>
      <c r="C2009" s="37">
        <v>45900</v>
      </c>
      <c r="D2009" s="31">
        <v>35410</v>
      </c>
      <c r="E2009" s="31" t="s">
        <v>990</v>
      </c>
      <c r="F2009" s="31" t="s">
        <v>160</v>
      </c>
      <c r="H2009" s="38">
        <v>0</v>
      </c>
    </row>
    <row r="2010" spans="1:8" x14ac:dyDescent="0.35">
      <c r="A2010" s="19"/>
      <c r="B2010" s="19" t="s">
        <v>22</v>
      </c>
      <c r="C2010" s="37">
        <v>45900</v>
      </c>
      <c r="D2010" s="31">
        <v>35411</v>
      </c>
      <c r="E2010" s="31" t="s">
        <v>990</v>
      </c>
      <c r="F2010" s="31" t="s">
        <v>160</v>
      </c>
      <c r="H2010" s="38">
        <v>0</v>
      </c>
    </row>
    <row r="2011" spans="1:8" x14ac:dyDescent="0.35">
      <c r="A2011" s="19"/>
      <c r="B2011" s="19" t="s">
        <v>22</v>
      </c>
      <c r="C2011" s="37">
        <v>45900</v>
      </c>
      <c r="D2011" s="31" t="s">
        <v>991</v>
      </c>
      <c r="E2011" s="31" t="s">
        <v>990</v>
      </c>
      <c r="F2011" s="31" t="s">
        <v>160</v>
      </c>
      <c r="H2011" s="38">
        <v>0</v>
      </c>
    </row>
    <row r="2012" spans="1:8" x14ac:dyDescent="0.35">
      <c r="A2012" s="19"/>
      <c r="B2012" s="19" t="s">
        <v>22</v>
      </c>
      <c r="C2012" s="37">
        <v>45900</v>
      </c>
      <c r="D2012" s="31">
        <v>35413</v>
      </c>
      <c r="E2012" s="31" t="s">
        <v>990</v>
      </c>
      <c r="F2012" s="31" t="s">
        <v>160</v>
      </c>
      <c r="H2012" s="38">
        <v>0</v>
      </c>
    </row>
    <row r="2013" spans="1:8" x14ac:dyDescent="0.35">
      <c r="A2013" s="19"/>
      <c r="B2013" s="19" t="s">
        <v>22</v>
      </c>
      <c r="C2013" s="37">
        <v>45900</v>
      </c>
      <c r="D2013" s="31">
        <v>35414</v>
      </c>
      <c r="E2013" s="31" t="s">
        <v>990</v>
      </c>
      <c r="F2013" s="31" t="s">
        <v>160</v>
      </c>
      <c r="H2013" s="38">
        <v>0</v>
      </c>
    </row>
    <row r="2014" spans="1:8" x14ac:dyDescent="0.35">
      <c r="A2014" s="19"/>
      <c r="B2014" s="19" t="s">
        <v>22</v>
      </c>
      <c r="C2014" s="37">
        <v>45900</v>
      </c>
      <c r="D2014" s="31">
        <v>35415</v>
      </c>
      <c r="E2014" s="31" t="s">
        <v>990</v>
      </c>
      <c r="F2014" s="31" t="s">
        <v>160</v>
      </c>
      <c r="H2014" s="38">
        <v>0</v>
      </c>
    </row>
    <row r="2015" spans="1:8" x14ac:dyDescent="0.35">
      <c r="A2015" s="19"/>
      <c r="B2015" s="19" t="s">
        <v>22</v>
      </c>
      <c r="C2015" s="37">
        <v>45900</v>
      </c>
      <c r="D2015" s="31">
        <v>35416</v>
      </c>
      <c r="E2015" s="31" t="s">
        <v>990</v>
      </c>
      <c r="F2015" s="31" t="s">
        <v>160</v>
      </c>
      <c r="H2015" s="38">
        <v>0</v>
      </c>
    </row>
    <row r="2016" spans="1:8" x14ac:dyDescent="0.35">
      <c r="A2016" s="19"/>
      <c r="B2016" s="19" t="s">
        <v>22</v>
      </c>
      <c r="C2016" s="37">
        <v>45900</v>
      </c>
      <c r="D2016" s="31">
        <v>35417</v>
      </c>
      <c r="E2016" s="31" t="s">
        <v>990</v>
      </c>
      <c r="F2016" s="31" t="s">
        <v>160</v>
      </c>
      <c r="H2016" s="38">
        <v>0</v>
      </c>
    </row>
    <row r="2017" spans="1:8" x14ac:dyDescent="0.35">
      <c r="A2017" s="19"/>
      <c r="B2017" s="19" t="s">
        <v>22</v>
      </c>
      <c r="C2017" s="37">
        <v>45900</v>
      </c>
      <c r="D2017" s="31">
        <v>35418</v>
      </c>
      <c r="E2017" s="31" t="s">
        <v>990</v>
      </c>
      <c r="F2017" s="31" t="s">
        <v>160</v>
      </c>
      <c r="H2017" s="38">
        <v>0</v>
      </c>
    </row>
    <row r="2018" spans="1:8" x14ac:dyDescent="0.35">
      <c r="A2018" s="19"/>
      <c r="B2018" s="19" t="s">
        <v>22</v>
      </c>
      <c r="C2018" s="37">
        <v>45900</v>
      </c>
      <c r="D2018" s="31">
        <v>35419</v>
      </c>
      <c r="E2018" s="31" t="s">
        <v>990</v>
      </c>
      <c r="F2018" s="31" t="s">
        <v>160</v>
      </c>
      <c r="H2018" s="38">
        <v>0</v>
      </c>
    </row>
    <row r="2019" spans="1:8" x14ac:dyDescent="0.35">
      <c r="A2019" s="19"/>
      <c r="B2019" s="19" t="s">
        <v>22</v>
      </c>
      <c r="C2019" s="37">
        <v>45900</v>
      </c>
      <c r="D2019" s="31">
        <v>35420</v>
      </c>
      <c r="E2019" s="31" t="s">
        <v>990</v>
      </c>
      <c r="F2019" s="31" t="s">
        <v>160</v>
      </c>
      <c r="H2019" s="38">
        <v>0</v>
      </c>
    </row>
    <row r="2020" spans="1:8" x14ac:dyDescent="0.35">
      <c r="A2020" s="19"/>
      <c r="B2020" s="19" t="s">
        <v>22</v>
      </c>
      <c r="C2020" s="37">
        <v>45900</v>
      </c>
      <c r="D2020" s="31">
        <v>35421</v>
      </c>
      <c r="E2020" s="31" t="s">
        <v>990</v>
      </c>
      <c r="F2020" s="31" t="s">
        <v>160</v>
      </c>
      <c r="H2020" s="38">
        <v>0</v>
      </c>
    </row>
    <row r="2021" spans="1:8" x14ac:dyDescent="0.35">
      <c r="A2021" s="19"/>
      <c r="B2021" s="19" t="s">
        <v>22</v>
      </c>
      <c r="C2021" s="37">
        <v>45900</v>
      </c>
      <c r="D2021" s="31" t="s">
        <v>992</v>
      </c>
      <c r="E2021" s="31" t="s">
        <v>990</v>
      </c>
      <c r="F2021" s="31" t="s">
        <v>160</v>
      </c>
      <c r="H2021" s="38">
        <v>0</v>
      </c>
    </row>
    <row r="2022" spans="1:8" x14ac:dyDescent="0.35">
      <c r="A2022" s="19"/>
      <c r="B2022" s="19" t="s">
        <v>22</v>
      </c>
      <c r="C2022" s="37">
        <v>45900</v>
      </c>
      <c r="D2022" s="31" t="s">
        <v>993</v>
      </c>
      <c r="E2022" s="31" t="s">
        <v>80</v>
      </c>
      <c r="F2022" s="31" t="s">
        <v>160</v>
      </c>
      <c r="H2022" s="38">
        <v>52357.24</v>
      </c>
    </row>
    <row r="2023" spans="1:8" x14ac:dyDescent="0.35">
      <c r="A2023" s="19"/>
      <c r="B2023" s="19" t="s">
        <v>22</v>
      </c>
      <c r="C2023" s="37">
        <v>45900</v>
      </c>
      <c r="D2023" s="31">
        <v>35434</v>
      </c>
      <c r="E2023" s="31" t="s">
        <v>80</v>
      </c>
      <c r="F2023" s="31" t="s">
        <v>160</v>
      </c>
      <c r="H2023" s="38">
        <v>13892.579999999998</v>
      </c>
    </row>
    <row r="2024" spans="1:8" x14ac:dyDescent="0.35">
      <c r="A2024" s="19"/>
      <c r="B2024" s="19" t="s">
        <v>22</v>
      </c>
      <c r="C2024" s="37">
        <v>45900</v>
      </c>
      <c r="D2024" s="31" t="s">
        <v>994</v>
      </c>
      <c r="E2024" s="31" t="s">
        <v>80</v>
      </c>
      <c r="F2024" s="31" t="s">
        <v>160</v>
      </c>
      <c r="H2024" s="38">
        <v>946.14</v>
      </c>
    </row>
    <row r="2025" spans="1:8" x14ac:dyDescent="0.35">
      <c r="A2025" s="19"/>
      <c r="B2025" s="19" t="s">
        <v>22</v>
      </c>
      <c r="C2025" s="37">
        <v>45900</v>
      </c>
      <c r="D2025" s="31" t="s">
        <v>995</v>
      </c>
      <c r="E2025" s="31" t="s">
        <v>80</v>
      </c>
      <c r="F2025" s="31" t="s">
        <v>160</v>
      </c>
      <c r="H2025" s="38">
        <v>332.38</v>
      </c>
    </row>
    <row r="2026" spans="1:8" x14ac:dyDescent="0.35">
      <c r="A2026" s="19"/>
      <c r="B2026" s="19" t="s">
        <v>22</v>
      </c>
      <c r="C2026" s="37">
        <v>45900</v>
      </c>
      <c r="D2026" s="31" t="s">
        <v>996</v>
      </c>
      <c r="E2026" s="31" t="s">
        <v>80</v>
      </c>
      <c r="F2026" s="31" t="s">
        <v>160</v>
      </c>
      <c r="H2026" s="38">
        <v>0</v>
      </c>
    </row>
    <row r="2027" spans="1:8" x14ac:dyDescent="0.35">
      <c r="A2027" s="19"/>
      <c r="B2027" s="19" t="s">
        <v>22</v>
      </c>
      <c r="C2027" s="37">
        <v>45900</v>
      </c>
      <c r="D2027" s="31" t="s">
        <v>997</v>
      </c>
      <c r="E2027" s="31" t="s">
        <v>80</v>
      </c>
      <c r="F2027" s="31" t="s">
        <v>160</v>
      </c>
      <c r="H2027" s="38">
        <v>43962.13</v>
      </c>
    </row>
    <row r="2028" spans="1:8" x14ac:dyDescent="0.35">
      <c r="A2028" s="19"/>
      <c r="B2028" s="19" t="s">
        <v>22</v>
      </c>
      <c r="C2028" s="37">
        <v>45900</v>
      </c>
      <c r="D2028" s="31" t="s">
        <v>998</v>
      </c>
      <c r="E2028" s="31" t="s">
        <v>80</v>
      </c>
      <c r="F2028" s="31" t="s">
        <v>160</v>
      </c>
      <c r="H2028" s="38">
        <v>435.65</v>
      </c>
    </row>
    <row r="2029" spans="1:8" x14ac:dyDescent="0.35">
      <c r="A2029" s="19"/>
      <c r="B2029" s="19" t="s">
        <v>22</v>
      </c>
      <c r="C2029" s="37">
        <v>45900</v>
      </c>
      <c r="D2029" s="31" t="s">
        <v>999</v>
      </c>
      <c r="E2029" s="31" t="s">
        <v>80</v>
      </c>
      <c r="F2029" s="31" t="s">
        <v>160</v>
      </c>
      <c r="H2029" s="38">
        <v>1342.06</v>
      </c>
    </row>
    <row r="2030" spans="1:8" x14ac:dyDescent="0.35">
      <c r="A2030" s="19"/>
      <c r="B2030" s="19" t="s">
        <v>22</v>
      </c>
      <c r="C2030" s="37">
        <v>45900</v>
      </c>
      <c r="D2030" s="31" t="s">
        <v>1000</v>
      </c>
      <c r="E2030" s="31" t="s">
        <v>80</v>
      </c>
      <c r="F2030" s="31" t="s">
        <v>160</v>
      </c>
      <c r="H2030" s="38">
        <v>3793.79</v>
      </c>
    </row>
    <row r="2031" spans="1:8" x14ac:dyDescent="0.35">
      <c r="A2031" s="19"/>
      <c r="B2031" s="19" t="s">
        <v>22</v>
      </c>
      <c r="C2031" s="37">
        <v>45900</v>
      </c>
      <c r="D2031" s="31" t="s">
        <v>1001</v>
      </c>
      <c r="E2031" s="31" t="s">
        <v>80</v>
      </c>
      <c r="F2031" s="31" t="s">
        <v>160</v>
      </c>
      <c r="H2031" s="38">
        <v>0</v>
      </c>
    </row>
    <row r="2032" spans="1:8" x14ac:dyDescent="0.35">
      <c r="A2032" s="19"/>
      <c r="B2032" s="19" t="s">
        <v>22</v>
      </c>
      <c r="C2032" s="37">
        <v>45900</v>
      </c>
      <c r="D2032" s="31" t="s">
        <v>1002</v>
      </c>
      <c r="E2032" s="31" t="s">
        <v>80</v>
      </c>
      <c r="F2032" s="31" t="s">
        <v>160</v>
      </c>
      <c r="H2032" s="38">
        <v>9777.1999999999989</v>
      </c>
    </row>
    <row r="2033" spans="1:8" x14ac:dyDescent="0.35">
      <c r="A2033" s="19"/>
      <c r="B2033" s="19" t="s">
        <v>22</v>
      </c>
      <c r="C2033" s="37">
        <v>45900</v>
      </c>
      <c r="D2033" s="31" t="s">
        <v>1003</v>
      </c>
      <c r="E2033" s="31" t="s">
        <v>447</v>
      </c>
      <c r="F2033" s="31" t="s">
        <v>160</v>
      </c>
      <c r="H2033" s="38">
        <v>9000</v>
      </c>
    </row>
    <row r="2034" spans="1:8" x14ac:dyDescent="0.35">
      <c r="A2034" s="19"/>
      <c r="B2034" s="19" t="s">
        <v>22</v>
      </c>
      <c r="C2034" s="37">
        <v>45900</v>
      </c>
      <c r="D2034" s="31" t="s">
        <v>1004</v>
      </c>
      <c r="E2034" s="31" t="s">
        <v>449</v>
      </c>
      <c r="F2034" s="31" t="s">
        <v>160</v>
      </c>
      <c r="H2034" s="38">
        <v>0</v>
      </c>
    </row>
    <row r="2035" spans="1:8" x14ac:dyDescent="0.35">
      <c r="A2035" s="19"/>
      <c r="B2035" s="19" t="s">
        <v>22</v>
      </c>
      <c r="C2035" s="37">
        <v>45900</v>
      </c>
      <c r="D2035" s="31">
        <v>35494</v>
      </c>
      <c r="E2035" s="31" t="s">
        <v>449</v>
      </c>
      <c r="F2035" s="31" t="s">
        <v>160</v>
      </c>
      <c r="H2035" s="38">
        <v>94</v>
      </c>
    </row>
    <row r="2036" spans="1:8" x14ac:dyDescent="0.35">
      <c r="A2036" s="19"/>
      <c r="B2036" s="19" t="s">
        <v>22</v>
      </c>
      <c r="C2036" s="37">
        <v>45900</v>
      </c>
      <c r="D2036" s="31" t="s">
        <v>1005</v>
      </c>
      <c r="E2036" s="31" t="s">
        <v>453</v>
      </c>
      <c r="F2036" s="31" t="s">
        <v>160</v>
      </c>
      <c r="H2036" s="38">
        <v>1073.28</v>
      </c>
    </row>
    <row r="2037" spans="1:8" x14ac:dyDescent="0.35">
      <c r="A2037" s="19"/>
      <c r="B2037" s="19" t="s">
        <v>22</v>
      </c>
      <c r="C2037" s="37">
        <v>45900</v>
      </c>
      <c r="D2037" s="31" t="s">
        <v>1006</v>
      </c>
      <c r="E2037" s="31" t="s">
        <v>453</v>
      </c>
      <c r="F2037" s="31" t="s">
        <v>160</v>
      </c>
      <c r="H2037" s="38">
        <v>1505.52</v>
      </c>
    </row>
    <row r="2038" spans="1:8" x14ac:dyDescent="0.35">
      <c r="A2038" s="19"/>
      <c r="B2038" s="19" t="s">
        <v>22</v>
      </c>
      <c r="C2038" s="37">
        <v>45900</v>
      </c>
      <c r="D2038" s="31" t="s">
        <v>1007</v>
      </c>
      <c r="E2038" s="31" t="s">
        <v>453</v>
      </c>
      <c r="F2038" s="31" t="s">
        <v>160</v>
      </c>
      <c r="H2038" s="38">
        <v>20938.5</v>
      </c>
    </row>
    <row r="2039" spans="1:8" x14ac:dyDescent="0.35">
      <c r="A2039" s="19"/>
      <c r="B2039" s="19" t="s">
        <v>22</v>
      </c>
      <c r="C2039" s="37">
        <v>45900</v>
      </c>
      <c r="D2039" s="31" t="s">
        <v>1008</v>
      </c>
      <c r="E2039" s="31" t="s">
        <v>453</v>
      </c>
      <c r="F2039" s="31" t="s">
        <v>160</v>
      </c>
      <c r="H2039" s="38">
        <v>45</v>
      </c>
    </row>
    <row r="2040" spans="1:8" x14ac:dyDescent="0.35">
      <c r="A2040" s="19"/>
      <c r="B2040" s="19" t="s">
        <v>22</v>
      </c>
      <c r="C2040" s="37">
        <v>45900</v>
      </c>
      <c r="D2040" s="31" t="s">
        <v>1009</v>
      </c>
      <c r="E2040" s="31" t="s">
        <v>453</v>
      </c>
      <c r="F2040" s="31" t="s">
        <v>160</v>
      </c>
      <c r="H2040" s="38">
        <v>0</v>
      </c>
    </row>
    <row r="2041" spans="1:8" x14ac:dyDescent="0.35">
      <c r="A2041" s="19"/>
      <c r="B2041" s="19" t="s">
        <v>22</v>
      </c>
      <c r="C2041" s="37">
        <v>45900</v>
      </c>
      <c r="D2041" s="31" t="s">
        <v>1010</v>
      </c>
      <c r="E2041" s="31" t="s">
        <v>453</v>
      </c>
      <c r="F2041" s="31" t="s">
        <v>160</v>
      </c>
      <c r="H2041" s="38">
        <v>2044.7199999999998</v>
      </c>
    </row>
    <row r="2042" spans="1:8" x14ac:dyDescent="0.35">
      <c r="A2042" s="19"/>
      <c r="B2042" s="19" t="s">
        <v>22</v>
      </c>
      <c r="C2042" s="37">
        <v>45900</v>
      </c>
      <c r="D2042" s="31" t="s">
        <v>1011</v>
      </c>
      <c r="E2042" s="31" t="s">
        <v>453</v>
      </c>
      <c r="F2042" s="31" t="s">
        <v>160</v>
      </c>
      <c r="H2042" s="38">
        <v>7436.4</v>
      </c>
    </row>
    <row r="2043" spans="1:8" x14ac:dyDescent="0.35">
      <c r="A2043" s="19"/>
      <c r="B2043" s="19" t="s">
        <v>22</v>
      </c>
      <c r="C2043" s="37">
        <v>45900</v>
      </c>
      <c r="D2043" s="31" t="s">
        <v>1012</v>
      </c>
      <c r="E2043" s="31" t="s">
        <v>453</v>
      </c>
      <c r="F2043" s="31" t="s">
        <v>160</v>
      </c>
      <c r="H2043" s="38">
        <v>24.28</v>
      </c>
    </row>
    <row r="2044" spans="1:8" x14ac:dyDescent="0.35">
      <c r="A2044" s="19"/>
      <c r="B2044" s="19" t="s">
        <v>22</v>
      </c>
      <c r="C2044" s="37">
        <v>45900</v>
      </c>
      <c r="D2044" s="31" t="s">
        <v>1013</v>
      </c>
      <c r="E2044" s="31" t="s">
        <v>453</v>
      </c>
      <c r="F2044" s="31" t="s">
        <v>160</v>
      </c>
      <c r="H2044" s="38">
        <v>2101.1999999999998</v>
      </c>
    </row>
    <row r="2045" spans="1:8" x14ac:dyDescent="0.35">
      <c r="A2045" s="19"/>
      <c r="B2045" s="19" t="s">
        <v>22</v>
      </c>
      <c r="C2045" s="37">
        <v>45900</v>
      </c>
      <c r="D2045" s="31" t="s">
        <v>1014</v>
      </c>
      <c r="E2045" s="31" t="s">
        <v>453</v>
      </c>
      <c r="F2045" s="31" t="s">
        <v>160</v>
      </c>
      <c r="H2045" s="38">
        <v>727.28</v>
      </c>
    </row>
    <row r="2046" spans="1:8" x14ac:dyDescent="0.35">
      <c r="A2046" s="19"/>
      <c r="B2046" s="19" t="s">
        <v>22</v>
      </c>
      <c r="C2046" s="37">
        <v>45900</v>
      </c>
      <c r="D2046" s="31" t="s">
        <v>1015</v>
      </c>
      <c r="E2046" s="31" t="s">
        <v>453</v>
      </c>
      <c r="F2046" s="31" t="s">
        <v>160</v>
      </c>
      <c r="H2046" s="38">
        <v>1873.33</v>
      </c>
    </row>
    <row r="2047" spans="1:8" x14ac:dyDescent="0.35">
      <c r="A2047" s="19"/>
      <c r="B2047" s="19" t="s">
        <v>22</v>
      </c>
      <c r="C2047" s="37">
        <v>45900</v>
      </c>
      <c r="D2047" s="31" t="s">
        <v>1016</v>
      </c>
      <c r="E2047" s="31" t="s">
        <v>134</v>
      </c>
      <c r="F2047" s="31" t="s">
        <v>160</v>
      </c>
      <c r="H2047" s="38">
        <v>2215.38</v>
      </c>
    </row>
    <row r="2048" spans="1:8" x14ac:dyDescent="0.35">
      <c r="A2048" s="19"/>
      <c r="B2048" s="19" t="s">
        <v>22</v>
      </c>
      <c r="C2048" s="37">
        <v>45900</v>
      </c>
      <c r="D2048" s="31" t="s">
        <v>1017</v>
      </c>
      <c r="E2048" s="31" t="s">
        <v>337</v>
      </c>
      <c r="F2048" s="31" t="s">
        <v>160</v>
      </c>
      <c r="H2048" s="38">
        <v>36902.449999999997</v>
      </c>
    </row>
    <row r="2049" spans="1:8" x14ac:dyDescent="0.35">
      <c r="A2049" s="19"/>
      <c r="B2049" s="19" t="s">
        <v>22</v>
      </c>
      <c r="C2049" s="37">
        <v>45900</v>
      </c>
      <c r="D2049" s="31" t="s">
        <v>1018</v>
      </c>
      <c r="E2049" s="31" t="s">
        <v>55</v>
      </c>
      <c r="F2049" s="31" t="s">
        <v>160</v>
      </c>
      <c r="H2049" s="38">
        <v>43790.32</v>
      </c>
    </row>
    <row r="2050" spans="1:8" x14ac:dyDescent="0.35">
      <c r="A2050" s="19"/>
      <c r="B2050" s="19" t="s">
        <v>22</v>
      </c>
      <c r="C2050" s="37">
        <v>45900</v>
      </c>
      <c r="D2050" s="31" t="s">
        <v>1019</v>
      </c>
      <c r="E2050" s="31" t="s">
        <v>55</v>
      </c>
      <c r="F2050" s="31" t="s">
        <v>160</v>
      </c>
      <c r="H2050" s="38">
        <v>302922.93</v>
      </c>
    </row>
    <row r="2051" spans="1:8" x14ac:dyDescent="0.35">
      <c r="A2051" s="19"/>
      <c r="B2051" s="19" t="s">
        <v>22</v>
      </c>
      <c r="C2051" s="37">
        <v>45900</v>
      </c>
      <c r="D2051" s="31" t="s">
        <v>1020</v>
      </c>
      <c r="E2051" s="31" t="s">
        <v>55</v>
      </c>
      <c r="F2051" s="31" t="s">
        <v>160</v>
      </c>
      <c r="H2051" s="38">
        <v>72755.139999999985</v>
      </c>
    </row>
    <row r="2052" spans="1:8" x14ac:dyDescent="0.35">
      <c r="A2052" s="19"/>
      <c r="B2052" s="19" t="s">
        <v>22</v>
      </c>
      <c r="C2052" s="37">
        <v>45900</v>
      </c>
      <c r="D2052" s="31">
        <v>35797</v>
      </c>
      <c r="E2052" s="31" t="s">
        <v>55</v>
      </c>
      <c r="F2052" s="31" t="s">
        <v>160</v>
      </c>
      <c r="H2052" s="38">
        <v>32609.54</v>
      </c>
    </row>
    <row r="2053" spans="1:8" x14ac:dyDescent="0.35">
      <c r="A2053" s="19"/>
      <c r="B2053" s="19" t="s">
        <v>22</v>
      </c>
      <c r="C2053" s="37">
        <v>45900</v>
      </c>
      <c r="D2053" s="31">
        <v>35799</v>
      </c>
      <c r="E2053" s="31" t="s">
        <v>55</v>
      </c>
      <c r="F2053" s="31" t="s">
        <v>160</v>
      </c>
      <c r="H2053" s="38">
        <v>0</v>
      </c>
    </row>
    <row r="2054" spans="1:8" x14ac:dyDescent="0.35">
      <c r="A2054" s="19"/>
      <c r="B2054" s="19" t="s">
        <v>22</v>
      </c>
      <c r="C2054" s="37">
        <v>45900</v>
      </c>
      <c r="D2054" s="31" t="s">
        <v>1021</v>
      </c>
      <c r="E2054" s="31" t="s">
        <v>55</v>
      </c>
      <c r="F2054" s="31" t="s">
        <v>160</v>
      </c>
      <c r="H2054" s="38">
        <v>43846.5</v>
      </c>
    </row>
    <row r="2055" spans="1:8" x14ac:dyDescent="0.35">
      <c r="A2055" s="19"/>
      <c r="B2055" s="19" t="s">
        <v>22</v>
      </c>
      <c r="C2055" s="37">
        <v>45900</v>
      </c>
      <c r="D2055" s="31" t="s">
        <v>1022</v>
      </c>
      <c r="E2055" s="31" t="s">
        <v>55</v>
      </c>
      <c r="F2055" s="31" t="s">
        <v>160</v>
      </c>
      <c r="H2055" s="38">
        <v>7530.8700000000008</v>
      </c>
    </row>
    <row r="2056" spans="1:8" x14ac:dyDescent="0.35">
      <c r="A2056" s="19"/>
      <c r="B2056" s="19" t="s">
        <v>22</v>
      </c>
      <c r="C2056" s="37">
        <v>45900</v>
      </c>
      <c r="D2056" s="31">
        <v>35806</v>
      </c>
      <c r="E2056" s="31" t="s">
        <v>55</v>
      </c>
      <c r="F2056" s="31" t="s">
        <v>160</v>
      </c>
      <c r="H2056" s="38">
        <v>9294.6599999999944</v>
      </c>
    </row>
    <row r="2057" spans="1:8" x14ac:dyDescent="0.35">
      <c r="A2057" s="19"/>
      <c r="B2057" s="19" t="s">
        <v>22</v>
      </c>
      <c r="C2057" s="37">
        <v>45900</v>
      </c>
      <c r="D2057" s="31" t="s">
        <v>1023</v>
      </c>
      <c r="E2057" s="31" t="s">
        <v>55</v>
      </c>
      <c r="F2057" s="31" t="s">
        <v>160</v>
      </c>
      <c r="H2057" s="38">
        <v>159237.71</v>
      </c>
    </row>
    <row r="2058" spans="1:8" x14ac:dyDescent="0.35">
      <c r="A2058" s="19"/>
      <c r="B2058" s="19" t="s">
        <v>22</v>
      </c>
      <c r="C2058" s="37">
        <v>45900</v>
      </c>
      <c r="D2058" s="31" t="s">
        <v>1024</v>
      </c>
      <c r="E2058" s="31" t="s">
        <v>55</v>
      </c>
      <c r="F2058" s="31" t="s">
        <v>160</v>
      </c>
      <c r="H2058" s="38">
        <v>32921.159999999996</v>
      </c>
    </row>
    <row r="2059" spans="1:8" x14ac:dyDescent="0.35">
      <c r="A2059" s="19"/>
      <c r="B2059" s="19" t="s">
        <v>22</v>
      </c>
      <c r="C2059" s="37">
        <v>45900</v>
      </c>
      <c r="D2059" s="31">
        <v>35811</v>
      </c>
      <c r="E2059" s="31" t="s">
        <v>55</v>
      </c>
      <c r="F2059" s="31" t="s">
        <v>160</v>
      </c>
      <c r="H2059" s="38">
        <v>80186.399999999994</v>
      </c>
    </row>
    <row r="2060" spans="1:8" x14ac:dyDescent="0.35">
      <c r="A2060" s="19"/>
      <c r="B2060" s="19" t="s">
        <v>22</v>
      </c>
      <c r="C2060" s="37">
        <v>45900</v>
      </c>
      <c r="D2060" s="31" t="s">
        <v>1025</v>
      </c>
      <c r="E2060" s="31" t="s">
        <v>55</v>
      </c>
      <c r="F2060" s="31" t="s">
        <v>160</v>
      </c>
      <c r="H2060" s="38">
        <v>10482.630000000001</v>
      </c>
    </row>
    <row r="2061" spans="1:8" x14ac:dyDescent="0.35">
      <c r="A2061" s="19"/>
      <c r="B2061" s="19" t="s">
        <v>22</v>
      </c>
      <c r="C2061" s="37">
        <v>45900</v>
      </c>
      <c r="D2061" s="31" t="s">
        <v>1026</v>
      </c>
      <c r="E2061" s="31" t="s">
        <v>1027</v>
      </c>
      <c r="F2061" s="31" t="s">
        <v>160</v>
      </c>
      <c r="H2061" s="38">
        <v>106.95</v>
      </c>
    </row>
    <row r="2062" spans="1:8" x14ac:dyDescent="0.35">
      <c r="A2062" s="19"/>
      <c r="B2062" s="19" t="s">
        <v>22</v>
      </c>
      <c r="C2062" s="37">
        <v>45900</v>
      </c>
      <c r="D2062" s="31" t="s">
        <v>1028</v>
      </c>
      <c r="E2062" s="31" t="s">
        <v>242</v>
      </c>
      <c r="F2062" s="31" t="s">
        <v>160</v>
      </c>
      <c r="H2062" s="38">
        <v>195091.02999999997</v>
      </c>
    </row>
    <row r="2063" spans="1:8" x14ac:dyDescent="0.35">
      <c r="A2063" s="19"/>
      <c r="B2063" s="19" t="s">
        <v>22</v>
      </c>
      <c r="C2063" s="37">
        <v>45900</v>
      </c>
      <c r="D2063" s="31" t="s">
        <v>1029</v>
      </c>
      <c r="E2063" s="31" t="s">
        <v>536</v>
      </c>
      <c r="F2063" s="31" t="s">
        <v>160</v>
      </c>
      <c r="H2063" s="38">
        <v>0</v>
      </c>
    </row>
    <row r="2064" spans="1:8" x14ac:dyDescent="0.35">
      <c r="A2064" s="19"/>
      <c r="B2064" s="19" t="s">
        <v>22</v>
      </c>
      <c r="C2064" s="37">
        <v>45900</v>
      </c>
      <c r="D2064" s="31" t="s">
        <v>1030</v>
      </c>
      <c r="E2064" s="31" t="s">
        <v>50</v>
      </c>
      <c r="F2064" s="31" t="s">
        <v>160</v>
      </c>
      <c r="H2064" s="38">
        <v>0</v>
      </c>
    </row>
    <row r="2065" spans="1:8" x14ac:dyDescent="0.35">
      <c r="A2065" s="19"/>
      <c r="B2065" s="19" t="s">
        <v>22</v>
      </c>
      <c r="C2065" s="37">
        <v>45900</v>
      </c>
      <c r="D2065" s="31" t="s">
        <v>1031</v>
      </c>
      <c r="E2065" s="31" t="s">
        <v>50</v>
      </c>
      <c r="F2065" s="31" t="s">
        <v>160</v>
      </c>
      <c r="H2065" s="38">
        <v>0</v>
      </c>
    </row>
    <row r="2066" spans="1:8" x14ac:dyDescent="0.35">
      <c r="A2066" s="19"/>
      <c r="B2066" s="19" t="s">
        <v>22</v>
      </c>
      <c r="C2066" s="37">
        <v>45900</v>
      </c>
      <c r="D2066" s="31" t="s">
        <v>1032</v>
      </c>
      <c r="E2066" s="31" t="s">
        <v>50</v>
      </c>
      <c r="F2066" s="31" t="s">
        <v>160</v>
      </c>
      <c r="H2066" s="38">
        <v>0</v>
      </c>
    </row>
    <row r="2067" spans="1:8" x14ac:dyDescent="0.35">
      <c r="A2067" s="19"/>
      <c r="B2067" s="19" t="s">
        <v>22</v>
      </c>
      <c r="C2067" s="37">
        <v>45900</v>
      </c>
      <c r="D2067" s="31" t="s">
        <v>1033</v>
      </c>
      <c r="E2067" s="31" t="s">
        <v>50</v>
      </c>
      <c r="F2067" s="31" t="s">
        <v>160</v>
      </c>
      <c r="H2067" s="38">
        <v>0</v>
      </c>
    </row>
    <row r="2068" spans="1:8" x14ac:dyDescent="0.35">
      <c r="A2068" s="19"/>
      <c r="B2068" s="19" t="s">
        <v>22</v>
      </c>
      <c r="C2068" s="37">
        <v>45900</v>
      </c>
      <c r="D2068" s="31" t="s">
        <v>1034</v>
      </c>
      <c r="E2068" s="31" t="s">
        <v>547</v>
      </c>
      <c r="F2068" s="31" t="s">
        <v>160</v>
      </c>
      <c r="H2068" s="38">
        <v>340</v>
      </c>
    </row>
    <row r="2069" spans="1:8" x14ac:dyDescent="0.35">
      <c r="A2069" s="19"/>
      <c r="B2069" s="19" t="s">
        <v>22</v>
      </c>
      <c r="C2069" s="37">
        <v>45900</v>
      </c>
      <c r="D2069" s="31">
        <v>36196</v>
      </c>
      <c r="E2069" s="31" t="s">
        <v>50</v>
      </c>
      <c r="F2069" s="31" t="s">
        <v>160</v>
      </c>
      <c r="H2069" s="38">
        <v>0</v>
      </c>
    </row>
    <row r="2070" spans="1:8" x14ac:dyDescent="0.35">
      <c r="A2070" s="19"/>
      <c r="B2070" s="19" t="s">
        <v>22</v>
      </c>
      <c r="C2070" s="37">
        <v>45900</v>
      </c>
      <c r="D2070" s="31" t="s">
        <v>1035</v>
      </c>
      <c r="E2070" s="31" t="s">
        <v>549</v>
      </c>
      <c r="F2070" s="31" t="s">
        <v>160</v>
      </c>
      <c r="H2070" s="38">
        <v>4260</v>
      </c>
    </row>
    <row r="2071" spans="1:8" x14ac:dyDescent="0.35">
      <c r="A2071" s="19"/>
      <c r="B2071" s="19" t="s">
        <v>22</v>
      </c>
      <c r="C2071" s="37">
        <v>45900</v>
      </c>
      <c r="D2071" s="31">
        <v>36303</v>
      </c>
      <c r="E2071" s="31" t="s">
        <v>50</v>
      </c>
      <c r="F2071" s="31" t="s">
        <v>160</v>
      </c>
      <c r="H2071" s="38">
        <v>0</v>
      </c>
    </row>
    <row r="2072" spans="1:8" x14ac:dyDescent="0.35">
      <c r="A2072" s="19"/>
      <c r="B2072" s="19" t="s">
        <v>22</v>
      </c>
      <c r="C2072" s="37">
        <v>45900</v>
      </c>
      <c r="D2072" s="31" t="s">
        <v>1036</v>
      </c>
      <c r="E2072" s="31" t="s">
        <v>559</v>
      </c>
      <c r="F2072" s="31" t="s">
        <v>160</v>
      </c>
      <c r="H2072" s="38">
        <v>0</v>
      </c>
    </row>
    <row r="2073" spans="1:8" x14ac:dyDescent="0.35">
      <c r="A2073" s="19"/>
      <c r="B2073" s="19" t="s">
        <v>22</v>
      </c>
      <c r="C2073" s="37">
        <v>45900</v>
      </c>
      <c r="D2073" s="31" t="s">
        <v>1037</v>
      </c>
      <c r="E2073" s="31" t="s">
        <v>50</v>
      </c>
      <c r="F2073" s="31" t="s">
        <v>160</v>
      </c>
      <c r="H2073" s="38">
        <v>0</v>
      </c>
    </row>
    <row r="2074" spans="1:8" x14ac:dyDescent="0.35">
      <c r="A2074" s="19"/>
      <c r="B2074" s="19" t="s">
        <v>22</v>
      </c>
      <c r="C2074" s="37">
        <v>45900</v>
      </c>
      <c r="D2074" s="31">
        <v>36477</v>
      </c>
      <c r="E2074" s="31" t="s">
        <v>50</v>
      </c>
      <c r="F2074" s="31" t="s">
        <v>160</v>
      </c>
      <c r="H2074" s="38">
        <v>0</v>
      </c>
    </row>
    <row r="2075" spans="1:8" x14ac:dyDescent="0.35">
      <c r="A2075" s="19"/>
      <c r="B2075" s="19" t="s">
        <v>22</v>
      </c>
      <c r="C2075" s="37">
        <v>45900</v>
      </c>
      <c r="D2075" s="31">
        <v>36478</v>
      </c>
      <c r="E2075" s="31" t="s">
        <v>50</v>
      </c>
      <c r="F2075" s="31" t="s">
        <v>160</v>
      </c>
      <c r="H2075" s="38">
        <v>0</v>
      </c>
    </row>
    <row r="2076" spans="1:8" x14ac:dyDescent="0.35">
      <c r="A2076" s="19"/>
      <c r="B2076" s="19" t="s">
        <v>22</v>
      </c>
      <c r="C2076" s="37">
        <v>45900</v>
      </c>
      <c r="D2076" s="31">
        <v>36479</v>
      </c>
      <c r="E2076" s="31" t="s">
        <v>50</v>
      </c>
      <c r="F2076" s="31" t="s">
        <v>160</v>
      </c>
      <c r="H2076" s="38">
        <v>0</v>
      </c>
    </row>
    <row r="2077" spans="1:8" x14ac:dyDescent="0.35">
      <c r="A2077" s="19"/>
      <c r="B2077" s="19" t="s">
        <v>22</v>
      </c>
      <c r="C2077" s="37">
        <v>45900</v>
      </c>
      <c r="D2077" s="31">
        <v>36509</v>
      </c>
      <c r="E2077" s="31" t="s">
        <v>50</v>
      </c>
      <c r="F2077" s="31" t="s">
        <v>160</v>
      </c>
      <c r="H2077" s="38">
        <v>0</v>
      </c>
    </row>
    <row r="2078" spans="1:8" x14ac:dyDescent="0.35">
      <c r="A2078" s="19"/>
      <c r="B2078" s="19" t="s">
        <v>22</v>
      </c>
      <c r="C2078" s="37">
        <v>45900</v>
      </c>
      <c r="D2078" s="31">
        <v>36628</v>
      </c>
      <c r="E2078" s="31" t="s">
        <v>50</v>
      </c>
      <c r="F2078" s="31" t="s">
        <v>160</v>
      </c>
      <c r="H2078" s="38">
        <v>0</v>
      </c>
    </row>
    <row r="2079" spans="1:8" x14ac:dyDescent="0.35">
      <c r="A2079" s="19"/>
      <c r="B2079" s="19" t="s">
        <v>22</v>
      </c>
      <c r="C2079" s="37">
        <v>45900</v>
      </c>
      <c r="D2079" s="31">
        <v>36643</v>
      </c>
      <c r="E2079" s="31" t="s">
        <v>80</v>
      </c>
      <c r="F2079" s="31" t="s">
        <v>160</v>
      </c>
      <c r="H2079" s="38">
        <v>346.5</v>
      </c>
    </row>
    <row r="2080" spans="1:8" x14ac:dyDescent="0.35">
      <c r="A2080" s="19"/>
      <c r="B2080" s="19" t="s">
        <v>22</v>
      </c>
      <c r="C2080" s="37">
        <v>45900</v>
      </c>
      <c r="D2080" s="31" t="s">
        <v>1038</v>
      </c>
      <c r="E2080" s="31" t="s">
        <v>597</v>
      </c>
      <c r="F2080" s="31" t="s">
        <v>160</v>
      </c>
      <c r="H2080" s="38">
        <v>1271.3599999999999</v>
      </c>
    </row>
    <row r="2081" spans="1:8" x14ac:dyDescent="0.35">
      <c r="A2081" s="19"/>
      <c r="B2081" s="19" t="s">
        <v>22</v>
      </c>
      <c r="C2081" s="37">
        <v>45900</v>
      </c>
      <c r="D2081" s="31" t="s">
        <v>1039</v>
      </c>
      <c r="E2081" s="31" t="s">
        <v>597</v>
      </c>
      <c r="F2081" s="31" t="s">
        <v>160</v>
      </c>
      <c r="H2081" s="38">
        <v>54.3</v>
      </c>
    </row>
    <row r="2082" spans="1:8" x14ac:dyDescent="0.35">
      <c r="A2082" s="19"/>
      <c r="B2082" s="19" t="s">
        <v>22</v>
      </c>
      <c r="C2082" s="37">
        <v>45900</v>
      </c>
      <c r="D2082" s="31" t="s">
        <v>1040</v>
      </c>
      <c r="E2082" s="31" t="s">
        <v>57</v>
      </c>
      <c r="F2082" s="31" t="s">
        <v>160</v>
      </c>
      <c r="H2082" s="38">
        <v>16476.370000000003</v>
      </c>
    </row>
    <row r="2083" spans="1:8" x14ac:dyDescent="0.35">
      <c r="A2083" s="19"/>
      <c r="B2083" s="19" t="s">
        <v>22</v>
      </c>
      <c r="C2083" s="37">
        <v>45900</v>
      </c>
      <c r="D2083" s="31" t="s">
        <v>1041</v>
      </c>
      <c r="E2083" s="31" t="s">
        <v>101</v>
      </c>
      <c r="F2083" s="31" t="s">
        <v>160</v>
      </c>
      <c r="H2083" s="38">
        <v>5445</v>
      </c>
    </row>
    <row r="2084" spans="1:8" x14ac:dyDescent="0.35">
      <c r="A2084" s="19"/>
      <c r="B2084" s="19" t="s">
        <v>22</v>
      </c>
      <c r="C2084" s="37">
        <v>45900</v>
      </c>
      <c r="D2084" s="31">
        <v>36928</v>
      </c>
      <c r="E2084" s="31" t="s">
        <v>50</v>
      </c>
      <c r="F2084" s="31" t="s">
        <v>160</v>
      </c>
      <c r="H2084" s="38">
        <v>0</v>
      </c>
    </row>
    <row r="2085" spans="1:8" x14ac:dyDescent="0.35">
      <c r="A2085" s="19"/>
      <c r="B2085" s="19" t="s">
        <v>22</v>
      </c>
      <c r="C2085" s="37">
        <v>45900</v>
      </c>
      <c r="D2085" s="31" t="s">
        <v>1042</v>
      </c>
      <c r="E2085" s="31" t="s">
        <v>1043</v>
      </c>
      <c r="F2085" s="31" t="s">
        <v>160</v>
      </c>
      <c r="H2085" s="38">
        <v>191.36</v>
      </c>
    </row>
    <row r="2086" spans="1:8" x14ac:dyDescent="0.35">
      <c r="A2086" s="19"/>
      <c r="B2086" s="19" t="s">
        <v>22</v>
      </c>
      <c r="C2086" s="37">
        <v>45900</v>
      </c>
      <c r="D2086" s="31" t="s">
        <v>1044</v>
      </c>
      <c r="E2086" s="31" t="s">
        <v>132</v>
      </c>
      <c r="F2086" s="31" t="s">
        <v>160</v>
      </c>
      <c r="H2086" s="38">
        <v>1014.75</v>
      </c>
    </row>
    <row r="2087" spans="1:8" x14ac:dyDescent="0.35">
      <c r="A2087" s="19"/>
      <c r="B2087" s="19" t="s">
        <v>22</v>
      </c>
      <c r="C2087" s="37">
        <v>45900</v>
      </c>
      <c r="D2087" s="31" t="s">
        <v>1045</v>
      </c>
      <c r="E2087" s="31" t="s">
        <v>148</v>
      </c>
      <c r="F2087" s="31" t="s">
        <v>160</v>
      </c>
      <c r="H2087" s="38">
        <v>64142.18</v>
      </c>
    </row>
    <row r="2088" spans="1:8" x14ac:dyDescent="0.35">
      <c r="A2088" s="19"/>
      <c r="B2088" s="19" t="s">
        <v>22</v>
      </c>
      <c r="C2088" s="37">
        <v>45900</v>
      </c>
      <c r="D2088" s="31" t="s">
        <v>1046</v>
      </c>
      <c r="E2088" s="31" t="s">
        <v>50</v>
      </c>
      <c r="F2088" s="31" t="s">
        <v>160</v>
      </c>
      <c r="H2088" s="38">
        <v>0</v>
      </c>
    </row>
    <row r="2089" spans="1:8" x14ac:dyDescent="0.35">
      <c r="A2089" s="19"/>
      <c r="B2089" s="19" t="s">
        <v>22</v>
      </c>
      <c r="C2089" s="37">
        <v>45900</v>
      </c>
      <c r="D2089" s="31" t="s">
        <v>1047</v>
      </c>
      <c r="E2089" s="31" t="s">
        <v>50</v>
      </c>
      <c r="F2089" s="31" t="s">
        <v>160</v>
      </c>
      <c r="H2089" s="38">
        <v>0</v>
      </c>
    </row>
    <row r="2090" spans="1:8" x14ac:dyDescent="0.35">
      <c r="A2090" s="19"/>
      <c r="B2090" s="19" t="s">
        <v>22</v>
      </c>
      <c r="C2090" s="37">
        <v>45900</v>
      </c>
      <c r="D2090" s="31" t="s">
        <v>1048</v>
      </c>
      <c r="E2090" s="31" t="s">
        <v>50</v>
      </c>
      <c r="F2090" s="31" t="s">
        <v>160</v>
      </c>
      <c r="H2090" s="38">
        <v>0</v>
      </c>
    </row>
    <row r="2091" spans="1:8" x14ac:dyDescent="0.35">
      <c r="A2091" s="19"/>
      <c r="B2091" s="19" t="s">
        <v>22</v>
      </c>
      <c r="C2091" s="37">
        <v>45900</v>
      </c>
      <c r="D2091" s="31" t="s">
        <v>1049</v>
      </c>
      <c r="E2091" s="31" t="s">
        <v>50</v>
      </c>
      <c r="F2091" s="31" t="s">
        <v>160</v>
      </c>
      <c r="H2091" s="38">
        <v>0</v>
      </c>
    </row>
    <row r="2092" spans="1:8" x14ac:dyDescent="0.35">
      <c r="A2092" s="19"/>
      <c r="B2092" s="19" t="s">
        <v>22</v>
      </c>
      <c r="C2092" s="37">
        <v>45900</v>
      </c>
      <c r="D2092" s="31">
        <v>37354</v>
      </c>
      <c r="E2092" s="31" t="s">
        <v>1050</v>
      </c>
      <c r="F2092" s="31" t="s">
        <v>160</v>
      </c>
      <c r="H2092" s="38">
        <v>6882</v>
      </c>
    </row>
    <row r="2093" spans="1:8" x14ac:dyDescent="0.35">
      <c r="A2093" s="19"/>
      <c r="B2093" s="19" t="s">
        <v>22</v>
      </c>
      <c r="C2093" s="37">
        <v>45900</v>
      </c>
      <c r="D2093" s="31" t="s">
        <v>1051</v>
      </c>
      <c r="E2093" s="31" t="s">
        <v>337</v>
      </c>
      <c r="F2093" s="31" t="s">
        <v>160</v>
      </c>
      <c r="H2093" s="38">
        <v>0</v>
      </c>
    </row>
    <row r="2094" spans="1:8" x14ac:dyDescent="0.35">
      <c r="A2094" s="19"/>
      <c r="B2094" s="19" t="s">
        <v>22</v>
      </c>
      <c r="C2094" s="37">
        <v>45900</v>
      </c>
      <c r="D2094" s="31" t="s">
        <v>1052</v>
      </c>
      <c r="E2094" s="31" t="s">
        <v>80</v>
      </c>
      <c r="F2094" s="31" t="s">
        <v>160</v>
      </c>
      <c r="H2094" s="38">
        <v>2085.5700000000002</v>
      </c>
    </row>
    <row r="2095" spans="1:8" x14ac:dyDescent="0.35">
      <c r="A2095" s="19"/>
      <c r="B2095" s="19" t="s">
        <v>22</v>
      </c>
      <c r="C2095" s="37">
        <v>45900</v>
      </c>
      <c r="D2095" s="31">
        <v>37625</v>
      </c>
      <c r="E2095" s="31" t="s">
        <v>725</v>
      </c>
      <c r="F2095" s="31" t="s">
        <v>160</v>
      </c>
      <c r="H2095" s="38">
        <v>2450.48</v>
      </c>
    </row>
    <row r="2096" spans="1:8" x14ac:dyDescent="0.35">
      <c r="A2096" s="19"/>
      <c r="B2096" s="19" t="s">
        <v>22</v>
      </c>
      <c r="C2096" s="37">
        <v>45900</v>
      </c>
      <c r="D2096" s="31" t="s">
        <v>1053</v>
      </c>
      <c r="E2096" s="31" t="s">
        <v>725</v>
      </c>
      <c r="F2096" s="31" t="s">
        <v>160</v>
      </c>
      <c r="H2096" s="38">
        <v>2989.9700000000003</v>
      </c>
    </row>
    <row r="2097" spans="1:8" x14ac:dyDescent="0.35">
      <c r="A2097" s="19"/>
      <c r="B2097" s="19" t="s">
        <v>22</v>
      </c>
      <c r="C2097" s="37">
        <v>45900</v>
      </c>
      <c r="D2097" s="31">
        <v>37644</v>
      </c>
      <c r="E2097" s="31" t="s">
        <v>725</v>
      </c>
      <c r="F2097" s="31" t="s">
        <v>160</v>
      </c>
      <c r="H2097" s="38">
        <v>17455.420000000002</v>
      </c>
    </row>
    <row r="2098" spans="1:8" x14ac:dyDescent="0.35">
      <c r="A2098" s="19"/>
      <c r="B2098" s="19" t="s">
        <v>22</v>
      </c>
      <c r="C2098" s="37">
        <v>45900</v>
      </c>
      <c r="D2098" s="31" t="s">
        <v>1054</v>
      </c>
      <c r="E2098" s="31" t="s">
        <v>725</v>
      </c>
      <c r="F2098" s="31" t="s">
        <v>160</v>
      </c>
      <c r="H2098" s="38">
        <v>1963.93</v>
      </c>
    </row>
    <row r="2099" spans="1:8" x14ac:dyDescent="0.35">
      <c r="A2099" s="19"/>
      <c r="B2099" s="19" t="s">
        <v>22</v>
      </c>
      <c r="C2099" s="37">
        <v>45900</v>
      </c>
      <c r="D2099" s="31" t="s">
        <v>1055</v>
      </c>
      <c r="E2099" s="31" t="s">
        <v>725</v>
      </c>
      <c r="F2099" s="31" t="s">
        <v>160</v>
      </c>
      <c r="H2099" s="38">
        <v>2638.99</v>
      </c>
    </row>
    <row r="2100" spans="1:8" x14ac:dyDescent="0.35">
      <c r="A2100" s="19"/>
      <c r="B2100" s="19" t="s">
        <v>22</v>
      </c>
      <c r="C2100" s="37">
        <v>45900</v>
      </c>
      <c r="D2100" s="31" t="s">
        <v>1056</v>
      </c>
      <c r="E2100" s="31" t="s">
        <v>883</v>
      </c>
      <c r="F2100" s="31" t="s">
        <v>160</v>
      </c>
      <c r="H2100" s="38">
        <v>0</v>
      </c>
    </row>
    <row r="2101" spans="1:8" x14ac:dyDescent="0.35">
      <c r="A2101" s="19"/>
      <c r="B2101" s="19" t="s">
        <v>22</v>
      </c>
      <c r="C2101" s="37">
        <v>45900</v>
      </c>
      <c r="D2101" s="31" t="s">
        <v>1057</v>
      </c>
      <c r="E2101" s="31" t="s">
        <v>883</v>
      </c>
      <c r="F2101" s="31" t="s">
        <v>160</v>
      </c>
      <c r="H2101" s="38">
        <v>0</v>
      </c>
    </row>
    <row r="2102" spans="1:8" x14ac:dyDescent="0.35">
      <c r="A2102" s="19"/>
      <c r="B2102" s="19" t="s">
        <v>22</v>
      </c>
      <c r="C2102" s="37">
        <v>45900</v>
      </c>
      <c r="D2102" s="31" t="s">
        <v>1058</v>
      </c>
      <c r="E2102" s="31" t="s">
        <v>741</v>
      </c>
      <c r="F2102" s="31" t="s">
        <v>160</v>
      </c>
      <c r="H2102" s="38">
        <v>19528.2</v>
      </c>
    </row>
    <row r="2103" spans="1:8" x14ac:dyDescent="0.35">
      <c r="A2103" s="19"/>
      <c r="B2103" s="19" t="s">
        <v>22</v>
      </c>
      <c r="C2103" s="37">
        <v>45900</v>
      </c>
      <c r="D2103" s="31" t="s">
        <v>1059</v>
      </c>
      <c r="E2103" s="31" t="s">
        <v>741</v>
      </c>
      <c r="F2103" s="31" t="s">
        <v>160</v>
      </c>
      <c r="H2103" s="38">
        <v>6266.52</v>
      </c>
    </row>
    <row r="2104" spans="1:8" x14ac:dyDescent="0.35">
      <c r="A2104" s="19"/>
      <c r="B2104" s="19" t="s">
        <v>22</v>
      </c>
      <c r="C2104" s="37">
        <v>45900</v>
      </c>
      <c r="D2104" s="31" t="s">
        <v>1060</v>
      </c>
      <c r="E2104" s="31" t="s">
        <v>741</v>
      </c>
      <c r="F2104" s="31" t="s">
        <v>160</v>
      </c>
      <c r="H2104" s="38">
        <v>645.04999999999995</v>
      </c>
    </row>
    <row r="2105" spans="1:8" x14ac:dyDescent="0.35">
      <c r="A2105" s="19"/>
      <c r="B2105" s="19" t="s">
        <v>22</v>
      </c>
      <c r="C2105" s="37">
        <v>45900</v>
      </c>
      <c r="D2105" s="31" t="s">
        <v>1061</v>
      </c>
      <c r="E2105" s="31" t="s">
        <v>741</v>
      </c>
      <c r="F2105" s="31" t="s">
        <v>160</v>
      </c>
      <c r="H2105" s="38">
        <v>500</v>
      </c>
    </row>
    <row r="2106" spans="1:8" x14ac:dyDescent="0.35">
      <c r="A2106" s="19"/>
      <c r="B2106" s="19" t="s">
        <v>22</v>
      </c>
      <c r="C2106" s="37">
        <v>45900</v>
      </c>
      <c r="D2106" s="31">
        <v>37776</v>
      </c>
      <c r="E2106" s="31" t="s">
        <v>741</v>
      </c>
      <c r="F2106" s="31" t="s">
        <v>160</v>
      </c>
      <c r="H2106" s="38">
        <v>288</v>
      </c>
    </row>
    <row r="2107" spans="1:8" x14ac:dyDescent="0.35">
      <c r="A2107" s="19"/>
      <c r="B2107" s="19" t="s">
        <v>22</v>
      </c>
      <c r="C2107" s="37">
        <v>45900</v>
      </c>
      <c r="D2107" s="31" t="s">
        <v>1062</v>
      </c>
      <c r="E2107" s="31" t="s">
        <v>741</v>
      </c>
      <c r="F2107" s="31" t="s">
        <v>160</v>
      </c>
      <c r="H2107" s="38">
        <v>54.54</v>
      </c>
    </row>
    <row r="2108" spans="1:8" x14ac:dyDescent="0.35">
      <c r="A2108" s="19"/>
      <c r="B2108" s="19" t="s">
        <v>22</v>
      </c>
      <c r="C2108" s="37">
        <v>45900</v>
      </c>
      <c r="D2108" s="31">
        <v>37903</v>
      </c>
      <c r="E2108" s="31" t="s">
        <v>284</v>
      </c>
      <c r="F2108" s="31" t="s">
        <v>160</v>
      </c>
      <c r="H2108" s="38">
        <v>945</v>
      </c>
    </row>
    <row r="2109" spans="1:8" x14ac:dyDescent="0.35">
      <c r="A2109" s="19"/>
      <c r="B2109" s="19" t="s">
        <v>22</v>
      </c>
      <c r="C2109" s="37">
        <v>45900</v>
      </c>
      <c r="D2109" s="31" t="s">
        <v>1063</v>
      </c>
      <c r="E2109" s="31" t="s">
        <v>284</v>
      </c>
      <c r="F2109" s="31" t="s">
        <v>160</v>
      </c>
      <c r="H2109" s="38">
        <v>153267.85999999999</v>
      </c>
    </row>
    <row r="2110" spans="1:8" x14ac:dyDescent="0.35">
      <c r="A2110" s="19"/>
      <c r="B2110" s="19" t="s">
        <v>22</v>
      </c>
      <c r="C2110" s="37">
        <v>45900</v>
      </c>
      <c r="D2110" s="31" t="s">
        <v>1064</v>
      </c>
      <c r="E2110" s="31" t="s">
        <v>59</v>
      </c>
      <c r="F2110" s="31" t="s">
        <v>160</v>
      </c>
      <c r="H2110" s="38">
        <v>32292</v>
      </c>
    </row>
    <row r="2111" spans="1:8" x14ac:dyDescent="0.35">
      <c r="A2111" s="19"/>
      <c r="B2111" s="19" t="s">
        <v>22</v>
      </c>
      <c r="C2111" s="37">
        <v>45900</v>
      </c>
      <c r="D2111" s="31" t="s">
        <v>1065</v>
      </c>
      <c r="E2111" s="31" t="s">
        <v>59</v>
      </c>
      <c r="F2111" s="31" t="s">
        <v>160</v>
      </c>
      <c r="H2111" s="38">
        <v>0</v>
      </c>
    </row>
    <row r="2112" spans="1:8" x14ac:dyDescent="0.35">
      <c r="A2112" s="19"/>
      <c r="B2112" s="19" t="s">
        <v>22</v>
      </c>
      <c r="C2112" s="37">
        <v>45900</v>
      </c>
      <c r="D2112" s="31" t="s">
        <v>1066</v>
      </c>
      <c r="E2112" s="31" t="s">
        <v>59</v>
      </c>
      <c r="F2112" s="31" t="s">
        <v>160</v>
      </c>
      <c r="H2112" s="38">
        <v>6113.98</v>
      </c>
    </row>
    <row r="2113" spans="1:8" x14ac:dyDescent="0.35">
      <c r="A2113" s="19"/>
      <c r="B2113" s="19" t="s">
        <v>22</v>
      </c>
      <c r="C2113" s="37">
        <v>45900</v>
      </c>
      <c r="D2113" s="31" t="s">
        <v>1067</v>
      </c>
      <c r="E2113" s="31" t="s">
        <v>59</v>
      </c>
      <c r="F2113" s="31" t="s">
        <v>160</v>
      </c>
      <c r="H2113" s="38">
        <v>29035.5</v>
      </c>
    </row>
    <row r="2114" spans="1:8" x14ac:dyDescent="0.35">
      <c r="A2114" s="19"/>
      <c r="B2114" s="19" t="s">
        <v>22</v>
      </c>
      <c r="C2114" s="37">
        <v>45900</v>
      </c>
      <c r="D2114" s="31" t="s">
        <v>1068</v>
      </c>
      <c r="E2114" s="31" t="s">
        <v>59</v>
      </c>
      <c r="F2114" s="31" t="s">
        <v>160</v>
      </c>
      <c r="H2114" s="38">
        <v>0</v>
      </c>
    </row>
    <row r="2115" spans="1:8" x14ac:dyDescent="0.35">
      <c r="A2115" s="19"/>
      <c r="B2115" s="19" t="s">
        <v>22</v>
      </c>
      <c r="C2115" s="37">
        <v>45900</v>
      </c>
      <c r="D2115" s="31" t="s">
        <v>1069</v>
      </c>
      <c r="E2115" s="31" t="s">
        <v>59</v>
      </c>
      <c r="F2115" s="31" t="s">
        <v>160</v>
      </c>
      <c r="H2115" s="38">
        <v>70297.64</v>
      </c>
    </row>
    <row r="2116" spans="1:8" x14ac:dyDescent="0.35">
      <c r="A2116" s="19"/>
      <c r="B2116" s="19" t="s">
        <v>22</v>
      </c>
      <c r="C2116" s="37">
        <v>45900</v>
      </c>
      <c r="D2116" s="31" t="s">
        <v>1070</v>
      </c>
      <c r="E2116" s="31" t="s">
        <v>59</v>
      </c>
      <c r="F2116" s="31" t="s">
        <v>160</v>
      </c>
      <c r="H2116" s="38">
        <v>0</v>
      </c>
    </row>
    <row r="2117" spans="1:8" x14ac:dyDescent="0.35">
      <c r="A2117" s="19"/>
      <c r="B2117" s="19" t="s">
        <v>22</v>
      </c>
      <c r="C2117" s="37">
        <v>45900</v>
      </c>
      <c r="D2117" s="31" t="s">
        <v>1071</v>
      </c>
      <c r="E2117" s="31" t="s">
        <v>59</v>
      </c>
      <c r="F2117" s="31" t="s">
        <v>160</v>
      </c>
      <c r="H2117" s="38">
        <v>1199.97</v>
      </c>
    </row>
    <row r="2118" spans="1:8" x14ac:dyDescent="0.35">
      <c r="A2118" s="19"/>
      <c r="B2118" s="19" t="s">
        <v>22</v>
      </c>
      <c r="C2118" s="37">
        <v>45900</v>
      </c>
      <c r="D2118" s="31" t="s">
        <v>1072</v>
      </c>
      <c r="E2118" s="31" t="s">
        <v>59</v>
      </c>
      <c r="F2118" s="31" t="s">
        <v>160</v>
      </c>
      <c r="H2118" s="38">
        <v>4182.88</v>
      </c>
    </row>
    <row r="2119" spans="1:8" x14ac:dyDescent="0.35">
      <c r="A2119" s="19"/>
      <c r="B2119" s="19" t="s">
        <v>22</v>
      </c>
      <c r="C2119" s="37">
        <v>45900</v>
      </c>
      <c r="D2119" s="31" t="s">
        <v>1073</v>
      </c>
      <c r="E2119" s="31" t="s">
        <v>1074</v>
      </c>
      <c r="F2119" s="31" t="s">
        <v>160</v>
      </c>
      <c r="H2119" s="38">
        <v>250</v>
      </c>
    </row>
    <row r="2120" spans="1:8" x14ac:dyDescent="0.35">
      <c r="A2120" s="19"/>
      <c r="B2120" s="19" t="s">
        <v>22</v>
      </c>
      <c r="C2120" s="37">
        <v>45900</v>
      </c>
      <c r="D2120" s="31">
        <v>38055</v>
      </c>
      <c r="E2120" s="31" t="s">
        <v>50</v>
      </c>
      <c r="F2120" s="31" t="s">
        <v>160</v>
      </c>
      <c r="H2120" s="38">
        <v>0</v>
      </c>
    </row>
    <row r="2121" spans="1:8" x14ac:dyDescent="0.35">
      <c r="A2121" s="19"/>
      <c r="B2121" s="19" t="s">
        <v>22</v>
      </c>
      <c r="C2121" s="37">
        <v>45900</v>
      </c>
      <c r="D2121" s="31" t="s">
        <v>1075</v>
      </c>
      <c r="E2121" s="31" t="s">
        <v>60</v>
      </c>
      <c r="F2121" s="31" t="s">
        <v>160</v>
      </c>
      <c r="H2121" s="38">
        <v>4610.8999999999996</v>
      </c>
    </row>
    <row r="2122" spans="1:8" x14ac:dyDescent="0.35">
      <c r="A2122" s="19"/>
      <c r="B2122" s="19" t="s">
        <v>22</v>
      </c>
      <c r="C2122" s="37">
        <v>45900</v>
      </c>
      <c r="D2122" s="31">
        <v>38172</v>
      </c>
      <c r="E2122" s="31" t="s">
        <v>50</v>
      </c>
      <c r="F2122" s="31" t="s">
        <v>160</v>
      </c>
      <c r="H2122" s="38">
        <v>0</v>
      </c>
    </row>
    <row r="2123" spans="1:8" x14ac:dyDescent="0.35">
      <c r="A2123" s="19"/>
      <c r="B2123" s="19" t="s">
        <v>22</v>
      </c>
      <c r="C2123" s="37">
        <v>45900</v>
      </c>
      <c r="D2123" s="31" t="s">
        <v>1076</v>
      </c>
      <c r="E2123" s="31" t="s">
        <v>50</v>
      </c>
      <c r="F2123" s="31" t="s">
        <v>160</v>
      </c>
      <c r="H2123" s="38">
        <v>0</v>
      </c>
    </row>
    <row r="2124" spans="1:8" x14ac:dyDescent="0.35">
      <c r="A2124" s="19"/>
      <c r="B2124" s="19" t="s">
        <v>22</v>
      </c>
      <c r="C2124" s="37">
        <v>45900</v>
      </c>
      <c r="D2124" s="31" t="s">
        <v>1077</v>
      </c>
      <c r="E2124" s="31" t="s">
        <v>50</v>
      </c>
      <c r="F2124" s="31" t="s">
        <v>160</v>
      </c>
      <c r="H2124" s="38">
        <v>0</v>
      </c>
    </row>
    <row r="2125" spans="1:8" x14ac:dyDescent="0.35">
      <c r="A2125" s="19"/>
      <c r="B2125" s="19" t="s">
        <v>22</v>
      </c>
      <c r="C2125" s="37">
        <v>45900</v>
      </c>
      <c r="D2125" s="31" t="s">
        <v>1078</v>
      </c>
      <c r="E2125" s="31" t="s">
        <v>50</v>
      </c>
      <c r="F2125" s="31" t="s">
        <v>160</v>
      </c>
      <c r="H2125" s="38">
        <v>0</v>
      </c>
    </row>
    <row r="2126" spans="1:8" x14ac:dyDescent="0.35">
      <c r="A2126" s="19"/>
      <c r="B2126" s="19" t="s">
        <v>22</v>
      </c>
      <c r="C2126" s="37">
        <v>45900</v>
      </c>
      <c r="D2126" s="31" t="s">
        <v>1079</v>
      </c>
      <c r="E2126" s="31" t="s">
        <v>50</v>
      </c>
      <c r="F2126" s="31" t="s">
        <v>160</v>
      </c>
      <c r="H2126" s="38">
        <v>0</v>
      </c>
    </row>
    <row r="2127" spans="1:8" x14ac:dyDescent="0.35">
      <c r="A2127" s="19"/>
      <c r="B2127" s="19" t="s">
        <v>22</v>
      </c>
      <c r="C2127" s="37">
        <v>45900</v>
      </c>
      <c r="D2127" s="31">
        <v>38215</v>
      </c>
      <c r="E2127" s="31" t="s">
        <v>1080</v>
      </c>
      <c r="F2127" s="31" t="s">
        <v>160</v>
      </c>
      <c r="H2127" s="38">
        <v>7903.98</v>
      </c>
    </row>
    <row r="2128" spans="1:8" x14ac:dyDescent="0.35">
      <c r="A2128" s="19"/>
      <c r="B2128" s="19" t="s">
        <v>22</v>
      </c>
      <c r="C2128" s="37">
        <v>45900</v>
      </c>
      <c r="D2128" s="31" t="s">
        <v>1081</v>
      </c>
      <c r="E2128" s="31" t="s">
        <v>50</v>
      </c>
      <c r="F2128" s="31" t="s">
        <v>160</v>
      </c>
      <c r="H2128" s="38">
        <v>0</v>
      </c>
    </row>
    <row r="2129" spans="1:8" x14ac:dyDescent="0.35">
      <c r="A2129" s="19"/>
      <c r="B2129" s="19" t="s">
        <v>22</v>
      </c>
      <c r="C2129" s="37">
        <v>45900</v>
      </c>
      <c r="D2129" s="31" t="s">
        <v>1082</v>
      </c>
      <c r="E2129" s="31" t="s">
        <v>50</v>
      </c>
      <c r="F2129" s="31" t="s">
        <v>160</v>
      </c>
      <c r="H2129" s="38">
        <v>0</v>
      </c>
    </row>
    <row r="2130" spans="1:8" x14ac:dyDescent="0.35">
      <c r="A2130" s="19"/>
      <c r="B2130" s="19" t="s">
        <v>22</v>
      </c>
      <c r="C2130" s="37">
        <v>45900</v>
      </c>
      <c r="D2130" s="31" t="s">
        <v>1083</v>
      </c>
      <c r="E2130" s="31" t="s">
        <v>50</v>
      </c>
      <c r="F2130" s="31" t="s">
        <v>160</v>
      </c>
      <c r="H2130" s="38">
        <v>0</v>
      </c>
    </row>
    <row r="2131" spans="1:8" x14ac:dyDescent="0.35">
      <c r="A2131" s="19"/>
      <c r="B2131" s="19" t="s">
        <v>22</v>
      </c>
      <c r="C2131" s="37">
        <v>45900</v>
      </c>
      <c r="D2131" s="31" t="s">
        <v>1084</v>
      </c>
      <c r="E2131" s="31" t="s">
        <v>50</v>
      </c>
      <c r="F2131" s="31" t="s">
        <v>160</v>
      </c>
      <c r="H2131" s="38">
        <v>0</v>
      </c>
    </row>
    <row r="2132" spans="1:8" x14ac:dyDescent="0.35">
      <c r="A2132" s="19"/>
      <c r="B2132" s="19" t="s">
        <v>22</v>
      </c>
      <c r="C2132" s="37">
        <v>45900</v>
      </c>
      <c r="D2132" s="31" t="s">
        <v>1085</v>
      </c>
      <c r="E2132" s="31" t="s">
        <v>50</v>
      </c>
      <c r="F2132" s="31" t="s">
        <v>160</v>
      </c>
      <c r="H2132" s="38">
        <v>0</v>
      </c>
    </row>
    <row r="2133" spans="1:8" x14ac:dyDescent="0.35">
      <c r="A2133" s="19"/>
      <c r="B2133" s="19" t="s">
        <v>22</v>
      </c>
      <c r="C2133" s="37">
        <v>45900</v>
      </c>
      <c r="D2133" s="31">
        <v>38262</v>
      </c>
      <c r="E2133" s="31" t="s">
        <v>177</v>
      </c>
      <c r="F2133" s="31" t="s">
        <v>160</v>
      </c>
      <c r="H2133" s="38">
        <v>2800.02</v>
      </c>
    </row>
    <row r="2134" spans="1:8" x14ac:dyDescent="0.35">
      <c r="A2134" s="19"/>
      <c r="B2134" s="19" t="s">
        <v>22</v>
      </c>
      <c r="C2134" s="37">
        <v>45900</v>
      </c>
      <c r="D2134" s="31" t="s">
        <v>1086</v>
      </c>
      <c r="E2134" s="31" t="s">
        <v>177</v>
      </c>
      <c r="F2134" s="31" t="s">
        <v>160</v>
      </c>
      <c r="H2134" s="38">
        <v>19600.199999999997</v>
      </c>
    </row>
    <row r="2135" spans="1:8" x14ac:dyDescent="0.35">
      <c r="A2135" s="19"/>
      <c r="B2135" s="19" t="s">
        <v>22</v>
      </c>
      <c r="C2135" s="37">
        <v>45900</v>
      </c>
      <c r="D2135" s="31">
        <v>38267</v>
      </c>
      <c r="E2135" s="31" t="s">
        <v>177</v>
      </c>
      <c r="F2135" s="31" t="s">
        <v>160</v>
      </c>
      <c r="H2135" s="38">
        <v>7385.8899999999994</v>
      </c>
    </row>
    <row r="2136" spans="1:8" x14ac:dyDescent="0.35">
      <c r="A2136" s="19"/>
      <c r="B2136" s="19" t="s">
        <v>22</v>
      </c>
      <c r="C2136" s="37">
        <v>45900</v>
      </c>
      <c r="D2136" s="31">
        <v>38317</v>
      </c>
      <c r="E2136" s="31" t="s">
        <v>1087</v>
      </c>
      <c r="F2136" s="31" t="s">
        <v>160</v>
      </c>
      <c r="H2136" s="38">
        <v>43245.59</v>
      </c>
    </row>
    <row r="2137" spans="1:8" x14ac:dyDescent="0.35">
      <c r="A2137" s="19"/>
      <c r="B2137" s="19" t="s">
        <v>22</v>
      </c>
      <c r="C2137" s="37">
        <v>45900</v>
      </c>
      <c r="D2137" s="31" t="s">
        <v>1088</v>
      </c>
      <c r="E2137" s="31" t="s">
        <v>48</v>
      </c>
      <c r="F2137" s="31" t="s">
        <v>160</v>
      </c>
      <c r="H2137" s="38">
        <v>747.5</v>
      </c>
    </row>
    <row r="2138" spans="1:8" x14ac:dyDescent="0.35">
      <c r="A2138" s="19"/>
      <c r="B2138" s="19" t="s">
        <v>22</v>
      </c>
      <c r="C2138" s="37">
        <v>45900</v>
      </c>
      <c r="D2138" s="31" t="s">
        <v>1089</v>
      </c>
      <c r="E2138" s="31" t="s">
        <v>48</v>
      </c>
      <c r="F2138" s="31" t="s">
        <v>160</v>
      </c>
      <c r="H2138" s="38">
        <v>813.28</v>
      </c>
    </row>
    <row r="2139" spans="1:8" x14ac:dyDescent="0.35">
      <c r="A2139" s="19"/>
      <c r="B2139" s="19" t="s">
        <v>22</v>
      </c>
      <c r="C2139" s="37">
        <v>45900</v>
      </c>
      <c r="D2139" s="31">
        <v>38407</v>
      </c>
      <c r="E2139" s="31" t="s">
        <v>59</v>
      </c>
      <c r="F2139" s="31" t="s">
        <v>160</v>
      </c>
      <c r="H2139" s="38">
        <v>0</v>
      </c>
    </row>
    <row r="2140" spans="1:8" x14ac:dyDescent="0.35">
      <c r="A2140" s="19"/>
      <c r="B2140" s="19" t="s">
        <v>22</v>
      </c>
      <c r="C2140" s="37">
        <v>45900</v>
      </c>
      <c r="D2140" s="31">
        <v>38473</v>
      </c>
      <c r="E2140" s="31" t="s">
        <v>1090</v>
      </c>
      <c r="F2140" s="31" t="s">
        <v>160</v>
      </c>
      <c r="H2140" s="38">
        <v>17076.490000000002</v>
      </c>
    </row>
    <row r="2141" spans="1:8" x14ac:dyDescent="0.35">
      <c r="A2141" s="19"/>
      <c r="B2141" s="19" t="s">
        <v>22</v>
      </c>
      <c r="C2141" s="37">
        <v>45900</v>
      </c>
      <c r="D2141" s="31" t="s">
        <v>1091</v>
      </c>
      <c r="E2141" s="31" t="s">
        <v>50</v>
      </c>
      <c r="F2141" s="31" t="s">
        <v>160</v>
      </c>
      <c r="H2141" s="38">
        <v>0</v>
      </c>
    </row>
    <row r="2142" spans="1:8" x14ac:dyDescent="0.35">
      <c r="A2142" s="19"/>
      <c r="B2142" s="19" t="s">
        <v>22</v>
      </c>
      <c r="C2142" s="37">
        <v>45900</v>
      </c>
      <c r="D2142" s="31" t="s">
        <v>1092</v>
      </c>
      <c r="E2142" s="31" t="s">
        <v>1093</v>
      </c>
      <c r="F2142" s="31" t="s">
        <v>160</v>
      </c>
      <c r="H2142" s="38">
        <v>0</v>
      </c>
    </row>
    <row r="2143" spans="1:8" x14ac:dyDescent="0.35">
      <c r="A2143" s="19"/>
      <c r="B2143" s="19" t="s">
        <v>22</v>
      </c>
      <c r="C2143" s="37">
        <v>45900</v>
      </c>
      <c r="D2143" s="31" t="s">
        <v>1094</v>
      </c>
      <c r="E2143" s="31" t="s">
        <v>1095</v>
      </c>
      <c r="F2143" s="31" t="s">
        <v>160</v>
      </c>
      <c r="H2143" s="38">
        <v>523.35</v>
      </c>
    </row>
    <row r="2144" spans="1:8" x14ac:dyDescent="0.35">
      <c r="A2144" s="19"/>
      <c r="B2144" s="19" t="s">
        <v>22</v>
      </c>
      <c r="C2144" s="37">
        <v>45900</v>
      </c>
      <c r="D2144" s="31" t="s">
        <v>1096</v>
      </c>
      <c r="E2144" s="31" t="s">
        <v>1097</v>
      </c>
      <c r="F2144" s="31" t="s">
        <v>160</v>
      </c>
      <c r="H2144" s="38">
        <v>14924.64</v>
      </c>
    </row>
    <row r="2145" spans="1:8" x14ac:dyDescent="0.35">
      <c r="A2145" s="19"/>
      <c r="B2145" s="19" t="s">
        <v>22</v>
      </c>
      <c r="C2145" s="37">
        <v>45900</v>
      </c>
      <c r="D2145" s="31">
        <v>38527</v>
      </c>
      <c r="E2145" s="31" t="s">
        <v>1098</v>
      </c>
      <c r="F2145" s="31" t="s">
        <v>160</v>
      </c>
      <c r="H2145" s="38">
        <v>2040</v>
      </c>
    </row>
    <row r="2146" spans="1:8" x14ac:dyDescent="0.35">
      <c r="A2146" s="19"/>
      <c r="B2146" s="19" t="s">
        <v>22</v>
      </c>
      <c r="C2146" s="37">
        <v>45900</v>
      </c>
      <c r="D2146" s="31" t="s">
        <v>1099</v>
      </c>
      <c r="E2146" s="31" t="s">
        <v>125</v>
      </c>
      <c r="F2146" s="31" t="s">
        <v>160</v>
      </c>
      <c r="H2146" s="38">
        <v>0</v>
      </c>
    </row>
    <row r="2147" spans="1:8" x14ac:dyDescent="0.35">
      <c r="A2147" s="19"/>
      <c r="B2147" s="19" t="s">
        <v>22</v>
      </c>
      <c r="C2147" s="37">
        <v>45900</v>
      </c>
      <c r="D2147" s="31" t="s">
        <v>1100</v>
      </c>
      <c r="E2147" s="31" t="s">
        <v>125</v>
      </c>
      <c r="F2147" s="31" t="s">
        <v>160</v>
      </c>
      <c r="H2147" s="38">
        <v>0</v>
      </c>
    </row>
    <row r="2148" spans="1:8" x14ac:dyDescent="0.35">
      <c r="A2148" s="19"/>
      <c r="B2148" s="19" t="s">
        <v>22</v>
      </c>
      <c r="C2148" s="37">
        <v>45900</v>
      </c>
      <c r="D2148" s="31" t="s">
        <v>1101</v>
      </c>
      <c r="E2148" s="31" t="s">
        <v>125</v>
      </c>
      <c r="F2148" s="31" t="s">
        <v>160</v>
      </c>
      <c r="H2148" s="38">
        <v>0</v>
      </c>
    </row>
    <row r="2149" spans="1:8" x14ac:dyDescent="0.35">
      <c r="A2149" s="19"/>
      <c r="B2149" s="19" t="s">
        <v>22</v>
      </c>
      <c r="C2149" s="37">
        <v>45900</v>
      </c>
      <c r="D2149" s="31">
        <v>38553</v>
      </c>
      <c r="E2149" s="31" t="s">
        <v>50</v>
      </c>
      <c r="F2149" s="31" t="s">
        <v>160</v>
      </c>
      <c r="H2149" s="38">
        <v>0</v>
      </c>
    </row>
    <row r="2150" spans="1:8" x14ac:dyDescent="0.35">
      <c r="A2150" s="19"/>
      <c r="B2150" s="19" t="s">
        <v>22</v>
      </c>
      <c r="C2150" s="37">
        <v>45900</v>
      </c>
      <c r="D2150" s="31" t="s">
        <v>1102</v>
      </c>
      <c r="E2150" s="31" t="s">
        <v>50</v>
      </c>
      <c r="F2150" s="31" t="s">
        <v>160</v>
      </c>
      <c r="H2150" s="38">
        <v>0</v>
      </c>
    </row>
    <row r="2151" spans="1:8" x14ac:dyDescent="0.35">
      <c r="A2151" s="19"/>
      <c r="B2151" s="19" t="s">
        <v>22</v>
      </c>
      <c r="C2151" s="37">
        <v>45900</v>
      </c>
      <c r="D2151" s="31">
        <v>38557</v>
      </c>
      <c r="E2151" s="31" t="s">
        <v>50</v>
      </c>
      <c r="F2151" s="31" t="s">
        <v>160</v>
      </c>
      <c r="H2151" s="38">
        <v>1981.1000000000001</v>
      </c>
    </row>
    <row r="2152" spans="1:8" x14ac:dyDescent="0.35">
      <c r="A2152" s="19"/>
      <c r="B2152" s="19" t="s">
        <v>22</v>
      </c>
      <c r="C2152" s="37">
        <v>45900</v>
      </c>
      <c r="D2152" s="31">
        <v>38603</v>
      </c>
      <c r="E2152" s="31" t="s">
        <v>1103</v>
      </c>
      <c r="F2152" s="31" t="s">
        <v>160</v>
      </c>
      <c r="H2152" s="38">
        <v>1025.79</v>
      </c>
    </row>
    <row r="2153" spans="1:8" x14ac:dyDescent="0.35">
      <c r="A2153" s="19"/>
      <c r="B2153" s="19" t="s">
        <v>22</v>
      </c>
      <c r="C2153" s="37">
        <v>45900</v>
      </c>
      <c r="D2153" s="31" t="s">
        <v>1104</v>
      </c>
      <c r="E2153" s="31" t="s">
        <v>253</v>
      </c>
      <c r="F2153" s="31" t="s">
        <v>160</v>
      </c>
      <c r="H2153" s="38">
        <v>900</v>
      </c>
    </row>
    <row r="2154" spans="1:8" x14ac:dyDescent="0.35">
      <c r="A2154" s="19"/>
      <c r="B2154" s="19" t="s">
        <v>22</v>
      </c>
      <c r="C2154" s="37">
        <v>45900</v>
      </c>
      <c r="D2154" s="31">
        <v>38607</v>
      </c>
      <c r="E2154" s="31" t="s">
        <v>1087</v>
      </c>
      <c r="F2154" s="31" t="s">
        <v>160</v>
      </c>
      <c r="H2154" s="38">
        <v>4616.5</v>
      </c>
    </row>
    <row r="2155" spans="1:8" x14ac:dyDescent="0.35">
      <c r="A2155" s="19"/>
      <c r="B2155" s="19" t="s">
        <v>22</v>
      </c>
      <c r="C2155" s="37">
        <v>45900</v>
      </c>
      <c r="D2155" s="31">
        <v>38621</v>
      </c>
      <c r="E2155" s="31" t="s">
        <v>1027</v>
      </c>
      <c r="F2155" s="31" t="s">
        <v>160</v>
      </c>
      <c r="H2155" s="38">
        <v>18109.689999999999</v>
      </c>
    </row>
    <row r="2156" spans="1:8" x14ac:dyDescent="0.35">
      <c r="A2156" s="19"/>
      <c r="B2156" s="19" t="s">
        <v>22</v>
      </c>
      <c r="C2156" s="37">
        <v>45900</v>
      </c>
      <c r="D2156" s="31">
        <v>38627</v>
      </c>
      <c r="E2156" s="31" t="s">
        <v>284</v>
      </c>
      <c r="F2156" s="31" t="s">
        <v>160</v>
      </c>
      <c r="H2156" s="38">
        <v>3668.16</v>
      </c>
    </row>
    <row r="2157" spans="1:8" x14ac:dyDescent="0.35">
      <c r="A2157" s="19"/>
      <c r="B2157" s="19" t="s">
        <v>22</v>
      </c>
      <c r="C2157" s="37">
        <v>45900</v>
      </c>
      <c r="D2157" s="31">
        <v>38636</v>
      </c>
      <c r="E2157" s="31" t="s">
        <v>903</v>
      </c>
      <c r="F2157" s="31" t="s">
        <v>160</v>
      </c>
      <c r="H2157" s="38">
        <v>6920</v>
      </c>
    </row>
    <row r="2158" spans="1:8" x14ac:dyDescent="0.35">
      <c r="A2158" s="19"/>
      <c r="B2158" s="19" t="s">
        <v>22</v>
      </c>
      <c r="C2158" s="37">
        <v>45900</v>
      </c>
      <c r="D2158" s="31">
        <v>38670</v>
      </c>
      <c r="E2158" s="31" t="s">
        <v>1105</v>
      </c>
      <c r="F2158" s="31" t="s">
        <v>160</v>
      </c>
      <c r="H2158" s="38">
        <v>157976</v>
      </c>
    </row>
    <row r="2159" spans="1:8" x14ac:dyDescent="0.35">
      <c r="A2159" s="19"/>
      <c r="B2159" s="19" t="s">
        <v>22</v>
      </c>
      <c r="C2159" s="37">
        <v>45900</v>
      </c>
      <c r="D2159" s="31">
        <v>38671</v>
      </c>
      <c r="E2159" s="31" t="s">
        <v>59</v>
      </c>
      <c r="F2159" s="31" t="s">
        <v>160</v>
      </c>
      <c r="H2159" s="38">
        <v>28395.789999999997</v>
      </c>
    </row>
    <row r="2160" spans="1:8" x14ac:dyDescent="0.35">
      <c r="A2160" s="19"/>
      <c r="B2160" s="19" t="s">
        <v>22</v>
      </c>
      <c r="C2160" s="37">
        <v>45900</v>
      </c>
      <c r="D2160" s="31" t="s">
        <v>1106</v>
      </c>
      <c r="E2160" s="31" t="s">
        <v>59</v>
      </c>
      <c r="F2160" s="31" t="s">
        <v>160</v>
      </c>
      <c r="H2160" s="38">
        <v>57659.76</v>
      </c>
    </row>
    <row r="2161" spans="1:8" x14ac:dyDescent="0.35">
      <c r="A2161" s="19"/>
      <c r="B2161" s="19" t="s">
        <v>22</v>
      </c>
      <c r="C2161" s="37">
        <v>45900</v>
      </c>
      <c r="D2161" s="31">
        <v>38674</v>
      </c>
      <c r="E2161" s="31" t="s">
        <v>1107</v>
      </c>
      <c r="F2161" s="31" t="s">
        <v>160</v>
      </c>
      <c r="H2161" s="38">
        <v>151</v>
      </c>
    </row>
    <row r="2162" spans="1:8" x14ac:dyDescent="0.35">
      <c r="A2162" s="19"/>
      <c r="B2162" s="19" t="s">
        <v>22</v>
      </c>
      <c r="C2162" s="37">
        <v>45900</v>
      </c>
      <c r="D2162" s="31">
        <v>38701</v>
      </c>
      <c r="E2162" s="31" t="s">
        <v>923</v>
      </c>
      <c r="F2162" s="31" t="s">
        <v>160</v>
      </c>
      <c r="H2162" s="38">
        <v>634.73</v>
      </c>
    </row>
    <row r="2163" spans="1:8" x14ac:dyDescent="0.35">
      <c r="A2163" s="19"/>
      <c r="B2163" s="19" t="s">
        <v>22</v>
      </c>
      <c r="C2163" s="37">
        <v>45900</v>
      </c>
      <c r="D2163" s="31">
        <v>38718</v>
      </c>
      <c r="E2163" s="31" t="s">
        <v>1108</v>
      </c>
      <c r="F2163" s="31" t="s">
        <v>160</v>
      </c>
      <c r="H2163" s="38">
        <v>1247.75</v>
      </c>
    </row>
    <row r="2164" spans="1:8" x14ac:dyDescent="0.35">
      <c r="A2164" s="19"/>
      <c r="B2164" s="19" t="s">
        <v>22</v>
      </c>
      <c r="C2164" s="37">
        <v>45900</v>
      </c>
      <c r="D2164" s="31">
        <v>38721</v>
      </c>
      <c r="E2164" s="31" t="s">
        <v>1109</v>
      </c>
      <c r="F2164" s="31" t="s">
        <v>160</v>
      </c>
      <c r="H2164" s="38">
        <v>200</v>
      </c>
    </row>
    <row r="2165" spans="1:8" x14ac:dyDescent="0.35">
      <c r="A2165" s="19"/>
      <c r="B2165" s="19" t="s">
        <v>22</v>
      </c>
      <c r="C2165" s="37">
        <v>45900</v>
      </c>
      <c r="D2165" s="31">
        <v>38726</v>
      </c>
      <c r="E2165" s="31" t="s">
        <v>1110</v>
      </c>
      <c r="F2165" s="31" t="s">
        <v>160</v>
      </c>
      <c r="H2165" s="38">
        <v>1800</v>
      </c>
    </row>
    <row r="2166" spans="1:8" x14ac:dyDescent="0.35">
      <c r="A2166" s="19"/>
      <c r="B2166" s="19" t="s">
        <v>22</v>
      </c>
      <c r="C2166" s="37">
        <v>45900</v>
      </c>
      <c r="D2166" s="31" t="s">
        <v>1111</v>
      </c>
      <c r="E2166" s="31" t="s">
        <v>1112</v>
      </c>
      <c r="F2166" s="31" t="s">
        <v>160</v>
      </c>
      <c r="H2166" s="38">
        <v>433.65</v>
      </c>
    </row>
    <row r="2167" spans="1:8" x14ac:dyDescent="0.35">
      <c r="A2167" s="19"/>
      <c r="B2167" s="19" t="s">
        <v>22</v>
      </c>
      <c r="C2167" s="37">
        <v>45900</v>
      </c>
      <c r="D2167" s="31">
        <v>38744</v>
      </c>
      <c r="E2167" s="31" t="s">
        <v>1113</v>
      </c>
      <c r="F2167" s="31" t="s">
        <v>160</v>
      </c>
      <c r="H2167" s="38">
        <v>1900.32</v>
      </c>
    </row>
    <row r="2168" spans="1:8" x14ac:dyDescent="0.35">
      <c r="A2168" s="19"/>
      <c r="B2168" s="19" t="s">
        <v>22</v>
      </c>
      <c r="C2168" s="37">
        <v>45900</v>
      </c>
      <c r="D2168" s="31">
        <v>38749</v>
      </c>
      <c r="E2168" s="31" t="s">
        <v>655</v>
      </c>
      <c r="F2168" s="31" t="s">
        <v>160</v>
      </c>
      <c r="H2168" s="38">
        <v>0</v>
      </c>
    </row>
    <row r="2169" spans="1:8" x14ac:dyDescent="0.35">
      <c r="A2169" s="19"/>
      <c r="B2169" s="19" t="s">
        <v>22</v>
      </c>
      <c r="C2169" s="37">
        <v>45900</v>
      </c>
      <c r="D2169" s="31">
        <v>38758</v>
      </c>
      <c r="E2169" s="31" t="s">
        <v>722</v>
      </c>
      <c r="F2169" s="31" t="s">
        <v>160</v>
      </c>
      <c r="H2169" s="38">
        <v>328.57</v>
      </c>
    </row>
    <row r="2170" spans="1:8" x14ac:dyDescent="0.35">
      <c r="A2170" s="19"/>
      <c r="B2170" s="19" t="s">
        <v>22</v>
      </c>
      <c r="C2170" s="37">
        <v>45900</v>
      </c>
      <c r="D2170" s="31">
        <v>38785</v>
      </c>
      <c r="E2170" s="31" t="s">
        <v>1114</v>
      </c>
      <c r="F2170" s="31" t="s">
        <v>160</v>
      </c>
      <c r="H2170" s="38">
        <v>2604</v>
      </c>
    </row>
    <row r="2171" spans="1:8" x14ac:dyDescent="0.35">
      <c r="A2171" s="19"/>
      <c r="B2171" s="19" t="s">
        <v>22</v>
      </c>
      <c r="C2171" s="37">
        <v>45900</v>
      </c>
      <c r="D2171" s="31">
        <v>38793</v>
      </c>
      <c r="E2171" s="31" t="s">
        <v>287</v>
      </c>
      <c r="F2171" s="31" t="s">
        <v>160</v>
      </c>
      <c r="H2171" s="38">
        <v>200</v>
      </c>
    </row>
    <row r="2172" spans="1:8" x14ac:dyDescent="0.35">
      <c r="A2172" s="19"/>
      <c r="B2172" s="19" t="s">
        <v>22</v>
      </c>
      <c r="C2172" s="37">
        <v>45900</v>
      </c>
      <c r="D2172" s="31">
        <v>38795</v>
      </c>
      <c r="E2172" s="31" t="s">
        <v>1115</v>
      </c>
      <c r="F2172" s="31" t="s">
        <v>160</v>
      </c>
      <c r="H2172" s="38">
        <v>162.78</v>
      </c>
    </row>
    <row r="2173" spans="1:8" x14ac:dyDescent="0.35">
      <c r="A2173" s="19"/>
      <c r="B2173" s="19" t="s">
        <v>22</v>
      </c>
      <c r="C2173" s="37">
        <v>45900</v>
      </c>
      <c r="D2173" s="31">
        <v>38796</v>
      </c>
      <c r="E2173" s="31" t="s">
        <v>1116</v>
      </c>
      <c r="F2173" s="31" t="s">
        <v>160</v>
      </c>
      <c r="H2173" s="38">
        <v>465</v>
      </c>
    </row>
    <row r="2174" spans="1:8" x14ac:dyDescent="0.35">
      <c r="A2174" s="19"/>
      <c r="B2174" s="19" t="s">
        <v>22</v>
      </c>
      <c r="C2174" s="37">
        <v>45900</v>
      </c>
      <c r="D2174" s="31">
        <v>38799</v>
      </c>
      <c r="E2174" s="31" t="s">
        <v>1117</v>
      </c>
      <c r="F2174" s="31" t="s">
        <v>160</v>
      </c>
      <c r="H2174" s="38">
        <v>2740</v>
      </c>
    </row>
    <row r="2175" spans="1:8" x14ac:dyDescent="0.35">
      <c r="A2175" s="19"/>
      <c r="B2175" s="19" t="s">
        <v>22</v>
      </c>
      <c r="C2175" s="37">
        <v>45900</v>
      </c>
      <c r="D2175" s="31">
        <v>38800</v>
      </c>
      <c r="E2175" s="31" t="s">
        <v>1118</v>
      </c>
      <c r="F2175" s="31" t="s">
        <v>160</v>
      </c>
      <c r="H2175" s="38">
        <v>15750</v>
      </c>
    </row>
    <row r="2176" spans="1:8" x14ac:dyDescent="0.35">
      <c r="A2176" s="19"/>
      <c r="B2176" s="19" t="s">
        <v>22</v>
      </c>
      <c r="C2176" s="37">
        <v>45900</v>
      </c>
      <c r="D2176" s="31">
        <v>38801</v>
      </c>
      <c r="E2176" s="31" t="s">
        <v>1119</v>
      </c>
      <c r="F2176" s="31" t="s">
        <v>160</v>
      </c>
      <c r="H2176" s="38">
        <v>900</v>
      </c>
    </row>
    <row r="2177" spans="1:8" x14ac:dyDescent="0.35">
      <c r="A2177" s="19"/>
      <c r="B2177" s="19" t="s">
        <v>22</v>
      </c>
      <c r="C2177" s="37">
        <v>45900</v>
      </c>
      <c r="D2177" s="31">
        <v>38803</v>
      </c>
      <c r="E2177" s="31" t="s">
        <v>1120</v>
      </c>
      <c r="F2177" s="31" t="s">
        <v>160</v>
      </c>
      <c r="H2177" s="38">
        <v>3216</v>
      </c>
    </row>
    <row r="2178" spans="1:8" x14ac:dyDescent="0.35">
      <c r="A2178" s="19"/>
      <c r="B2178" s="19" t="s">
        <v>22</v>
      </c>
      <c r="C2178" s="37">
        <v>45900</v>
      </c>
      <c r="D2178" s="31" t="s">
        <v>1121</v>
      </c>
      <c r="E2178" s="31" t="s">
        <v>1122</v>
      </c>
      <c r="F2178" s="31" t="s">
        <v>160</v>
      </c>
      <c r="H2178" s="38">
        <v>0.06</v>
      </c>
    </row>
    <row r="2179" spans="1:8" x14ac:dyDescent="0.35">
      <c r="A2179" s="19"/>
      <c r="B2179" s="19" t="s">
        <v>22</v>
      </c>
      <c r="C2179" s="37">
        <v>45900</v>
      </c>
      <c r="D2179" s="31">
        <v>38809</v>
      </c>
      <c r="E2179" s="31" t="s">
        <v>1123</v>
      </c>
      <c r="F2179" s="31" t="s">
        <v>160</v>
      </c>
      <c r="H2179" s="38">
        <v>7476.6999999999989</v>
      </c>
    </row>
    <row r="2180" spans="1:8" x14ac:dyDescent="0.35">
      <c r="A2180" s="19"/>
      <c r="B2180" s="19" t="s">
        <v>22</v>
      </c>
      <c r="C2180" s="37">
        <v>45900</v>
      </c>
      <c r="D2180" s="31">
        <v>38815</v>
      </c>
      <c r="E2180" s="31" t="s">
        <v>1124</v>
      </c>
      <c r="F2180" s="31" t="s">
        <v>160</v>
      </c>
      <c r="H2180" s="38">
        <v>1708</v>
      </c>
    </row>
    <row r="2181" spans="1:8" x14ac:dyDescent="0.35">
      <c r="A2181" s="19"/>
      <c r="B2181" s="19" t="s">
        <v>22</v>
      </c>
      <c r="C2181" s="37">
        <v>45900</v>
      </c>
      <c r="D2181" s="31">
        <v>38818</v>
      </c>
      <c r="E2181" s="31" t="s">
        <v>1125</v>
      </c>
      <c r="F2181" s="31" t="s">
        <v>160</v>
      </c>
      <c r="H2181" s="38">
        <v>775</v>
      </c>
    </row>
    <row r="2182" spans="1:8" x14ac:dyDescent="0.35">
      <c r="A2182" s="19"/>
      <c r="B2182" s="19" t="s">
        <v>22</v>
      </c>
      <c r="C2182" s="37">
        <v>45900</v>
      </c>
      <c r="D2182" s="31">
        <v>38820</v>
      </c>
      <c r="E2182" s="31" t="s">
        <v>1126</v>
      </c>
      <c r="F2182" s="31" t="s">
        <v>160</v>
      </c>
      <c r="H2182" s="38">
        <v>102500.28000000001</v>
      </c>
    </row>
    <row r="2183" spans="1:8" x14ac:dyDescent="0.35">
      <c r="A2183" s="19"/>
      <c r="B2183" s="19" t="s">
        <v>22</v>
      </c>
      <c r="C2183" s="37">
        <v>45900</v>
      </c>
      <c r="D2183" s="31" t="s">
        <v>1127</v>
      </c>
      <c r="E2183" s="31" t="s">
        <v>1126</v>
      </c>
      <c r="F2183" s="31" t="s">
        <v>160</v>
      </c>
      <c r="H2183" s="38">
        <v>0</v>
      </c>
    </row>
    <row r="2184" spans="1:8" x14ac:dyDescent="0.35">
      <c r="A2184" s="19"/>
      <c r="B2184" s="19" t="s">
        <v>22</v>
      </c>
      <c r="C2184" s="37">
        <v>45900</v>
      </c>
      <c r="D2184" s="31" t="s">
        <v>1128</v>
      </c>
      <c r="E2184" s="31" t="s">
        <v>1126</v>
      </c>
      <c r="F2184" s="31" t="s">
        <v>160</v>
      </c>
      <c r="H2184" s="38">
        <v>403.22</v>
      </c>
    </row>
    <row r="2185" spans="1:8" x14ac:dyDescent="0.35">
      <c r="A2185" s="19"/>
      <c r="B2185" s="19" t="s">
        <v>22</v>
      </c>
      <c r="C2185" s="37">
        <v>45900</v>
      </c>
      <c r="D2185" s="31">
        <v>38824</v>
      </c>
      <c r="E2185" s="31" t="s">
        <v>1129</v>
      </c>
      <c r="F2185" s="31" t="s">
        <v>160</v>
      </c>
      <c r="H2185" s="38">
        <v>687.5</v>
      </c>
    </row>
    <row r="2186" spans="1:8" x14ac:dyDescent="0.35">
      <c r="A2186" s="19"/>
      <c r="B2186" s="19" t="s">
        <v>22</v>
      </c>
      <c r="C2186" s="37">
        <v>45900</v>
      </c>
      <c r="D2186" s="31">
        <v>38835</v>
      </c>
      <c r="E2186" s="31" t="s">
        <v>1130</v>
      </c>
      <c r="F2186" s="31" t="s">
        <v>160</v>
      </c>
      <c r="H2186" s="38">
        <v>1756.69</v>
      </c>
    </row>
    <row r="2187" spans="1:8" x14ac:dyDescent="0.35">
      <c r="A2187" s="19"/>
      <c r="B2187" s="19" t="s">
        <v>22</v>
      </c>
      <c r="C2187" s="37">
        <v>45900</v>
      </c>
      <c r="D2187" s="31">
        <v>38842</v>
      </c>
      <c r="E2187" s="31" t="s">
        <v>1131</v>
      </c>
      <c r="F2187" s="31" t="s">
        <v>160</v>
      </c>
      <c r="H2187" s="38">
        <v>58630</v>
      </c>
    </row>
    <row r="2188" spans="1:8" x14ac:dyDescent="0.35">
      <c r="A2188" s="19"/>
      <c r="B2188" s="19" t="s">
        <v>22</v>
      </c>
      <c r="C2188" s="37">
        <v>45900</v>
      </c>
      <c r="D2188" s="31">
        <v>38843</v>
      </c>
      <c r="E2188" s="31" t="s">
        <v>918</v>
      </c>
      <c r="F2188" s="31" t="s">
        <v>160</v>
      </c>
      <c r="H2188" s="38">
        <v>625</v>
      </c>
    </row>
    <row r="2189" spans="1:8" x14ac:dyDescent="0.35">
      <c r="A2189" s="19"/>
      <c r="B2189" s="19" t="s">
        <v>22</v>
      </c>
      <c r="C2189" s="37">
        <v>45900</v>
      </c>
      <c r="D2189" s="31">
        <v>38849</v>
      </c>
      <c r="E2189" s="31" t="s">
        <v>1132</v>
      </c>
      <c r="F2189" s="31" t="s">
        <v>160</v>
      </c>
      <c r="H2189" s="38">
        <v>33300</v>
      </c>
    </row>
    <row r="2190" spans="1:8" x14ac:dyDescent="0.35">
      <c r="A2190" s="19"/>
      <c r="B2190" s="19" t="s">
        <v>22</v>
      </c>
      <c r="C2190" s="37">
        <v>45900</v>
      </c>
      <c r="D2190" s="31">
        <v>38853</v>
      </c>
      <c r="E2190" s="31" t="s">
        <v>1133</v>
      </c>
      <c r="F2190" s="31" t="s">
        <v>160</v>
      </c>
      <c r="H2190" s="38">
        <v>1209.6099999999999</v>
      </c>
    </row>
    <row r="2191" spans="1:8" x14ac:dyDescent="0.35">
      <c r="A2191" s="19"/>
      <c r="B2191" s="19" t="s">
        <v>22</v>
      </c>
      <c r="C2191" s="37">
        <v>45900</v>
      </c>
      <c r="D2191" s="31">
        <v>38854</v>
      </c>
      <c r="E2191" s="31" t="s">
        <v>1134</v>
      </c>
      <c r="F2191" s="31" t="s">
        <v>160</v>
      </c>
      <c r="H2191" s="38">
        <v>31500</v>
      </c>
    </row>
    <row r="2192" spans="1:8" x14ac:dyDescent="0.35">
      <c r="A2192" s="19"/>
      <c r="B2192" s="19" t="s">
        <v>22</v>
      </c>
      <c r="C2192" s="37">
        <v>45900</v>
      </c>
      <c r="D2192" s="31">
        <v>38855</v>
      </c>
      <c r="E2192" s="31" t="s">
        <v>1135</v>
      </c>
      <c r="F2192" s="31" t="s">
        <v>160</v>
      </c>
      <c r="H2192" s="38">
        <v>15800</v>
      </c>
    </row>
    <row r="2193" spans="1:8" x14ac:dyDescent="0.35">
      <c r="A2193" s="19"/>
      <c r="B2193" s="19" t="s">
        <v>22</v>
      </c>
      <c r="C2193" s="37">
        <v>45900</v>
      </c>
      <c r="D2193" s="31">
        <v>38856</v>
      </c>
      <c r="E2193" s="31" t="s">
        <v>1136</v>
      </c>
      <c r="F2193" s="31" t="s">
        <v>160</v>
      </c>
      <c r="H2193" s="38">
        <v>900</v>
      </c>
    </row>
    <row r="2194" spans="1:8" x14ac:dyDescent="0.35">
      <c r="A2194" s="19"/>
      <c r="B2194" s="19" t="s">
        <v>22</v>
      </c>
      <c r="C2194" s="37">
        <v>45900</v>
      </c>
      <c r="D2194" s="31">
        <v>38865</v>
      </c>
      <c r="E2194" s="31" t="s">
        <v>1137</v>
      </c>
      <c r="F2194" s="31" t="s">
        <v>160</v>
      </c>
      <c r="H2194" s="38">
        <v>350</v>
      </c>
    </row>
    <row r="2195" spans="1:8" x14ac:dyDescent="0.35">
      <c r="A2195" s="19"/>
      <c r="B2195" s="19" t="s">
        <v>22</v>
      </c>
      <c r="C2195" s="37">
        <v>45900</v>
      </c>
      <c r="D2195" s="31">
        <v>38867</v>
      </c>
      <c r="E2195" s="31" t="s">
        <v>1138</v>
      </c>
      <c r="F2195" s="31" t="s">
        <v>160</v>
      </c>
      <c r="H2195" s="38">
        <v>413.1</v>
      </c>
    </row>
    <row r="2196" spans="1:8" x14ac:dyDescent="0.35">
      <c r="A2196" s="19"/>
      <c r="B2196" s="19" t="s">
        <v>22</v>
      </c>
      <c r="C2196" s="37">
        <v>45900</v>
      </c>
      <c r="D2196" s="31">
        <v>38868</v>
      </c>
      <c r="E2196" s="31" t="s">
        <v>1139</v>
      </c>
      <c r="F2196" s="31" t="s">
        <v>160</v>
      </c>
      <c r="H2196" s="38">
        <v>2306.2399999999998</v>
      </c>
    </row>
    <row r="2197" spans="1:8" x14ac:dyDescent="0.35">
      <c r="A2197" s="19"/>
      <c r="B2197" s="19" t="s">
        <v>22</v>
      </c>
      <c r="C2197" s="37">
        <v>45900</v>
      </c>
      <c r="D2197" s="31">
        <v>38871</v>
      </c>
      <c r="E2197" s="31" t="s">
        <v>921</v>
      </c>
      <c r="F2197" s="31" t="s">
        <v>160</v>
      </c>
      <c r="H2197" s="38">
        <v>4169.7</v>
      </c>
    </row>
    <row r="2198" spans="1:8" x14ac:dyDescent="0.35">
      <c r="A2198" s="19"/>
      <c r="B2198" s="19" t="s">
        <v>22</v>
      </c>
      <c r="C2198" s="37">
        <v>45900</v>
      </c>
      <c r="D2198" s="31">
        <v>38873</v>
      </c>
      <c r="E2198" s="31" t="s">
        <v>1125</v>
      </c>
      <c r="F2198" s="31" t="s">
        <v>160</v>
      </c>
      <c r="H2198" s="38">
        <v>759.24</v>
      </c>
    </row>
    <row r="2199" spans="1:8" x14ac:dyDescent="0.35">
      <c r="A2199" s="19"/>
      <c r="B2199" s="19" t="s">
        <v>22</v>
      </c>
      <c r="C2199" s="37">
        <v>45900</v>
      </c>
      <c r="D2199" s="31">
        <v>38880</v>
      </c>
      <c r="E2199" s="31" t="s">
        <v>1140</v>
      </c>
      <c r="F2199" s="31" t="s">
        <v>160</v>
      </c>
      <c r="H2199" s="38">
        <v>1234.24</v>
      </c>
    </row>
    <row r="2200" spans="1:8" x14ac:dyDescent="0.35">
      <c r="A2200" s="19"/>
      <c r="B2200" s="19" t="s">
        <v>22</v>
      </c>
      <c r="C2200" s="37">
        <v>45900</v>
      </c>
      <c r="D2200" s="31">
        <v>38884</v>
      </c>
      <c r="E2200" s="31" t="s">
        <v>1136</v>
      </c>
      <c r="F2200" s="31" t="s">
        <v>160</v>
      </c>
      <c r="H2200" s="38">
        <v>450</v>
      </c>
    </row>
    <row r="2201" spans="1:8" x14ac:dyDescent="0.35">
      <c r="A2201" s="19"/>
      <c r="B2201" s="19" t="s">
        <v>22</v>
      </c>
      <c r="C2201" s="37">
        <v>45900</v>
      </c>
      <c r="D2201" s="31">
        <v>38904</v>
      </c>
      <c r="E2201" s="31" t="s">
        <v>1141</v>
      </c>
      <c r="F2201" s="31" t="s">
        <v>160</v>
      </c>
      <c r="H2201" s="38">
        <v>1247.75</v>
      </c>
    </row>
    <row r="2202" spans="1:8" x14ac:dyDescent="0.35">
      <c r="A2202" s="19"/>
      <c r="B2202" s="19" t="s">
        <v>22</v>
      </c>
      <c r="C2202" s="37">
        <v>45900</v>
      </c>
      <c r="D2202" s="31">
        <v>38909</v>
      </c>
      <c r="E2202" s="31" t="s">
        <v>1142</v>
      </c>
      <c r="F2202" s="31" t="s">
        <v>160</v>
      </c>
      <c r="H2202" s="38">
        <v>10907.779999999999</v>
      </c>
    </row>
    <row r="2203" spans="1:8" x14ac:dyDescent="0.35">
      <c r="A2203" s="19"/>
      <c r="B2203" s="19" t="s">
        <v>22</v>
      </c>
      <c r="C2203" s="37">
        <v>45900</v>
      </c>
      <c r="D2203" s="31">
        <v>38911</v>
      </c>
      <c r="E2203" s="31" t="s">
        <v>1143</v>
      </c>
      <c r="F2203" s="31" t="s">
        <v>160</v>
      </c>
      <c r="H2203" s="38">
        <v>880</v>
      </c>
    </row>
    <row r="2204" spans="1:8" x14ac:dyDescent="0.35">
      <c r="A2204" s="19"/>
      <c r="B2204" s="19" t="s">
        <v>22</v>
      </c>
      <c r="C2204" s="37">
        <v>45900</v>
      </c>
      <c r="D2204" s="31">
        <v>38912</v>
      </c>
      <c r="E2204" s="31" t="s">
        <v>1144</v>
      </c>
      <c r="F2204" s="31" t="s">
        <v>160</v>
      </c>
      <c r="H2204" s="38">
        <v>23482</v>
      </c>
    </row>
    <row r="2205" spans="1:8" x14ac:dyDescent="0.35">
      <c r="A2205" s="19"/>
      <c r="B2205" s="19" t="s">
        <v>22</v>
      </c>
      <c r="C2205" s="37">
        <v>45900</v>
      </c>
      <c r="D2205" s="31">
        <v>38913</v>
      </c>
      <c r="E2205" s="31" t="s">
        <v>1145</v>
      </c>
      <c r="F2205" s="31" t="s">
        <v>160</v>
      </c>
      <c r="H2205" s="38">
        <v>200</v>
      </c>
    </row>
    <row r="2206" spans="1:8" x14ac:dyDescent="0.35">
      <c r="A2206" s="19"/>
      <c r="B2206" s="19" t="s">
        <v>22</v>
      </c>
      <c r="C2206" s="37">
        <v>45900</v>
      </c>
      <c r="D2206" s="31">
        <v>38915</v>
      </c>
      <c r="E2206" s="31" t="s">
        <v>1146</v>
      </c>
      <c r="F2206" s="31" t="s">
        <v>160</v>
      </c>
      <c r="H2206" s="38">
        <v>177.19</v>
      </c>
    </row>
    <row r="2207" spans="1:8" x14ac:dyDescent="0.35">
      <c r="A2207" s="19"/>
      <c r="B2207" s="19" t="s">
        <v>22</v>
      </c>
      <c r="C2207" s="37">
        <v>45900</v>
      </c>
      <c r="D2207" s="31">
        <v>38916</v>
      </c>
      <c r="E2207" s="31" t="s">
        <v>1147</v>
      </c>
      <c r="F2207" s="31" t="s">
        <v>160</v>
      </c>
      <c r="H2207" s="38">
        <v>108.5</v>
      </c>
    </row>
    <row r="2208" spans="1:8" x14ac:dyDescent="0.35">
      <c r="A2208" s="19"/>
      <c r="B2208" s="19" t="s">
        <v>22</v>
      </c>
      <c r="C2208" s="37">
        <v>45900</v>
      </c>
      <c r="D2208" s="31">
        <v>38921</v>
      </c>
      <c r="E2208" s="31" t="s">
        <v>1148</v>
      </c>
      <c r="F2208" s="31" t="s">
        <v>160</v>
      </c>
      <c r="H2208" s="38">
        <v>54.25</v>
      </c>
    </row>
    <row r="2209" spans="1:8" x14ac:dyDescent="0.35">
      <c r="A2209" s="19"/>
      <c r="B2209" s="19" t="s">
        <v>22</v>
      </c>
      <c r="C2209" s="37">
        <v>45900</v>
      </c>
      <c r="D2209" s="31">
        <v>38942</v>
      </c>
      <c r="E2209" s="31" t="s">
        <v>1149</v>
      </c>
      <c r="F2209" s="31" t="s">
        <v>160</v>
      </c>
      <c r="H2209" s="38">
        <v>462.5</v>
      </c>
    </row>
    <row r="2210" spans="1:8" x14ac:dyDescent="0.35">
      <c r="A2210" s="19"/>
      <c r="B2210" s="19" t="s">
        <v>22</v>
      </c>
      <c r="C2210" s="37">
        <v>45900</v>
      </c>
      <c r="D2210" s="31">
        <v>38946</v>
      </c>
      <c r="E2210" s="31" t="s">
        <v>1150</v>
      </c>
      <c r="F2210" s="31" t="s">
        <v>160</v>
      </c>
      <c r="H2210" s="38">
        <v>2800</v>
      </c>
    </row>
    <row r="2211" spans="1:8" x14ac:dyDescent="0.35">
      <c r="A2211" s="19"/>
      <c r="B2211" s="19" t="s">
        <v>22</v>
      </c>
      <c r="C2211" s="37">
        <v>45900</v>
      </c>
      <c r="D2211" s="31">
        <v>38957</v>
      </c>
      <c r="E2211" s="31" t="s">
        <v>1151</v>
      </c>
      <c r="F2211" s="31" t="s">
        <v>160</v>
      </c>
      <c r="H2211" s="38">
        <v>569.63</v>
      </c>
    </row>
    <row r="2212" spans="1:8" x14ac:dyDescent="0.35">
      <c r="A2212" s="19"/>
      <c r="B2212" s="19" t="s">
        <v>22</v>
      </c>
      <c r="C2212" s="37">
        <v>45900</v>
      </c>
      <c r="D2212" s="31">
        <v>38962</v>
      </c>
      <c r="E2212" s="31" t="s">
        <v>1152</v>
      </c>
      <c r="F2212" s="31" t="s">
        <v>160</v>
      </c>
      <c r="H2212" s="38">
        <v>92.4</v>
      </c>
    </row>
    <row r="2213" spans="1:8" x14ac:dyDescent="0.35">
      <c r="A2213" s="19"/>
      <c r="B2213" s="19" t="s">
        <v>22</v>
      </c>
      <c r="C2213" s="37">
        <v>45900</v>
      </c>
      <c r="D2213" s="31">
        <v>38963</v>
      </c>
      <c r="E2213" s="31" t="s">
        <v>1153</v>
      </c>
      <c r="F2213" s="31" t="s">
        <v>160</v>
      </c>
      <c r="H2213" s="38">
        <v>103.27</v>
      </c>
    </row>
    <row r="2214" spans="1:8" x14ac:dyDescent="0.35">
      <c r="A2214" s="19"/>
      <c r="B2214" s="19" t="s">
        <v>22</v>
      </c>
      <c r="C2214" s="37">
        <v>45900</v>
      </c>
      <c r="D2214" s="31">
        <v>38965</v>
      </c>
      <c r="E2214" s="31" t="s">
        <v>1154</v>
      </c>
      <c r="F2214" s="31" t="s">
        <v>160</v>
      </c>
      <c r="H2214" s="38">
        <v>350</v>
      </c>
    </row>
    <row r="2215" spans="1:8" x14ac:dyDescent="0.35">
      <c r="A2215" s="19"/>
      <c r="B2215" s="19" t="s">
        <v>22</v>
      </c>
      <c r="C2215" s="37">
        <v>45900</v>
      </c>
      <c r="D2215" s="31">
        <v>38974</v>
      </c>
      <c r="E2215" s="31" t="s">
        <v>1155</v>
      </c>
      <c r="F2215" s="31" t="s">
        <v>160</v>
      </c>
      <c r="H2215" s="38">
        <v>450</v>
      </c>
    </row>
    <row r="2216" spans="1:8" x14ac:dyDescent="0.35">
      <c r="A2216" s="19"/>
      <c r="B2216" s="19" t="s">
        <v>22</v>
      </c>
      <c r="C2216" s="37">
        <v>45900</v>
      </c>
      <c r="D2216" s="31">
        <v>38984</v>
      </c>
      <c r="E2216" s="31" t="s">
        <v>1156</v>
      </c>
      <c r="F2216" s="31" t="s">
        <v>160</v>
      </c>
      <c r="H2216" s="38">
        <v>1984</v>
      </c>
    </row>
    <row r="2217" spans="1:8" x14ac:dyDescent="0.35">
      <c r="A2217" s="19"/>
      <c r="B2217" s="19" t="s">
        <v>22</v>
      </c>
      <c r="C2217" s="37">
        <v>45900</v>
      </c>
      <c r="D2217" s="31">
        <v>38985</v>
      </c>
      <c r="E2217" s="31" t="s">
        <v>1157</v>
      </c>
      <c r="F2217" s="31" t="s">
        <v>160</v>
      </c>
      <c r="H2217" s="38">
        <v>2248</v>
      </c>
    </row>
    <row r="2218" spans="1:8" x14ac:dyDescent="0.35">
      <c r="A2218" s="19"/>
      <c r="B2218" s="19" t="s">
        <v>22</v>
      </c>
      <c r="C2218" s="37">
        <v>45900</v>
      </c>
      <c r="D2218" s="31">
        <v>38992</v>
      </c>
      <c r="E2218" s="31" t="s">
        <v>1158</v>
      </c>
      <c r="F2218" s="31" t="s">
        <v>160</v>
      </c>
      <c r="H2218" s="38">
        <v>14079.71</v>
      </c>
    </row>
    <row r="2219" spans="1:8" x14ac:dyDescent="0.35">
      <c r="A2219" s="19"/>
      <c r="B2219" s="19" t="s">
        <v>22</v>
      </c>
      <c r="C2219" s="37">
        <v>45900</v>
      </c>
      <c r="D2219" s="31">
        <v>38997</v>
      </c>
      <c r="E2219" s="31" t="s">
        <v>128</v>
      </c>
      <c r="F2219" s="31" t="s">
        <v>160</v>
      </c>
      <c r="H2219" s="38">
        <v>15560</v>
      </c>
    </row>
    <row r="2220" spans="1:8" x14ac:dyDescent="0.35">
      <c r="A2220" s="19"/>
      <c r="B2220" s="19" t="s">
        <v>22</v>
      </c>
      <c r="C2220" s="37">
        <v>45900</v>
      </c>
      <c r="D2220" s="31">
        <v>38998</v>
      </c>
      <c r="E2220" s="31" t="s">
        <v>1159</v>
      </c>
      <c r="F2220" s="31" t="s">
        <v>160</v>
      </c>
      <c r="H2220" s="38">
        <v>697.5</v>
      </c>
    </row>
    <row r="2221" spans="1:8" x14ac:dyDescent="0.35">
      <c r="A2221" s="19"/>
      <c r="B2221" s="19" t="s">
        <v>22</v>
      </c>
      <c r="C2221" s="37">
        <v>45900</v>
      </c>
      <c r="D2221" s="31">
        <v>39003</v>
      </c>
      <c r="E2221" s="31" t="s">
        <v>1160</v>
      </c>
      <c r="F2221" s="31" t="s">
        <v>160</v>
      </c>
      <c r="H2221" s="38">
        <v>11883.55</v>
      </c>
    </row>
    <row r="2222" spans="1:8" x14ac:dyDescent="0.35">
      <c r="A2222" s="19"/>
      <c r="B2222" s="19" t="s">
        <v>22</v>
      </c>
      <c r="C2222" s="37">
        <v>45900</v>
      </c>
      <c r="D2222" s="31">
        <v>39009</v>
      </c>
      <c r="E2222" s="31" t="s">
        <v>1159</v>
      </c>
      <c r="F2222" s="31" t="s">
        <v>160</v>
      </c>
      <c r="H2222" s="38">
        <v>4500</v>
      </c>
    </row>
    <row r="2223" spans="1:8" x14ac:dyDescent="0.35">
      <c r="A2223" s="19"/>
      <c r="B2223" s="19" t="s">
        <v>22</v>
      </c>
      <c r="C2223" s="37">
        <v>45900</v>
      </c>
      <c r="D2223" s="31">
        <v>39063</v>
      </c>
      <c r="E2223" s="31" t="s">
        <v>1161</v>
      </c>
      <c r="F2223" s="31" t="s">
        <v>160</v>
      </c>
      <c r="H2223" s="38">
        <v>4464</v>
      </c>
    </row>
    <row r="2224" spans="1:8" x14ac:dyDescent="0.35">
      <c r="A2224" s="19"/>
      <c r="B2224" s="19" t="s">
        <v>22</v>
      </c>
      <c r="C2224" s="37">
        <v>45900</v>
      </c>
      <c r="D2224" s="31">
        <v>39073</v>
      </c>
      <c r="E2224" s="31" t="s">
        <v>1135</v>
      </c>
      <c r="F2224" s="31" t="s">
        <v>160</v>
      </c>
      <c r="H2224" s="38">
        <v>13200</v>
      </c>
    </row>
    <row r="2225" spans="1:8" x14ac:dyDescent="0.35">
      <c r="A2225" s="19"/>
      <c r="B2225" s="19" t="s">
        <v>22</v>
      </c>
      <c r="C2225" s="37">
        <v>45900</v>
      </c>
      <c r="D2225" s="31">
        <v>39074</v>
      </c>
      <c r="E2225" s="31" t="s">
        <v>1135</v>
      </c>
      <c r="F2225" s="31" t="s">
        <v>160</v>
      </c>
      <c r="H2225" s="38">
        <v>10200</v>
      </c>
    </row>
    <row r="2226" spans="1:8" x14ac:dyDescent="0.35">
      <c r="A2226" s="19"/>
      <c r="B2226" s="19" t="s">
        <v>22</v>
      </c>
      <c r="C2226" s="37">
        <v>45900</v>
      </c>
      <c r="D2226" s="31">
        <v>39084</v>
      </c>
      <c r="E2226" s="31" t="s">
        <v>1027</v>
      </c>
      <c r="F2226" s="31" t="s">
        <v>160</v>
      </c>
      <c r="H2226" s="38">
        <v>12023.44</v>
      </c>
    </row>
    <row r="2227" spans="1:8" x14ac:dyDescent="0.35">
      <c r="A2227" s="19"/>
      <c r="B2227" s="19" t="s">
        <v>22</v>
      </c>
      <c r="C2227" s="37">
        <v>45900</v>
      </c>
      <c r="D2227" s="31">
        <v>39086</v>
      </c>
      <c r="E2227" s="31" t="s">
        <v>50</v>
      </c>
      <c r="F2227" s="31" t="s">
        <v>160</v>
      </c>
      <c r="H2227" s="38">
        <v>0</v>
      </c>
    </row>
    <row r="2228" spans="1:8" x14ac:dyDescent="0.35">
      <c r="A2228" s="19"/>
      <c r="B2228" s="19" t="s">
        <v>22</v>
      </c>
      <c r="C2228" s="37">
        <v>45900</v>
      </c>
      <c r="D2228" s="31" t="s">
        <v>1162</v>
      </c>
      <c r="E2228" s="31" t="s">
        <v>50</v>
      </c>
      <c r="F2228" s="31" t="s">
        <v>160</v>
      </c>
      <c r="H2228" s="38">
        <v>0</v>
      </c>
    </row>
    <row r="2229" spans="1:8" x14ac:dyDescent="0.35">
      <c r="A2229" s="19"/>
      <c r="B2229" s="19" t="s">
        <v>22</v>
      </c>
      <c r="C2229" s="37">
        <v>45900</v>
      </c>
      <c r="D2229" s="31">
        <v>39088</v>
      </c>
      <c r="E2229" s="31" t="s">
        <v>1163</v>
      </c>
      <c r="F2229" s="31" t="s">
        <v>160</v>
      </c>
      <c r="H2229" s="38">
        <v>6417</v>
      </c>
    </row>
    <row r="2230" spans="1:8" x14ac:dyDescent="0.35">
      <c r="A2230" s="19"/>
      <c r="B2230" s="19" t="s">
        <v>22</v>
      </c>
      <c r="C2230" s="37">
        <v>45900</v>
      </c>
      <c r="D2230" s="31">
        <v>39089</v>
      </c>
      <c r="E2230" s="31" t="s">
        <v>921</v>
      </c>
      <c r="F2230" s="31" t="s">
        <v>160</v>
      </c>
      <c r="H2230" s="38">
        <v>355.95</v>
      </c>
    </row>
    <row r="2231" spans="1:8" x14ac:dyDescent="0.35">
      <c r="A2231" s="19"/>
      <c r="B2231" s="19" t="s">
        <v>22</v>
      </c>
      <c r="C2231" s="37">
        <v>45900</v>
      </c>
      <c r="D2231" s="31">
        <v>39091</v>
      </c>
      <c r="E2231" s="31" t="s">
        <v>132</v>
      </c>
      <c r="F2231" s="31" t="s">
        <v>160</v>
      </c>
      <c r="H2231" s="38">
        <v>44.55</v>
      </c>
    </row>
    <row r="2232" spans="1:8" x14ac:dyDescent="0.35">
      <c r="A2232" s="19"/>
      <c r="B2232" s="19" t="s">
        <v>22</v>
      </c>
      <c r="C2232" s="37">
        <v>45900</v>
      </c>
      <c r="D2232" s="31">
        <v>39092</v>
      </c>
      <c r="E2232" s="31" t="s">
        <v>787</v>
      </c>
      <c r="F2232" s="31" t="s">
        <v>160</v>
      </c>
      <c r="H2232" s="38">
        <v>29496.36</v>
      </c>
    </row>
    <row r="2233" spans="1:8" x14ac:dyDescent="0.35">
      <c r="A2233" s="19"/>
      <c r="B2233" s="19" t="s">
        <v>22</v>
      </c>
      <c r="C2233" s="37">
        <v>45900</v>
      </c>
      <c r="D2233" s="31">
        <v>39093</v>
      </c>
      <c r="E2233" s="31" t="s">
        <v>238</v>
      </c>
      <c r="F2233" s="31" t="s">
        <v>160</v>
      </c>
      <c r="H2233" s="38">
        <v>1050.5</v>
      </c>
    </row>
    <row r="2234" spans="1:8" x14ac:dyDescent="0.35">
      <c r="A2234" s="19"/>
      <c r="B2234" s="19" t="s">
        <v>22</v>
      </c>
      <c r="C2234" s="37">
        <v>45900</v>
      </c>
      <c r="D2234" s="31">
        <v>39094</v>
      </c>
      <c r="E2234" s="31" t="s">
        <v>52</v>
      </c>
      <c r="F2234" s="31" t="s">
        <v>160</v>
      </c>
      <c r="H2234" s="38">
        <v>7871.44</v>
      </c>
    </row>
    <row r="2235" spans="1:8" x14ac:dyDescent="0.35">
      <c r="A2235" s="19"/>
      <c r="B2235" s="19" t="s">
        <v>22</v>
      </c>
      <c r="C2235" s="37">
        <v>45900</v>
      </c>
      <c r="D2235" s="31">
        <v>39095</v>
      </c>
      <c r="E2235" s="31" t="s">
        <v>635</v>
      </c>
      <c r="F2235" s="31" t="s">
        <v>160</v>
      </c>
      <c r="H2235" s="38">
        <v>458.63</v>
      </c>
    </row>
    <row r="2236" spans="1:8" x14ac:dyDescent="0.35">
      <c r="A2236" s="19"/>
      <c r="B2236" s="19" t="s">
        <v>22</v>
      </c>
      <c r="C2236" s="37">
        <v>45900</v>
      </c>
      <c r="D2236" s="31">
        <v>39096</v>
      </c>
      <c r="E2236" s="31" t="s">
        <v>570</v>
      </c>
      <c r="F2236" s="31" t="s">
        <v>160</v>
      </c>
      <c r="H2236" s="38">
        <v>2244.7600000000002</v>
      </c>
    </row>
    <row r="2237" spans="1:8" x14ac:dyDescent="0.35">
      <c r="A2237" s="19"/>
      <c r="B2237" s="19" t="s">
        <v>22</v>
      </c>
      <c r="C2237" s="37">
        <v>45900</v>
      </c>
      <c r="D2237" s="31">
        <v>39097</v>
      </c>
      <c r="E2237" s="31" t="s">
        <v>1164</v>
      </c>
      <c r="F2237" s="31" t="s">
        <v>160</v>
      </c>
      <c r="H2237" s="38">
        <v>12.82</v>
      </c>
    </row>
    <row r="2238" spans="1:8" x14ac:dyDescent="0.35">
      <c r="A2238" s="19"/>
      <c r="B2238" s="19" t="s">
        <v>22</v>
      </c>
      <c r="C2238" s="37">
        <v>45900</v>
      </c>
      <c r="D2238" s="31">
        <v>39098</v>
      </c>
      <c r="E2238" s="31" t="s">
        <v>57</v>
      </c>
      <c r="F2238" s="31" t="s">
        <v>160</v>
      </c>
      <c r="H2238" s="38">
        <v>6125.19</v>
      </c>
    </row>
    <row r="2239" spans="1:8" x14ac:dyDescent="0.35">
      <c r="A2239" s="19"/>
      <c r="B2239" s="19" t="s">
        <v>22</v>
      </c>
      <c r="C2239" s="37">
        <v>45900</v>
      </c>
      <c r="D2239" s="31">
        <v>39099</v>
      </c>
      <c r="E2239" s="31" t="s">
        <v>715</v>
      </c>
      <c r="F2239" s="31" t="s">
        <v>160</v>
      </c>
      <c r="H2239" s="38">
        <v>8009.75</v>
      </c>
    </row>
    <row r="2240" spans="1:8" x14ac:dyDescent="0.35">
      <c r="A2240" s="19"/>
      <c r="B2240" s="19" t="s">
        <v>22</v>
      </c>
      <c r="C2240" s="37">
        <v>45900</v>
      </c>
      <c r="D2240" s="31">
        <v>39100</v>
      </c>
      <c r="E2240" s="31" t="s">
        <v>1165</v>
      </c>
      <c r="F2240" s="31" t="s">
        <v>160</v>
      </c>
      <c r="H2240" s="38">
        <v>613.85</v>
      </c>
    </row>
    <row r="2241" spans="1:8" x14ac:dyDescent="0.35">
      <c r="A2241" s="19"/>
      <c r="B2241" s="19" t="s">
        <v>22</v>
      </c>
      <c r="C2241" s="37">
        <v>45900</v>
      </c>
      <c r="D2241" s="31">
        <v>39101</v>
      </c>
      <c r="E2241" s="31" t="s">
        <v>1146</v>
      </c>
      <c r="F2241" s="31" t="s">
        <v>160</v>
      </c>
      <c r="H2241" s="38">
        <v>18.72</v>
      </c>
    </row>
    <row r="2242" spans="1:8" x14ac:dyDescent="0.35">
      <c r="A2242" s="19"/>
      <c r="B2242" s="19" t="s">
        <v>22</v>
      </c>
      <c r="C2242" s="37">
        <v>45900</v>
      </c>
      <c r="D2242" s="31">
        <v>39102</v>
      </c>
      <c r="E2242" s="31" t="s">
        <v>1166</v>
      </c>
      <c r="F2242" s="31" t="s">
        <v>160</v>
      </c>
      <c r="H2242" s="38">
        <v>4326.6000000000004</v>
      </c>
    </row>
    <row r="2243" spans="1:8" x14ac:dyDescent="0.35">
      <c r="A2243" s="19"/>
      <c r="B2243" s="19" t="s">
        <v>22</v>
      </c>
      <c r="C2243" s="37">
        <v>45900</v>
      </c>
      <c r="D2243" s="31">
        <v>39103</v>
      </c>
      <c r="E2243" s="31" t="s">
        <v>1140</v>
      </c>
      <c r="F2243" s="31" t="s">
        <v>160</v>
      </c>
      <c r="H2243" s="38">
        <v>9360</v>
      </c>
    </row>
    <row r="2244" spans="1:8" x14ac:dyDescent="0.35">
      <c r="A2244" s="19"/>
      <c r="B2244" s="19" t="s">
        <v>22</v>
      </c>
      <c r="C2244" s="37">
        <v>45900</v>
      </c>
      <c r="D2244" s="31">
        <v>39104</v>
      </c>
      <c r="E2244" s="31" t="s">
        <v>248</v>
      </c>
      <c r="F2244" s="31" t="s">
        <v>160</v>
      </c>
      <c r="H2244" s="38">
        <v>1254.52</v>
      </c>
    </row>
    <row r="2245" spans="1:8" x14ac:dyDescent="0.35">
      <c r="A2245" s="19"/>
      <c r="B2245" s="19" t="s">
        <v>22</v>
      </c>
      <c r="C2245" s="37">
        <v>45900</v>
      </c>
      <c r="D2245" s="31">
        <v>39105</v>
      </c>
      <c r="E2245" s="31" t="s">
        <v>1123</v>
      </c>
      <c r="F2245" s="31" t="s">
        <v>160</v>
      </c>
      <c r="H2245" s="38">
        <v>1125.1500000000001</v>
      </c>
    </row>
    <row r="2246" spans="1:8" x14ac:dyDescent="0.35">
      <c r="A2246" s="19"/>
      <c r="B2246" s="19" t="s">
        <v>22</v>
      </c>
      <c r="C2246" s="37">
        <v>45900</v>
      </c>
      <c r="D2246" s="31">
        <v>39106</v>
      </c>
      <c r="E2246" s="31" t="s">
        <v>1167</v>
      </c>
      <c r="F2246" s="31" t="s">
        <v>160</v>
      </c>
      <c r="H2246" s="38">
        <v>93.11</v>
      </c>
    </row>
    <row r="2247" spans="1:8" x14ac:dyDescent="0.35">
      <c r="A2247" s="19"/>
      <c r="B2247" s="19" t="s">
        <v>22</v>
      </c>
      <c r="C2247" s="37">
        <v>45900</v>
      </c>
      <c r="D2247" s="31">
        <v>39107</v>
      </c>
      <c r="E2247" s="31" t="s">
        <v>464</v>
      </c>
      <c r="F2247" s="31" t="s">
        <v>160</v>
      </c>
      <c r="H2247" s="38">
        <v>117734.84</v>
      </c>
    </row>
    <row r="2248" spans="1:8" x14ac:dyDescent="0.35">
      <c r="A2248" s="19"/>
      <c r="B2248" s="19" t="s">
        <v>22</v>
      </c>
      <c r="C2248" s="37">
        <v>45900</v>
      </c>
      <c r="D2248" s="31">
        <v>39108</v>
      </c>
      <c r="E2248" s="31" t="s">
        <v>970</v>
      </c>
      <c r="F2248" s="31" t="s">
        <v>160</v>
      </c>
      <c r="H2248" s="38">
        <v>29470.66</v>
      </c>
    </row>
    <row r="2249" spans="1:8" x14ac:dyDescent="0.35">
      <c r="A2249" s="19"/>
      <c r="B2249" s="19" t="s">
        <v>22</v>
      </c>
      <c r="C2249" s="37">
        <v>45900</v>
      </c>
      <c r="D2249" s="31">
        <v>39109</v>
      </c>
      <c r="E2249" s="31" t="s">
        <v>171</v>
      </c>
      <c r="F2249" s="31" t="s">
        <v>160</v>
      </c>
      <c r="H2249" s="38">
        <v>5470.79</v>
      </c>
    </row>
    <row r="2250" spans="1:8" x14ac:dyDescent="0.35">
      <c r="A2250" s="19"/>
      <c r="B2250" s="19" t="s">
        <v>22</v>
      </c>
      <c r="C2250" s="37">
        <v>45900</v>
      </c>
      <c r="D2250" s="31">
        <v>39110</v>
      </c>
      <c r="E2250" s="31" t="s">
        <v>1168</v>
      </c>
      <c r="F2250" s="31" t="s">
        <v>160</v>
      </c>
      <c r="H2250" s="38">
        <v>359.32</v>
      </c>
    </row>
    <row r="2251" spans="1:8" x14ac:dyDescent="0.35">
      <c r="A2251" s="19"/>
      <c r="B2251" s="19" t="s">
        <v>22</v>
      </c>
      <c r="C2251" s="37">
        <v>45900</v>
      </c>
      <c r="D2251" s="31">
        <v>39111</v>
      </c>
      <c r="E2251" s="31" t="s">
        <v>148</v>
      </c>
      <c r="F2251" s="31" t="s">
        <v>160</v>
      </c>
      <c r="H2251" s="38">
        <v>44417.43</v>
      </c>
    </row>
    <row r="2252" spans="1:8" x14ac:dyDescent="0.35">
      <c r="A2252" s="19"/>
      <c r="B2252" s="19" t="s">
        <v>22</v>
      </c>
      <c r="C2252" s="37">
        <v>45900</v>
      </c>
      <c r="D2252" s="31">
        <v>39112</v>
      </c>
      <c r="E2252" s="31" t="s">
        <v>29</v>
      </c>
      <c r="F2252" s="31" t="s">
        <v>160</v>
      </c>
      <c r="H2252" s="38">
        <v>8081.07</v>
      </c>
    </row>
    <row r="2253" spans="1:8" x14ac:dyDescent="0.35">
      <c r="A2253" s="19"/>
      <c r="B2253" s="19" t="s">
        <v>22</v>
      </c>
      <c r="C2253" s="37">
        <v>45900</v>
      </c>
      <c r="D2253" s="31">
        <v>39113</v>
      </c>
      <c r="E2253" s="31" t="s">
        <v>225</v>
      </c>
      <c r="F2253" s="31" t="s">
        <v>160</v>
      </c>
      <c r="H2253" s="38">
        <v>4721.4400000000005</v>
      </c>
    </row>
    <row r="2254" spans="1:8" x14ac:dyDescent="0.35">
      <c r="A2254" s="19"/>
      <c r="B2254" s="19" t="s">
        <v>22</v>
      </c>
      <c r="C2254" s="37">
        <v>45900</v>
      </c>
      <c r="D2254" s="31">
        <v>39114</v>
      </c>
      <c r="E2254" s="31" t="s">
        <v>559</v>
      </c>
      <c r="F2254" s="31" t="s">
        <v>160</v>
      </c>
      <c r="H2254" s="38">
        <v>22883.119999999999</v>
      </c>
    </row>
    <row r="2255" spans="1:8" x14ac:dyDescent="0.35">
      <c r="A2255" s="19"/>
      <c r="B2255" s="19" t="s">
        <v>22</v>
      </c>
      <c r="C2255" s="37">
        <v>45900</v>
      </c>
      <c r="D2255" s="31">
        <v>39115</v>
      </c>
      <c r="E2255" s="31" t="s">
        <v>261</v>
      </c>
      <c r="F2255" s="31" t="s">
        <v>160</v>
      </c>
      <c r="H2255" s="38">
        <v>29074.390000000003</v>
      </c>
    </row>
    <row r="2256" spans="1:8" x14ac:dyDescent="0.35">
      <c r="A2256" s="19"/>
      <c r="B2256" s="19" t="s">
        <v>22</v>
      </c>
      <c r="C2256" s="37">
        <v>45900</v>
      </c>
      <c r="D2256" s="31">
        <v>39116</v>
      </c>
      <c r="E2256" s="31" t="s">
        <v>47</v>
      </c>
      <c r="F2256" s="31" t="s">
        <v>160</v>
      </c>
      <c r="H2256" s="38">
        <v>235.88</v>
      </c>
    </row>
    <row r="2257" spans="1:8" x14ac:dyDescent="0.35">
      <c r="A2257" s="19"/>
      <c r="B2257" s="19" t="s">
        <v>22</v>
      </c>
      <c r="C2257" s="37">
        <v>45900</v>
      </c>
      <c r="D2257" s="31">
        <v>39117</v>
      </c>
      <c r="E2257" s="31" t="s">
        <v>284</v>
      </c>
      <c r="F2257" s="31" t="s">
        <v>160</v>
      </c>
      <c r="H2257" s="38">
        <v>11048.619999999999</v>
      </c>
    </row>
    <row r="2258" spans="1:8" x14ac:dyDescent="0.35">
      <c r="A2258" s="19"/>
      <c r="B2258" s="19" t="s">
        <v>22</v>
      </c>
      <c r="C2258" s="37">
        <v>45900</v>
      </c>
      <c r="D2258" s="31">
        <v>39118</v>
      </c>
      <c r="E2258" s="31" t="s">
        <v>107</v>
      </c>
      <c r="F2258" s="31" t="s">
        <v>160</v>
      </c>
      <c r="H2258" s="38">
        <v>8730.48</v>
      </c>
    </row>
    <row r="2259" spans="1:8" x14ac:dyDescent="0.35">
      <c r="A2259" s="19"/>
      <c r="B2259" s="19" t="s">
        <v>22</v>
      </c>
      <c r="C2259" s="37">
        <v>45900</v>
      </c>
      <c r="D2259" s="31">
        <v>39119</v>
      </c>
      <c r="E2259" s="31" t="s">
        <v>727</v>
      </c>
      <c r="F2259" s="31" t="s">
        <v>160</v>
      </c>
      <c r="H2259" s="38">
        <v>768.7</v>
      </c>
    </row>
    <row r="2260" spans="1:8" x14ac:dyDescent="0.35">
      <c r="A2260" s="19"/>
      <c r="B2260" s="19" t="s">
        <v>22</v>
      </c>
      <c r="C2260" s="37">
        <v>45900</v>
      </c>
      <c r="D2260" s="31">
        <v>39120</v>
      </c>
      <c r="E2260" s="31" t="s">
        <v>1169</v>
      </c>
      <c r="F2260" s="31" t="s">
        <v>160</v>
      </c>
      <c r="H2260" s="38">
        <v>181.41</v>
      </c>
    </row>
    <row r="2261" spans="1:8" x14ac:dyDescent="0.35">
      <c r="A2261" s="19"/>
      <c r="B2261" s="19" t="s">
        <v>22</v>
      </c>
      <c r="C2261" s="37">
        <v>45900</v>
      </c>
      <c r="D2261" s="31">
        <v>39121</v>
      </c>
      <c r="E2261" s="31" t="s">
        <v>408</v>
      </c>
      <c r="F2261" s="31" t="s">
        <v>160</v>
      </c>
      <c r="H2261" s="38">
        <v>330.77</v>
      </c>
    </row>
    <row r="2262" spans="1:8" x14ac:dyDescent="0.35">
      <c r="A2262" s="19"/>
      <c r="B2262" s="19" t="s">
        <v>22</v>
      </c>
      <c r="C2262" s="37">
        <v>45900</v>
      </c>
      <c r="D2262" s="31">
        <v>39122</v>
      </c>
      <c r="E2262" s="31" t="s">
        <v>1027</v>
      </c>
      <c r="F2262" s="31" t="s">
        <v>160</v>
      </c>
      <c r="H2262" s="38">
        <v>4462.1899999999996</v>
      </c>
    </row>
    <row r="2263" spans="1:8" x14ac:dyDescent="0.35">
      <c r="A2263" s="19"/>
      <c r="B2263" s="19" t="s">
        <v>22</v>
      </c>
      <c r="C2263" s="37">
        <v>45900</v>
      </c>
      <c r="D2263" s="31">
        <v>39124</v>
      </c>
      <c r="E2263" s="31" t="s">
        <v>767</v>
      </c>
      <c r="F2263" s="31" t="s">
        <v>160</v>
      </c>
      <c r="H2263" s="38">
        <v>10792.45</v>
      </c>
    </row>
    <row r="2264" spans="1:8" x14ac:dyDescent="0.35">
      <c r="A2264" s="19"/>
      <c r="B2264" s="1" t="s">
        <v>150</v>
      </c>
      <c r="C2264" s="37">
        <v>45877</v>
      </c>
      <c r="D2264" s="39" t="s">
        <v>174</v>
      </c>
      <c r="E2264" s="31" t="s">
        <v>173</v>
      </c>
      <c r="F2264" s="31" t="s">
        <v>1170</v>
      </c>
      <c r="H2264" s="38">
        <v>120</v>
      </c>
    </row>
    <row r="2265" spans="1:8" x14ac:dyDescent="0.35">
      <c r="A2265" s="19"/>
      <c r="B2265" s="1" t="s">
        <v>150</v>
      </c>
      <c r="C2265" s="37">
        <v>45881</v>
      </c>
      <c r="D2265" s="31" t="s">
        <v>188</v>
      </c>
      <c r="E2265" s="31" t="s">
        <v>75</v>
      </c>
      <c r="F2265" s="31" t="s">
        <v>1170</v>
      </c>
      <c r="H2265" s="38">
        <v>1955</v>
      </c>
    </row>
    <row r="2266" spans="1:8" x14ac:dyDescent="0.35">
      <c r="A2266" s="19"/>
      <c r="B2266" s="1" t="s">
        <v>150</v>
      </c>
      <c r="C2266" s="37">
        <v>45895</v>
      </c>
      <c r="D2266" s="31" t="s">
        <v>1171</v>
      </c>
      <c r="E2266" s="31" t="s">
        <v>33</v>
      </c>
      <c r="F2266" s="31" t="s">
        <v>1170</v>
      </c>
      <c r="H2266" s="38">
        <v>-18900</v>
      </c>
    </row>
    <row r="2267" spans="1:8" x14ac:dyDescent="0.35">
      <c r="A2267" s="19"/>
      <c r="B2267" s="1" t="s">
        <v>150</v>
      </c>
      <c r="C2267" s="37">
        <v>45898</v>
      </c>
      <c r="D2267" s="31">
        <v>38881</v>
      </c>
      <c r="E2267" s="31" t="s">
        <v>239</v>
      </c>
      <c r="F2267" s="31" t="s">
        <v>1170</v>
      </c>
      <c r="H2267" s="38">
        <v>16.97</v>
      </c>
    </row>
    <row r="2268" spans="1:8" x14ac:dyDescent="0.35">
      <c r="A2268" s="19"/>
      <c r="B2268" s="1" t="s">
        <v>150</v>
      </c>
      <c r="C2268" s="37">
        <v>45899</v>
      </c>
      <c r="D2268" s="31">
        <v>32888</v>
      </c>
      <c r="E2268" s="31" t="s">
        <v>266</v>
      </c>
      <c r="F2268" s="31" t="s">
        <v>1170</v>
      </c>
      <c r="H2268" s="38">
        <v>0</v>
      </c>
    </row>
    <row r="2269" spans="1:8" x14ac:dyDescent="0.35">
      <c r="A2269" s="19"/>
      <c r="B2269" s="1" t="s">
        <v>150</v>
      </c>
      <c r="C2269" s="37">
        <v>45899</v>
      </c>
      <c r="D2269" s="31" t="s">
        <v>294</v>
      </c>
      <c r="E2269" s="31" t="s">
        <v>26</v>
      </c>
      <c r="F2269" s="31" t="s">
        <v>1170</v>
      </c>
      <c r="H2269" s="38">
        <v>0</v>
      </c>
    </row>
    <row r="2270" spans="1:8" x14ac:dyDescent="0.35">
      <c r="A2270" s="19"/>
      <c r="B2270" s="1" t="s">
        <v>150</v>
      </c>
      <c r="C2270" s="37">
        <v>45899</v>
      </c>
      <c r="D2270" s="31" t="s">
        <v>427</v>
      </c>
      <c r="E2270" s="31" t="s">
        <v>349</v>
      </c>
      <c r="F2270" s="31" t="s">
        <v>1170</v>
      </c>
      <c r="H2270" s="38">
        <v>484.5</v>
      </c>
    </row>
    <row r="2271" spans="1:8" x14ac:dyDescent="0.35">
      <c r="A2271" s="19"/>
      <c r="B2271" s="1" t="s">
        <v>150</v>
      </c>
      <c r="C2271" s="37">
        <v>45899</v>
      </c>
      <c r="D2271" s="31" t="s">
        <v>483</v>
      </c>
      <c r="E2271" s="31" t="s">
        <v>337</v>
      </c>
      <c r="F2271" s="31" t="s">
        <v>1170</v>
      </c>
      <c r="H2271" s="38">
        <v>22888.74</v>
      </c>
    </row>
    <row r="2272" spans="1:8" x14ac:dyDescent="0.35">
      <c r="A2272" s="19"/>
      <c r="B2272" s="1" t="s">
        <v>150</v>
      </c>
      <c r="C2272" s="37">
        <v>45899</v>
      </c>
      <c r="D2272" s="31" t="s">
        <v>490</v>
      </c>
      <c r="E2272" s="31" t="s">
        <v>55</v>
      </c>
      <c r="F2272" s="31" t="s">
        <v>1170</v>
      </c>
      <c r="H2272" s="38">
        <v>9987.5</v>
      </c>
    </row>
    <row r="2273" spans="1:8" x14ac:dyDescent="0.35">
      <c r="A2273" s="19"/>
      <c r="B2273" s="1" t="s">
        <v>150</v>
      </c>
      <c r="C2273" s="37">
        <v>45899</v>
      </c>
      <c r="D2273" s="31" t="s">
        <v>500</v>
      </c>
      <c r="E2273" s="31" t="s">
        <v>55</v>
      </c>
      <c r="F2273" s="31" t="s">
        <v>1170</v>
      </c>
      <c r="H2273" s="38">
        <v>56736.619999999995</v>
      </c>
    </row>
    <row r="2274" spans="1:8" x14ac:dyDescent="0.35">
      <c r="A2274" s="19"/>
      <c r="B2274" s="1" t="s">
        <v>150</v>
      </c>
      <c r="C2274" s="37">
        <v>45899</v>
      </c>
      <c r="D2274" s="31">
        <v>36512</v>
      </c>
      <c r="E2274" s="31" t="s">
        <v>586</v>
      </c>
      <c r="F2274" s="31" t="s">
        <v>1170</v>
      </c>
      <c r="H2274" s="38">
        <v>355</v>
      </c>
    </row>
    <row r="2275" spans="1:8" x14ac:dyDescent="0.35">
      <c r="A2275" s="19"/>
      <c r="B2275" s="1" t="s">
        <v>150</v>
      </c>
      <c r="C2275" s="37">
        <v>45899</v>
      </c>
      <c r="D2275" s="31" t="s">
        <v>778</v>
      </c>
      <c r="E2275" s="31" t="s">
        <v>779</v>
      </c>
      <c r="F2275" s="31" t="s">
        <v>1170</v>
      </c>
      <c r="H2275" s="38">
        <v>0</v>
      </c>
    </row>
    <row r="2276" spans="1:8" x14ac:dyDescent="0.35">
      <c r="A2276" s="19"/>
      <c r="B2276" s="1" t="s">
        <v>150</v>
      </c>
      <c r="C2276" s="37">
        <v>45899</v>
      </c>
      <c r="D2276" s="31">
        <v>38051</v>
      </c>
      <c r="E2276" s="31" t="s">
        <v>682</v>
      </c>
      <c r="F2276" s="31" t="s">
        <v>1170</v>
      </c>
      <c r="H2276" s="38">
        <v>680</v>
      </c>
    </row>
    <row r="2277" spans="1:8" x14ac:dyDescent="0.35">
      <c r="A2277" s="19"/>
      <c r="B2277" s="1" t="s">
        <v>150</v>
      </c>
      <c r="C2277" s="37">
        <v>45899</v>
      </c>
      <c r="D2277" s="31">
        <v>38230</v>
      </c>
      <c r="E2277" s="31" t="s">
        <v>831</v>
      </c>
      <c r="F2277" s="31" t="s">
        <v>1170</v>
      </c>
      <c r="H2277" s="38">
        <v>85</v>
      </c>
    </row>
    <row r="2278" spans="1:8" x14ac:dyDescent="0.35">
      <c r="A2278" s="19"/>
      <c r="B2278" s="1" t="s">
        <v>150</v>
      </c>
      <c r="C2278" s="37">
        <v>45899</v>
      </c>
      <c r="D2278" s="31">
        <v>38254</v>
      </c>
      <c r="E2278" s="31" t="s">
        <v>177</v>
      </c>
      <c r="F2278" s="31" t="s">
        <v>1170</v>
      </c>
      <c r="H2278" s="38">
        <v>9650</v>
      </c>
    </row>
    <row r="2279" spans="1:8" x14ac:dyDescent="0.35">
      <c r="A2279" s="19"/>
      <c r="B2279" s="1" t="s">
        <v>150</v>
      </c>
      <c r="C2279" s="37">
        <v>45899</v>
      </c>
      <c r="D2279" s="31" t="s">
        <v>840</v>
      </c>
      <c r="E2279" s="31" t="s">
        <v>177</v>
      </c>
      <c r="F2279" s="31" t="s">
        <v>1170</v>
      </c>
      <c r="H2279" s="38">
        <v>7155.75</v>
      </c>
    </row>
    <row r="2280" spans="1:8" x14ac:dyDescent="0.35">
      <c r="A2280" s="19"/>
      <c r="B2280" s="1" t="s">
        <v>150</v>
      </c>
      <c r="C2280" s="37">
        <v>45899</v>
      </c>
      <c r="D2280" s="31" t="s">
        <v>841</v>
      </c>
      <c r="E2280" s="31" t="s">
        <v>177</v>
      </c>
      <c r="F2280" s="31" t="s">
        <v>1170</v>
      </c>
      <c r="H2280" s="38">
        <v>9270.7800000000007</v>
      </c>
    </row>
    <row r="2281" spans="1:8" x14ac:dyDescent="0.35">
      <c r="A2281" s="19"/>
      <c r="B2281" s="1" t="s">
        <v>150</v>
      </c>
      <c r="C2281" s="37">
        <v>45899</v>
      </c>
      <c r="D2281" s="31">
        <v>38546</v>
      </c>
      <c r="E2281" s="31" t="s">
        <v>86</v>
      </c>
      <c r="F2281" s="31" t="s">
        <v>1170</v>
      </c>
      <c r="H2281" s="38">
        <v>0</v>
      </c>
    </row>
    <row r="2282" spans="1:8" x14ac:dyDescent="0.35">
      <c r="A2282" s="19"/>
      <c r="B2282" s="1" t="s">
        <v>150</v>
      </c>
      <c r="C2282" s="37">
        <v>45899</v>
      </c>
      <c r="D2282" s="31">
        <v>38651</v>
      </c>
      <c r="E2282" s="31" t="s">
        <v>586</v>
      </c>
      <c r="F2282" s="31" t="s">
        <v>1170</v>
      </c>
      <c r="H2282" s="38">
        <v>450</v>
      </c>
    </row>
    <row r="2283" spans="1:8" x14ac:dyDescent="0.35">
      <c r="A2283" s="19"/>
      <c r="B2283" s="1" t="s">
        <v>150</v>
      </c>
      <c r="C2283" s="37">
        <v>45899</v>
      </c>
      <c r="D2283" s="31" t="s">
        <v>907</v>
      </c>
      <c r="E2283" s="31" t="s">
        <v>59</v>
      </c>
      <c r="F2283" s="31" t="s">
        <v>1170</v>
      </c>
      <c r="H2283" s="38">
        <v>983.73</v>
      </c>
    </row>
    <row r="2284" spans="1:8" x14ac:dyDescent="0.35">
      <c r="A2284" s="19"/>
      <c r="B2284" s="1" t="s">
        <v>150</v>
      </c>
      <c r="C2284" s="37">
        <v>45899</v>
      </c>
      <c r="D2284" s="31">
        <v>38806</v>
      </c>
      <c r="E2284" s="31" t="s">
        <v>918</v>
      </c>
      <c r="F2284" s="31" t="s">
        <v>1170</v>
      </c>
      <c r="H2284" s="38">
        <v>750</v>
      </c>
    </row>
    <row r="2285" spans="1:8" x14ac:dyDescent="0.35">
      <c r="A2285" s="19"/>
      <c r="B2285" s="1" t="s">
        <v>150</v>
      </c>
      <c r="C2285" s="37">
        <v>45899</v>
      </c>
      <c r="D2285" s="31">
        <v>38817</v>
      </c>
      <c r="E2285" s="31" t="s">
        <v>919</v>
      </c>
      <c r="F2285" s="31" t="s">
        <v>1170</v>
      </c>
      <c r="H2285" s="38">
        <v>110.1</v>
      </c>
    </row>
    <row r="2286" spans="1:8" x14ac:dyDescent="0.35">
      <c r="A2286" s="19"/>
      <c r="B2286" s="1" t="s">
        <v>150</v>
      </c>
      <c r="C2286" s="37">
        <v>45899</v>
      </c>
      <c r="D2286" s="31">
        <v>38846</v>
      </c>
      <c r="E2286" s="31" t="s">
        <v>922</v>
      </c>
      <c r="F2286" s="31" t="s">
        <v>1170</v>
      </c>
      <c r="H2286" s="38">
        <v>209.05</v>
      </c>
    </row>
    <row r="2287" spans="1:8" x14ac:dyDescent="0.35">
      <c r="A2287" s="19"/>
      <c r="B2287" s="1" t="s">
        <v>150</v>
      </c>
      <c r="C2287" s="37">
        <v>45899</v>
      </c>
      <c r="D2287" s="31">
        <v>38889</v>
      </c>
      <c r="E2287" s="31" t="s">
        <v>107</v>
      </c>
      <c r="F2287" s="31" t="s">
        <v>1170</v>
      </c>
      <c r="H2287" s="38">
        <v>118.52</v>
      </c>
    </row>
    <row r="2288" spans="1:8" x14ac:dyDescent="0.35">
      <c r="A2288" s="19"/>
      <c r="B2288" s="1" t="s">
        <v>150</v>
      </c>
      <c r="C2288" s="37">
        <v>45899</v>
      </c>
      <c r="D2288" s="31">
        <v>38954</v>
      </c>
      <c r="E2288" s="31" t="s">
        <v>924</v>
      </c>
      <c r="F2288" s="31" t="s">
        <v>1170</v>
      </c>
      <c r="H2288" s="38">
        <v>455</v>
      </c>
    </row>
    <row r="2289" spans="1:8" x14ac:dyDescent="0.35">
      <c r="A2289" s="19"/>
      <c r="B2289" s="1" t="s">
        <v>150</v>
      </c>
      <c r="C2289" s="37">
        <v>45900</v>
      </c>
      <c r="D2289" s="31" t="s">
        <v>944</v>
      </c>
      <c r="E2289" s="31" t="s">
        <v>50</v>
      </c>
      <c r="F2289" s="31" t="s">
        <v>1170</v>
      </c>
      <c r="H2289" s="38">
        <v>0</v>
      </c>
    </row>
    <row r="2290" spans="1:8" x14ac:dyDescent="0.35">
      <c r="A2290" s="19"/>
      <c r="B2290" s="1" t="s">
        <v>150</v>
      </c>
      <c r="C2290" s="37">
        <v>45900</v>
      </c>
      <c r="D2290" s="31" t="s">
        <v>1172</v>
      </c>
      <c r="E2290" s="31" t="s">
        <v>932</v>
      </c>
      <c r="F2290" s="31" t="s">
        <v>1170</v>
      </c>
      <c r="H2290" s="38">
        <v>2907.31</v>
      </c>
    </row>
    <row r="2291" spans="1:8" x14ac:dyDescent="0.35">
      <c r="A2291" s="19"/>
      <c r="B2291" s="1" t="s">
        <v>150</v>
      </c>
      <c r="C2291" s="37">
        <v>45900</v>
      </c>
      <c r="D2291" s="31" t="s">
        <v>957</v>
      </c>
      <c r="E2291" s="31" t="s">
        <v>50</v>
      </c>
      <c r="F2291" s="31" t="s">
        <v>1170</v>
      </c>
      <c r="H2291" s="38">
        <v>0</v>
      </c>
    </row>
    <row r="2292" spans="1:8" x14ac:dyDescent="0.35">
      <c r="A2292" s="19"/>
      <c r="B2292" s="1" t="s">
        <v>150</v>
      </c>
      <c r="C2292" s="37">
        <v>45900</v>
      </c>
      <c r="D2292" s="31" t="s">
        <v>959</v>
      </c>
      <c r="E2292" s="31" t="s">
        <v>50</v>
      </c>
      <c r="F2292" s="31" t="s">
        <v>1170</v>
      </c>
      <c r="H2292" s="38">
        <v>0</v>
      </c>
    </row>
    <row r="2293" spans="1:8" x14ac:dyDescent="0.35">
      <c r="A2293" s="19"/>
      <c r="B2293" s="1" t="s">
        <v>150</v>
      </c>
      <c r="C2293" s="37">
        <v>45900</v>
      </c>
      <c r="D2293" s="31" t="s">
        <v>960</v>
      </c>
      <c r="E2293" s="31" t="s">
        <v>50</v>
      </c>
      <c r="F2293" s="31" t="s">
        <v>1170</v>
      </c>
      <c r="H2293" s="38">
        <v>0</v>
      </c>
    </row>
    <row r="2294" spans="1:8" x14ac:dyDescent="0.35">
      <c r="A2294" s="19"/>
      <c r="B2294" s="1" t="s">
        <v>150</v>
      </c>
      <c r="C2294" s="37">
        <v>45900</v>
      </c>
      <c r="D2294" s="31" t="s">
        <v>961</v>
      </c>
      <c r="E2294" s="31" t="s">
        <v>50</v>
      </c>
      <c r="F2294" s="31" t="s">
        <v>1170</v>
      </c>
      <c r="H2294" s="38">
        <v>0</v>
      </c>
    </row>
    <row r="2295" spans="1:8" x14ac:dyDescent="0.35">
      <c r="A2295" s="19"/>
      <c r="B2295" s="1" t="s">
        <v>150</v>
      </c>
      <c r="C2295" s="37">
        <v>45900</v>
      </c>
      <c r="D2295" s="31" t="s">
        <v>962</v>
      </c>
      <c r="E2295" s="31" t="s">
        <v>50</v>
      </c>
      <c r="F2295" s="31" t="s">
        <v>1170</v>
      </c>
      <c r="H2295" s="38">
        <v>0</v>
      </c>
    </row>
    <row r="2296" spans="1:8" x14ac:dyDescent="0.35">
      <c r="A2296" s="19"/>
      <c r="B2296" s="1" t="s">
        <v>150</v>
      </c>
      <c r="C2296" s="37">
        <v>45900</v>
      </c>
      <c r="D2296" s="31" t="s">
        <v>985</v>
      </c>
      <c r="E2296" s="31" t="s">
        <v>50</v>
      </c>
      <c r="F2296" s="31" t="s">
        <v>1170</v>
      </c>
      <c r="H2296" s="38">
        <v>0</v>
      </c>
    </row>
    <row r="2297" spans="1:8" x14ac:dyDescent="0.35">
      <c r="A2297" s="19"/>
      <c r="B2297" s="1" t="s">
        <v>150</v>
      </c>
      <c r="C2297" s="37">
        <v>45900</v>
      </c>
      <c r="D2297" s="31" t="s">
        <v>992</v>
      </c>
      <c r="E2297" s="31" t="s">
        <v>990</v>
      </c>
      <c r="F2297" s="31" t="s">
        <v>1170</v>
      </c>
      <c r="H2297" s="38">
        <v>0</v>
      </c>
    </row>
    <row r="2298" spans="1:8" x14ac:dyDescent="0.35">
      <c r="A2298" s="19"/>
      <c r="B2298" s="1" t="s">
        <v>150</v>
      </c>
      <c r="C2298" s="37">
        <v>45900</v>
      </c>
      <c r="D2298" s="31" t="s">
        <v>993</v>
      </c>
      <c r="E2298" s="31" t="s">
        <v>80</v>
      </c>
      <c r="F2298" s="31" t="s">
        <v>1170</v>
      </c>
      <c r="H2298" s="38">
        <v>8003.78</v>
      </c>
    </row>
    <row r="2299" spans="1:8" x14ac:dyDescent="0.35">
      <c r="A2299" s="19"/>
      <c r="B2299" s="1" t="s">
        <v>150</v>
      </c>
      <c r="C2299" s="37">
        <v>45900</v>
      </c>
      <c r="D2299" s="31" t="s">
        <v>999</v>
      </c>
      <c r="E2299" s="31" t="s">
        <v>80</v>
      </c>
      <c r="F2299" s="31" t="s">
        <v>1170</v>
      </c>
      <c r="H2299" s="38">
        <v>3603.25</v>
      </c>
    </row>
    <row r="2300" spans="1:8" x14ac:dyDescent="0.35">
      <c r="A2300" s="19"/>
      <c r="B2300" s="1" t="s">
        <v>150</v>
      </c>
      <c r="C2300" s="37">
        <v>45900</v>
      </c>
      <c r="D2300" s="31" t="s">
        <v>1009</v>
      </c>
      <c r="E2300" s="31" t="s">
        <v>453</v>
      </c>
      <c r="F2300" s="31" t="s">
        <v>1170</v>
      </c>
      <c r="H2300" s="38">
        <v>121.39</v>
      </c>
    </row>
    <row r="2301" spans="1:8" x14ac:dyDescent="0.35">
      <c r="A2301" s="19"/>
      <c r="B2301" s="1" t="s">
        <v>150</v>
      </c>
      <c r="C2301" s="37">
        <v>45900</v>
      </c>
      <c r="D2301" s="31" t="s">
        <v>1026</v>
      </c>
      <c r="E2301" s="31" t="s">
        <v>1027</v>
      </c>
      <c r="F2301" s="31" t="s">
        <v>1170</v>
      </c>
      <c r="H2301" s="38">
        <v>300</v>
      </c>
    </row>
    <row r="2302" spans="1:8" x14ac:dyDescent="0.35">
      <c r="A2302" s="19"/>
      <c r="B2302" s="1" t="s">
        <v>150</v>
      </c>
      <c r="C2302" s="37">
        <v>45900</v>
      </c>
      <c r="D2302" s="31" t="s">
        <v>1173</v>
      </c>
      <c r="E2302" s="31" t="s">
        <v>1174</v>
      </c>
      <c r="F2302" s="31" t="s">
        <v>1170</v>
      </c>
      <c r="H2302" s="38">
        <v>7000</v>
      </c>
    </row>
    <row r="2303" spans="1:8" x14ac:dyDescent="0.35">
      <c r="A2303" s="19"/>
      <c r="B2303" s="1" t="s">
        <v>150</v>
      </c>
      <c r="C2303" s="37">
        <v>45900</v>
      </c>
      <c r="D2303" s="31" t="s">
        <v>1030</v>
      </c>
      <c r="E2303" s="31" t="s">
        <v>50</v>
      </c>
      <c r="F2303" s="31" t="s">
        <v>1170</v>
      </c>
      <c r="H2303" s="38">
        <v>0</v>
      </c>
    </row>
    <row r="2304" spans="1:8" x14ac:dyDescent="0.35">
      <c r="A2304" s="19"/>
      <c r="B2304" s="1" t="s">
        <v>150</v>
      </c>
      <c r="C2304" s="37">
        <v>45900</v>
      </c>
      <c r="D2304" s="31" t="s">
        <v>1031</v>
      </c>
      <c r="E2304" s="31" t="s">
        <v>50</v>
      </c>
      <c r="F2304" s="31" t="s">
        <v>1170</v>
      </c>
      <c r="H2304" s="38">
        <v>0</v>
      </c>
    </row>
    <row r="2305" spans="1:8" x14ac:dyDescent="0.35">
      <c r="A2305" s="19"/>
      <c r="B2305" s="1" t="s">
        <v>150</v>
      </c>
      <c r="C2305" s="37">
        <v>45900</v>
      </c>
      <c r="D2305" s="31" t="s">
        <v>1032</v>
      </c>
      <c r="E2305" s="31" t="s">
        <v>50</v>
      </c>
      <c r="F2305" s="31" t="s">
        <v>1170</v>
      </c>
      <c r="H2305" s="38">
        <v>0</v>
      </c>
    </row>
    <row r="2306" spans="1:8" x14ac:dyDescent="0.35">
      <c r="A2306" s="19"/>
      <c r="B2306" s="1" t="s">
        <v>150</v>
      </c>
      <c r="C2306" s="37">
        <v>45900</v>
      </c>
      <c r="D2306" s="31" t="s">
        <v>1033</v>
      </c>
      <c r="E2306" s="31" t="s">
        <v>50</v>
      </c>
      <c r="F2306" s="31" t="s">
        <v>1170</v>
      </c>
      <c r="H2306" s="38">
        <v>0</v>
      </c>
    </row>
    <row r="2307" spans="1:8" x14ac:dyDescent="0.35">
      <c r="A2307" s="19"/>
      <c r="B2307" s="1" t="s">
        <v>150</v>
      </c>
      <c r="C2307" s="37">
        <v>45900</v>
      </c>
      <c r="D2307" s="31" t="s">
        <v>1045</v>
      </c>
      <c r="E2307" s="31" t="s">
        <v>148</v>
      </c>
      <c r="F2307" s="31" t="s">
        <v>1170</v>
      </c>
      <c r="H2307" s="38">
        <v>3099.25</v>
      </c>
    </row>
    <row r="2308" spans="1:8" x14ac:dyDescent="0.35">
      <c r="A2308" s="19"/>
      <c r="B2308" s="1" t="s">
        <v>150</v>
      </c>
      <c r="C2308" s="37">
        <v>45900</v>
      </c>
      <c r="D2308" s="31" t="s">
        <v>1049</v>
      </c>
      <c r="E2308" s="31" t="s">
        <v>50</v>
      </c>
      <c r="F2308" s="31" t="s">
        <v>1170</v>
      </c>
      <c r="H2308" s="38">
        <v>0</v>
      </c>
    </row>
    <row r="2309" spans="1:8" x14ac:dyDescent="0.35">
      <c r="A2309" s="19"/>
      <c r="B2309" s="1" t="s">
        <v>150</v>
      </c>
      <c r="C2309" s="37">
        <v>45900</v>
      </c>
      <c r="D2309" s="31">
        <v>37354</v>
      </c>
      <c r="E2309" s="31" t="s">
        <v>1050</v>
      </c>
      <c r="F2309" s="31" t="s">
        <v>1170</v>
      </c>
      <c r="H2309" s="38">
        <v>400</v>
      </c>
    </row>
    <row r="2310" spans="1:8" x14ac:dyDescent="0.35">
      <c r="A2310" s="19"/>
      <c r="B2310" s="1" t="s">
        <v>150</v>
      </c>
      <c r="C2310" s="37">
        <v>45900</v>
      </c>
      <c r="D2310" s="31" t="s">
        <v>1063</v>
      </c>
      <c r="E2310" s="31" t="s">
        <v>284</v>
      </c>
      <c r="F2310" s="31" t="s">
        <v>1170</v>
      </c>
      <c r="H2310" s="38">
        <v>15488.2</v>
      </c>
    </row>
    <row r="2311" spans="1:8" x14ac:dyDescent="0.35">
      <c r="A2311" s="19"/>
      <c r="B2311" s="1" t="s">
        <v>150</v>
      </c>
      <c r="C2311" s="37">
        <v>45900</v>
      </c>
      <c r="D2311" s="31" t="s">
        <v>1069</v>
      </c>
      <c r="E2311" s="31" t="s">
        <v>59</v>
      </c>
      <c r="F2311" s="31" t="s">
        <v>1170</v>
      </c>
      <c r="H2311" s="38">
        <v>78228.36</v>
      </c>
    </row>
    <row r="2312" spans="1:8" x14ac:dyDescent="0.35">
      <c r="A2312" s="19"/>
      <c r="B2312" s="1" t="s">
        <v>150</v>
      </c>
      <c r="C2312" s="37">
        <v>45900</v>
      </c>
      <c r="D2312" s="31" t="s">
        <v>1081</v>
      </c>
      <c r="E2312" s="31" t="s">
        <v>50</v>
      </c>
      <c r="F2312" s="31" t="s">
        <v>1170</v>
      </c>
      <c r="H2312" s="38">
        <v>0</v>
      </c>
    </row>
    <row r="2313" spans="1:8" x14ac:dyDescent="0.35">
      <c r="A2313" s="19"/>
      <c r="B2313" s="1" t="s">
        <v>150</v>
      </c>
      <c r="C2313" s="37">
        <v>45900</v>
      </c>
      <c r="D2313" s="31">
        <v>38262</v>
      </c>
      <c r="E2313" s="31" t="s">
        <v>177</v>
      </c>
      <c r="F2313" s="31" t="s">
        <v>1170</v>
      </c>
      <c r="H2313" s="38">
        <v>9650</v>
      </c>
    </row>
    <row r="2314" spans="1:8" x14ac:dyDescent="0.35">
      <c r="A2314" s="19"/>
      <c r="B2314" s="1" t="s">
        <v>150</v>
      </c>
      <c r="C2314" s="37">
        <v>45900</v>
      </c>
      <c r="D2314" s="31" t="s">
        <v>1086</v>
      </c>
      <c r="E2314" s="31" t="s">
        <v>177</v>
      </c>
      <c r="F2314" s="31" t="s">
        <v>1170</v>
      </c>
      <c r="H2314" s="38">
        <v>3395.46</v>
      </c>
    </row>
    <row r="2315" spans="1:8" x14ac:dyDescent="0.35">
      <c r="A2315" s="19"/>
      <c r="B2315" s="1" t="s">
        <v>150</v>
      </c>
      <c r="C2315" s="37">
        <v>45900</v>
      </c>
      <c r="D2315" s="31">
        <v>38527</v>
      </c>
      <c r="E2315" s="31" t="s">
        <v>1098</v>
      </c>
      <c r="F2315" s="31" t="s">
        <v>1170</v>
      </c>
      <c r="H2315" s="38">
        <v>500</v>
      </c>
    </row>
    <row r="2316" spans="1:8" x14ac:dyDescent="0.35">
      <c r="A2316" s="19"/>
      <c r="B2316" s="1" t="s">
        <v>150</v>
      </c>
      <c r="C2316" s="37">
        <v>45900</v>
      </c>
      <c r="D2316" s="31">
        <v>38557</v>
      </c>
      <c r="E2316" s="31" t="s">
        <v>50</v>
      </c>
      <c r="F2316" s="31" t="s">
        <v>1170</v>
      </c>
      <c r="H2316" s="38">
        <v>4381.5</v>
      </c>
    </row>
    <row r="2317" spans="1:8" x14ac:dyDescent="0.35">
      <c r="A2317" s="19"/>
      <c r="B2317" s="1" t="s">
        <v>150</v>
      </c>
      <c r="C2317" s="37">
        <v>45900</v>
      </c>
      <c r="D2317" s="31">
        <v>38621</v>
      </c>
      <c r="E2317" s="31" t="s">
        <v>1027</v>
      </c>
      <c r="F2317" s="31" t="s">
        <v>1170</v>
      </c>
      <c r="H2317" s="38">
        <v>600</v>
      </c>
    </row>
    <row r="2318" spans="1:8" x14ac:dyDescent="0.35">
      <c r="A2318" s="19"/>
      <c r="B2318" s="1" t="s">
        <v>150</v>
      </c>
      <c r="C2318" s="37">
        <v>45900</v>
      </c>
      <c r="D2318" s="31">
        <v>38726</v>
      </c>
      <c r="E2318" s="31" t="s">
        <v>1110</v>
      </c>
      <c r="F2318" s="31" t="s">
        <v>1170</v>
      </c>
      <c r="H2318" s="38">
        <v>170</v>
      </c>
    </row>
    <row r="2319" spans="1:8" x14ac:dyDescent="0.35">
      <c r="A2319" s="19"/>
      <c r="B2319" s="1" t="s">
        <v>150</v>
      </c>
      <c r="C2319" s="37">
        <v>45900</v>
      </c>
      <c r="D2319" s="31">
        <v>38744</v>
      </c>
      <c r="E2319" s="31" t="s">
        <v>1113</v>
      </c>
      <c r="F2319" s="31" t="s">
        <v>1170</v>
      </c>
      <c r="H2319" s="38">
        <v>650</v>
      </c>
    </row>
    <row r="2320" spans="1:8" x14ac:dyDescent="0.35">
      <c r="A2320" s="19"/>
      <c r="B2320" s="1" t="s">
        <v>150</v>
      </c>
      <c r="C2320" s="37">
        <v>45900</v>
      </c>
      <c r="D2320" s="31">
        <v>38758</v>
      </c>
      <c r="E2320" s="31" t="s">
        <v>722</v>
      </c>
      <c r="F2320" s="31" t="s">
        <v>1170</v>
      </c>
      <c r="H2320" s="38">
        <v>16.260000000000002</v>
      </c>
    </row>
    <row r="2321" spans="1:8" x14ac:dyDescent="0.35">
      <c r="A2321" s="19"/>
      <c r="B2321" s="1" t="s">
        <v>150</v>
      </c>
      <c r="C2321" s="37">
        <v>45900</v>
      </c>
      <c r="D2321" s="31">
        <v>38800</v>
      </c>
      <c r="E2321" s="31" t="s">
        <v>1118</v>
      </c>
      <c r="F2321" s="31" t="s">
        <v>1170</v>
      </c>
      <c r="H2321" s="38">
        <v>534.33000000000004</v>
      </c>
    </row>
    <row r="2322" spans="1:8" x14ac:dyDescent="0.35">
      <c r="A2322" s="19"/>
      <c r="B2322" s="1" t="s">
        <v>150</v>
      </c>
      <c r="C2322" s="37">
        <v>45900</v>
      </c>
      <c r="D2322" s="31">
        <v>38801</v>
      </c>
      <c r="E2322" s="31" t="s">
        <v>1119</v>
      </c>
      <c r="F2322" s="31" t="s">
        <v>1170</v>
      </c>
      <c r="H2322" s="38">
        <v>44.73</v>
      </c>
    </row>
    <row r="2323" spans="1:8" x14ac:dyDescent="0.35">
      <c r="A2323" s="19"/>
      <c r="B2323" s="1" t="s">
        <v>150</v>
      </c>
      <c r="C2323" s="37">
        <v>45900</v>
      </c>
      <c r="D2323" s="31">
        <v>38803</v>
      </c>
      <c r="E2323" s="31" t="s">
        <v>1120</v>
      </c>
      <c r="F2323" s="31" t="s">
        <v>1170</v>
      </c>
      <c r="H2323" s="38">
        <v>250</v>
      </c>
    </row>
    <row r="2324" spans="1:8" x14ac:dyDescent="0.35">
      <c r="A2324" s="19"/>
      <c r="B2324" s="1" t="s">
        <v>150</v>
      </c>
      <c r="C2324" s="37">
        <v>45900</v>
      </c>
      <c r="D2324" s="31">
        <v>38807</v>
      </c>
      <c r="E2324" s="31" t="s">
        <v>1175</v>
      </c>
      <c r="F2324" s="31" t="s">
        <v>1170</v>
      </c>
      <c r="H2324" s="38">
        <v>9967.1999999999989</v>
      </c>
    </row>
    <row r="2325" spans="1:8" x14ac:dyDescent="0.35">
      <c r="A2325" s="19"/>
      <c r="B2325" s="1" t="s">
        <v>150</v>
      </c>
      <c r="C2325" s="37">
        <v>45900</v>
      </c>
      <c r="D2325" s="31">
        <v>38820</v>
      </c>
      <c r="E2325" s="31" t="s">
        <v>1126</v>
      </c>
      <c r="F2325" s="31" t="s">
        <v>1170</v>
      </c>
      <c r="H2325" s="38">
        <v>-50000</v>
      </c>
    </row>
    <row r="2326" spans="1:8" x14ac:dyDescent="0.35">
      <c r="A2326" s="19"/>
      <c r="B2326" s="1" t="s">
        <v>150</v>
      </c>
      <c r="C2326" s="37">
        <v>45900</v>
      </c>
      <c r="D2326" s="31">
        <v>38822</v>
      </c>
      <c r="E2326" s="31" t="s">
        <v>1176</v>
      </c>
      <c r="F2326" s="31" t="s">
        <v>1170</v>
      </c>
      <c r="H2326" s="38">
        <v>4332.9799999999996</v>
      </c>
    </row>
    <row r="2327" spans="1:8" x14ac:dyDescent="0.35">
      <c r="A2327" s="19"/>
      <c r="B2327" s="1" t="s">
        <v>150</v>
      </c>
      <c r="C2327" s="37">
        <v>45900</v>
      </c>
      <c r="D2327" s="31">
        <v>38835</v>
      </c>
      <c r="E2327" s="31" t="s">
        <v>1130</v>
      </c>
      <c r="F2327" s="31" t="s">
        <v>1170</v>
      </c>
      <c r="H2327" s="38">
        <v>51.69</v>
      </c>
    </row>
    <row r="2328" spans="1:8" x14ac:dyDescent="0.35">
      <c r="A2328" s="19"/>
      <c r="B2328" s="1" t="s">
        <v>150</v>
      </c>
      <c r="C2328" s="37">
        <v>45900</v>
      </c>
      <c r="D2328" s="31">
        <v>38843</v>
      </c>
      <c r="E2328" s="31" t="s">
        <v>918</v>
      </c>
      <c r="F2328" s="31" t="s">
        <v>1170</v>
      </c>
      <c r="H2328" s="38">
        <v>17.18</v>
      </c>
    </row>
    <row r="2329" spans="1:8" x14ac:dyDescent="0.35">
      <c r="A2329" s="19"/>
      <c r="B2329" s="1" t="s">
        <v>150</v>
      </c>
      <c r="C2329" s="37">
        <v>45900</v>
      </c>
      <c r="D2329" s="31">
        <v>38852</v>
      </c>
      <c r="E2329" s="31" t="s">
        <v>886</v>
      </c>
      <c r="F2329" s="31" t="s">
        <v>1170</v>
      </c>
      <c r="H2329" s="38">
        <v>2894.52</v>
      </c>
    </row>
    <row r="2330" spans="1:8" x14ac:dyDescent="0.35">
      <c r="A2330" s="19"/>
      <c r="B2330" s="1" t="s">
        <v>150</v>
      </c>
      <c r="C2330" s="37">
        <v>45900</v>
      </c>
      <c r="D2330" s="31">
        <v>38853</v>
      </c>
      <c r="E2330" s="31" t="s">
        <v>1133</v>
      </c>
      <c r="F2330" s="31" t="s">
        <v>1170</v>
      </c>
      <c r="H2330" s="38">
        <v>55</v>
      </c>
    </row>
    <row r="2331" spans="1:8" x14ac:dyDescent="0.35">
      <c r="A2331" s="19"/>
      <c r="B2331" s="1" t="s">
        <v>150</v>
      </c>
      <c r="C2331" s="37">
        <v>45900</v>
      </c>
      <c r="D2331" s="31">
        <v>38854</v>
      </c>
      <c r="E2331" s="31" t="s">
        <v>1134</v>
      </c>
      <c r="F2331" s="31" t="s">
        <v>1170</v>
      </c>
      <c r="H2331" s="38">
        <v>189.46</v>
      </c>
    </row>
    <row r="2332" spans="1:8" x14ac:dyDescent="0.35">
      <c r="A2332" s="19"/>
      <c r="B2332" s="1" t="s">
        <v>150</v>
      </c>
      <c r="C2332" s="37">
        <v>45900</v>
      </c>
      <c r="D2332" s="31">
        <v>38865</v>
      </c>
      <c r="E2332" s="31" t="s">
        <v>1137</v>
      </c>
      <c r="F2332" s="31" t="s">
        <v>1170</v>
      </c>
      <c r="H2332" s="38">
        <v>10.41</v>
      </c>
    </row>
    <row r="2333" spans="1:8" x14ac:dyDescent="0.35">
      <c r="A2333" s="19"/>
      <c r="B2333" s="1" t="s">
        <v>150</v>
      </c>
      <c r="C2333" s="37">
        <v>45900</v>
      </c>
      <c r="D2333" s="31">
        <v>38884</v>
      </c>
      <c r="E2333" s="31" t="s">
        <v>1136</v>
      </c>
      <c r="F2333" s="31" t="s">
        <v>1170</v>
      </c>
      <c r="H2333" s="38">
        <v>13.39</v>
      </c>
    </row>
    <row r="2334" spans="1:8" x14ac:dyDescent="0.35">
      <c r="A2334" s="19"/>
      <c r="B2334" s="1" t="s">
        <v>150</v>
      </c>
      <c r="C2334" s="37">
        <v>45900</v>
      </c>
      <c r="D2334" s="31">
        <v>38905</v>
      </c>
      <c r="E2334" s="31" t="s">
        <v>1177</v>
      </c>
      <c r="F2334" s="31" t="s">
        <v>1170</v>
      </c>
      <c r="H2334" s="38">
        <v>45000</v>
      </c>
    </row>
    <row r="2335" spans="1:8" x14ac:dyDescent="0.35">
      <c r="A2335" s="19"/>
      <c r="B2335" s="1" t="s">
        <v>150</v>
      </c>
      <c r="C2335" s="37">
        <v>45900</v>
      </c>
      <c r="D2335" s="31">
        <v>38942</v>
      </c>
      <c r="E2335" s="31" t="s">
        <v>1149</v>
      </c>
      <c r="F2335" s="31" t="s">
        <v>1170</v>
      </c>
      <c r="H2335" s="38">
        <v>14.91</v>
      </c>
    </row>
    <row r="2336" spans="1:8" x14ac:dyDescent="0.35">
      <c r="A2336" s="19"/>
      <c r="B2336" s="1" t="s">
        <v>150</v>
      </c>
      <c r="C2336" s="37">
        <v>45900</v>
      </c>
      <c r="D2336" s="31">
        <v>38959</v>
      </c>
      <c r="E2336" s="31" t="s">
        <v>228</v>
      </c>
      <c r="F2336" s="31" t="s">
        <v>1170</v>
      </c>
      <c r="H2336" s="38">
        <v>1415.38</v>
      </c>
    </row>
    <row r="2337" spans="1:8" x14ac:dyDescent="0.35">
      <c r="A2337" s="19"/>
      <c r="B2337" s="1" t="s">
        <v>150</v>
      </c>
      <c r="C2337" s="37">
        <v>45900</v>
      </c>
      <c r="D2337" s="31">
        <v>38987</v>
      </c>
      <c r="E2337" s="31" t="s">
        <v>248</v>
      </c>
      <c r="F2337" s="31" t="s">
        <v>1170</v>
      </c>
      <c r="H2337" s="38">
        <v>514.48</v>
      </c>
    </row>
    <row r="2338" spans="1:8" x14ac:dyDescent="0.35">
      <c r="A2338" s="19"/>
      <c r="B2338" s="1" t="s">
        <v>150</v>
      </c>
      <c r="C2338" s="37">
        <v>45900</v>
      </c>
      <c r="D2338" s="31">
        <v>38997</v>
      </c>
      <c r="E2338" s="31" t="s">
        <v>128</v>
      </c>
      <c r="F2338" s="31" t="s">
        <v>1170</v>
      </c>
      <c r="H2338" s="38">
        <v>1094.5</v>
      </c>
    </row>
    <row r="2339" spans="1:8" x14ac:dyDescent="0.35">
      <c r="A2339" s="19"/>
      <c r="B2339" s="1" t="s">
        <v>150</v>
      </c>
      <c r="C2339" s="37">
        <v>45900</v>
      </c>
      <c r="D2339" s="31">
        <v>39012</v>
      </c>
      <c r="E2339" s="31" t="s">
        <v>918</v>
      </c>
      <c r="F2339" s="31" t="s">
        <v>1170</v>
      </c>
      <c r="H2339" s="38">
        <v>36000</v>
      </c>
    </row>
    <row r="2340" spans="1:8" x14ac:dyDescent="0.35">
      <c r="A2340" s="19"/>
      <c r="B2340" s="1" t="s">
        <v>150</v>
      </c>
      <c r="C2340" s="37">
        <v>45900</v>
      </c>
      <c r="D2340" s="31">
        <v>39073</v>
      </c>
      <c r="E2340" s="31" t="s">
        <v>1135</v>
      </c>
      <c r="F2340" s="31" t="s">
        <v>1170</v>
      </c>
      <c r="H2340" s="38">
        <v>425</v>
      </c>
    </row>
    <row r="2341" spans="1:8" x14ac:dyDescent="0.35">
      <c r="A2341" s="19"/>
      <c r="B2341" s="1" t="s">
        <v>150</v>
      </c>
      <c r="C2341" s="37">
        <v>45900</v>
      </c>
      <c r="D2341" s="31">
        <v>39074</v>
      </c>
      <c r="E2341" s="31" t="s">
        <v>1135</v>
      </c>
      <c r="F2341" s="31" t="s">
        <v>1170</v>
      </c>
      <c r="H2341" s="38">
        <v>425</v>
      </c>
    </row>
    <row r="2342" spans="1:8" x14ac:dyDescent="0.35">
      <c r="A2342" s="19"/>
      <c r="B2342" s="1" t="s">
        <v>150</v>
      </c>
      <c r="C2342" s="37">
        <v>45900</v>
      </c>
      <c r="D2342" s="31">
        <v>39084</v>
      </c>
      <c r="E2342" s="31" t="s">
        <v>1027</v>
      </c>
      <c r="F2342" s="31" t="s">
        <v>1170</v>
      </c>
      <c r="H2342" s="38">
        <v>600</v>
      </c>
    </row>
    <row r="2343" spans="1:8" x14ac:dyDescent="0.35">
      <c r="A2343" s="19"/>
      <c r="B2343" s="1" t="s">
        <v>150</v>
      </c>
      <c r="C2343" s="37">
        <v>45900</v>
      </c>
      <c r="D2343" s="31">
        <v>39086</v>
      </c>
      <c r="E2343" s="31" t="s">
        <v>50</v>
      </c>
      <c r="F2343" s="31" t="s">
        <v>1170</v>
      </c>
      <c r="H2343" s="38">
        <v>0</v>
      </c>
    </row>
    <row r="2344" spans="1:8" x14ac:dyDescent="0.35">
      <c r="A2344" s="19"/>
      <c r="B2344" s="1" t="s">
        <v>150</v>
      </c>
      <c r="C2344" s="37">
        <v>45900</v>
      </c>
      <c r="D2344" s="31" t="s">
        <v>1162</v>
      </c>
      <c r="E2344" s="31" t="s">
        <v>50</v>
      </c>
      <c r="F2344" s="31" t="s">
        <v>1170</v>
      </c>
      <c r="H2344" s="38">
        <v>0</v>
      </c>
    </row>
    <row r="2345" spans="1:8" x14ac:dyDescent="0.35">
      <c r="A2345" s="19"/>
      <c r="B2345" s="31" t="s">
        <v>151</v>
      </c>
      <c r="C2345" s="37">
        <v>45873</v>
      </c>
      <c r="D2345" s="31" t="s">
        <v>162</v>
      </c>
      <c r="E2345" s="31" t="s">
        <v>55</v>
      </c>
      <c r="F2345" s="31" t="s">
        <v>1178</v>
      </c>
      <c r="H2345" s="38">
        <v>22599.1</v>
      </c>
    </row>
    <row r="2346" spans="1:8" x14ac:dyDescent="0.35">
      <c r="A2346" s="19"/>
      <c r="B2346" s="31" t="s">
        <v>151</v>
      </c>
      <c r="C2346" s="37">
        <v>45873</v>
      </c>
      <c r="D2346" s="31">
        <v>38633</v>
      </c>
      <c r="E2346" s="31" t="s">
        <v>164</v>
      </c>
      <c r="F2346" s="31" t="s">
        <v>1178</v>
      </c>
      <c r="H2346" s="38">
        <v>257.11</v>
      </c>
    </row>
    <row r="2347" spans="1:8" x14ac:dyDescent="0.35">
      <c r="A2347" s="19"/>
      <c r="B2347" s="31" t="s">
        <v>151</v>
      </c>
      <c r="C2347" s="37">
        <v>45876</v>
      </c>
      <c r="D2347" s="31">
        <v>37687</v>
      </c>
      <c r="E2347" s="31" t="s">
        <v>75</v>
      </c>
      <c r="F2347" s="31" t="s">
        <v>1178</v>
      </c>
      <c r="H2347" s="38">
        <v>50.4</v>
      </c>
    </row>
    <row r="2348" spans="1:8" x14ac:dyDescent="0.35">
      <c r="A2348" s="19"/>
      <c r="B2348" s="31" t="s">
        <v>151</v>
      </c>
      <c r="C2348" s="37">
        <v>45876</v>
      </c>
      <c r="D2348" s="31">
        <v>38661</v>
      </c>
      <c r="E2348" s="31" t="s">
        <v>170</v>
      </c>
      <c r="F2348" s="31" t="s">
        <v>1178</v>
      </c>
      <c r="H2348" s="38">
        <v>2100</v>
      </c>
    </row>
    <row r="2349" spans="1:8" x14ac:dyDescent="0.35">
      <c r="A2349" s="19"/>
      <c r="B2349" s="31" t="s">
        <v>151</v>
      </c>
      <c r="C2349" s="37">
        <v>45877</v>
      </c>
      <c r="D2349" s="31">
        <v>36248</v>
      </c>
      <c r="E2349" s="31" t="s">
        <v>171</v>
      </c>
      <c r="F2349" s="31" t="s">
        <v>1178</v>
      </c>
      <c r="H2349" s="38">
        <v>7.28</v>
      </c>
    </row>
    <row r="2350" spans="1:8" x14ac:dyDescent="0.35">
      <c r="A2350" s="19"/>
      <c r="B2350" s="31" t="s">
        <v>151</v>
      </c>
      <c r="C2350" s="37">
        <v>45877</v>
      </c>
      <c r="D2350" s="31">
        <v>36250</v>
      </c>
      <c r="E2350" s="31" t="s">
        <v>171</v>
      </c>
      <c r="F2350" s="31" t="s">
        <v>1178</v>
      </c>
      <c r="H2350" s="38">
        <v>1499.88</v>
      </c>
    </row>
    <row r="2351" spans="1:8" x14ac:dyDescent="0.35">
      <c r="A2351" s="19"/>
      <c r="B2351" s="31" t="s">
        <v>151</v>
      </c>
      <c r="C2351" s="37">
        <v>45880</v>
      </c>
      <c r="D2351" s="31">
        <v>38260</v>
      </c>
      <c r="E2351" s="31" t="s">
        <v>177</v>
      </c>
      <c r="F2351" s="31" t="s">
        <v>1178</v>
      </c>
      <c r="H2351" s="38">
        <v>770.3</v>
      </c>
    </row>
    <row r="2352" spans="1:8" x14ac:dyDescent="0.35">
      <c r="A2352" s="19"/>
      <c r="B2352" s="31" t="s">
        <v>151</v>
      </c>
      <c r="C2352" s="37">
        <v>45880</v>
      </c>
      <c r="D2352" s="31">
        <v>38579</v>
      </c>
      <c r="E2352" s="31" t="s">
        <v>178</v>
      </c>
      <c r="F2352" s="31" t="s">
        <v>1178</v>
      </c>
      <c r="H2352" s="38">
        <v>1455</v>
      </c>
    </row>
    <row r="2353" spans="1:8" x14ac:dyDescent="0.35">
      <c r="A2353" s="19"/>
      <c r="B2353" s="31" t="s">
        <v>151</v>
      </c>
      <c r="C2353" s="37">
        <v>45881</v>
      </c>
      <c r="D2353" s="31" t="s">
        <v>191</v>
      </c>
      <c r="E2353" s="31" t="s">
        <v>75</v>
      </c>
      <c r="F2353" s="31" t="s">
        <v>1178</v>
      </c>
      <c r="H2353" s="38">
        <v>4433.1099999999997</v>
      </c>
    </row>
    <row r="2354" spans="1:8" x14ac:dyDescent="0.35">
      <c r="A2354" s="19"/>
      <c r="B2354" s="31" t="s">
        <v>151</v>
      </c>
      <c r="C2354" s="37">
        <v>45881</v>
      </c>
      <c r="D2354" s="31" t="s">
        <v>196</v>
      </c>
      <c r="E2354" s="31" t="s">
        <v>177</v>
      </c>
      <c r="F2354" s="31" t="s">
        <v>1178</v>
      </c>
      <c r="H2354" s="38">
        <v>3119.06</v>
      </c>
    </row>
    <row r="2355" spans="1:8" x14ac:dyDescent="0.35">
      <c r="A2355" s="19"/>
      <c r="B2355" s="31" t="s">
        <v>151</v>
      </c>
      <c r="C2355" s="37">
        <v>45881</v>
      </c>
      <c r="D2355" s="31">
        <v>38268</v>
      </c>
      <c r="E2355" s="31" t="s">
        <v>177</v>
      </c>
      <c r="F2355" s="31" t="s">
        <v>1178</v>
      </c>
      <c r="H2355" s="38">
        <v>59.89</v>
      </c>
    </row>
    <row r="2356" spans="1:8" x14ac:dyDescent="0.35">
      <c r="A2356" s="19"/>
      <c r="B2356" s="31" t="s">
        <v>151</v>
      </c>
      <c r="C2356" s="37">
        <v>45882</v>
      </c>
      <c r="D2356" s="31" t="s">
        <v>201</v>
      </c>
      <c r="E2356" s="31" t="s">
        <v>70</v>
      </c>
      <c r="F2356" s="31" t="s">
        <v>1178</v>
      </c>
      <c r="H2356" s="38">
        <v>538.21</v>
      </c>
    </row>
    <row r="2357" spans="1:8" x14ac:dyDescent="0.35">
      <c r="A2357" s="19"/>
      <c r="B2357" s="31" t="s">
        <v>151</v>
      </c>
      <c r="C2357" s="37">
        <v>45887</v>
      </c>
      <c r="D2357" s="31">
        <v>38857</v>
      </c>
      <c r="E2357" s="31" t="s">
        <v>202</v>
      </c>
      <c r="F2357" s="31" t="s">
        <v>1178</v>
      </c>
      <c r="H2357" s="38">
        <v>1820</v>
      </c>
    </row>
    <row r="2358" spans="1:8" x14ac:dyDescent="0.35">
      <c r="A2358" s="19"/>
      <c r="B2358" s="31" t="s">
        <v>151</v>
      </c>
      <c r="C2358" s="37">
        <v>45894</v>
      </c>
      <c r="D2358" s="31">
        <v>33571</v>
      </c>
      <c r="E2358" s="31" t="s">
        <v>33</v>
      </c>
      <c r="F2358" s="31" t="s">
        <v>1178</v>
      </c>
      <c r="H2358" s="38">
        <v>109.04</v>
      </c>
    </row>
    <row r="2359" spans="1:8" x14ac:dyDescent="0.35">
      <c r="A2359" s="19"/>
      <c r="B2359" s="31" t="s">
        <v>151</v>
      </c>
      <c r="C2359" s="37">
        <v>45894</v>
      </c>
      <c r="D2359" s="31" t="s">
        <v>1179</v>
      </c>
      <c r="E2359" s="31" t="s">
        <v>33</v>
      </c>
      <c r="F2359" s="31" t="s">
        <v>1178</v>
      </c>
      <c r="H2359" s="38">
        <v>1.83</v>
      </c>
    </row>
    <row r="2360" spans="1:8" x14ac:dyDescent="0.35">
      <c r="A2360" s="19"/>
      <c r="B2360" s="31" t="s">
        <v>151</v>
      </c>
      <c r="C2360" s="37">
        <v>45894</v>
      </c>
      <c r="D2360" s="31" t="s">
        <v>214</v>
      </c>
      <c r="E2360" s="31" t="s">
        <v>33</v>
      </c>
      <c r="F2360" s="31" t="s">
        <v>1178</v>
      </c>
      <c r="H2360" s="38">
        <v>5434.29</v>
      </c>
    </row>
    <row r="2361" spans="1:8" x14ac:dyDescent="0.35">
      <c r="A2361" s="19"/>
      <c r="B2361" s="31" t="s">
        <v>151</v>
      </c>
      <c r="C2361" s="37">
        <v>45894</v>
      </c>
      <c r="D2361" s="31" t="s">
        <v>218</v>
      </c>
      <c r="E2361" s="31" t="s">
        <v>33</v>
      </c>
      <c r="F2361" s="31" t="s">
        <v>1178</v>
      </c>
      <c r="H2361" s="38">
        <v>13225.78</v>
      </c>
    </row>
    <row r="2362" spans="1:8" x14ac:dyDescent="0.35">
      <c r="A2362" s="19"/>
      <c r="B2362" s="31" t="s">
        <v>151</v>
      </c>
      <c r="C2362" s="37">
        <v>45894</v>
      </c>
      <c r="D2362" s="31">
        <v>36943</v>
      </c>
      <c r="E2362" s="31" t="s">
        <v>131</v>
      </c>
      <c r="F2362" s="31" t="s">
        <v>1178</v>
      </c>
      <c r="H2362" s="38">
        <v>0</v>
      </c>
    </row>
    <row r="2363" spans="1:8" x14ac:dyDescent="0.35">
      <c r="A2363" s="19"/>
      <c r="B2363" s="31" t="s">
        <v>151</v>
      </c>
      <c r="C2363" s="37">
        <v>45898</v>
      </c>
      <c r="D2363" s="31">
        <v>38185</v>
      </c>
      <c r="E2363" s="31" t="s">
        <v>70</v>
      </c>
      <c r="F2363" s="31" t="s">
        <v>1178</v>
      </c>
      <c r="H2363" s="38">
        <v>4800.01</v>
      </c>
    </row>
    <row r="2364" spans="1:8" x14ac:dyDescent="0.35">
      <c r="A2364" s="19"/>
      <c r="B2364" s="31" t="s">
        <v>151</v>
      </c>
      <c r="C2364" s="37">
        <v>45898</v>
      </c>
      <c r="D2364" s="31">
        <v>38199</v>
      </c>
      <c r="E2364" s="31" t="s">
        <v>70</v>
      </c>
      <c r="F2364" s="31" t="s">
        <v>1178</v>
      </c>
      <c r="H2364" s="38">
        <v>5718.88</v>
      </c>
    </row>
    <row r="2365" spans="1:8" x14ac:dyDescent="0.35">
      <c r="A2365" s="19"/>
      <c r="B2365" s="31" t="s">
        <v>151</v>
      </c>
      <c r="C2365" s="37">
        <v>45898</v>
      </c>
      <c r="D2365" s="31" t="s">
        <v>236</v>
      </c>
      <c r="E2365" s="31" t="s">
        <v>70</v>
      </c>
      <c r="F2365" s="31" t="s">
        <v>1178</v>
      </c>
      <c r="H2365" s="38">
        <v>4539.33</v>
      </c>
    </row>
    <row r="2366" spans="1:8" x14ac:dyDescent="0.35">
      <c r="A2366" s="19"/>
      <c r="B2366" s="31" t="s">
        <v>151</v>
      </c>
      <c r="C2366" s="37">
        <v>45898</v>
      </c>
      <c r="D2366" s="31">
        <v>38851</v>
      </c>
      <c r="E2366" s="31" t="s">
        <v>238</v>
      </c>
      <c r="F2366" s="31" t="s">
        <v>1178</v>
      </c>
      <c r="H2366" s="38">
        <v>4550</v>
      </c>
    </row>
    <row r="2367" spans="1:8" x14ac:dyDescent="0.35">
      <c r="A2367" s="19"/>
      <c r="B2367" s="31" t="s">
        <v>151</v>
      </c>
      <c r="C2367" s="37">
        <v>45898</v>
      </c>
      <c r="D2367" s="31">
        <v>38881</v>
      </c>
      <c r="E2367" s="31" t="s">
        <v>239</v>
      </c>
      <c r="F2367" s="31" t="s">
        <v>1178</v>
      </c>
      <c r="H2367" s="38">
        <v>250</v>
      </c>
    </row>
    <row r="2368" spans="1:8" x14ac:dyDescent="0.35">
      <c r="A2368" s="19"/>
      <c r="B2368" s="31" t="s">
        <v>151</v>
      </c>
      <c r="C2368" s="37">
        <v>45898</v>
      </c>
      <c r="D2368" s="31">
        <v>38893</v>
      </c>
      <c r="E2368" s="31" t="s">
        <v>239</v>
      </c>
      <c r="F2368" s="31" t="s">
        <v>1178</v>
      </c>
      <c r="H2368" s="38">
        <v>887</v>
      </c>
    </row>
    <row r="2369" spans="1:8" x14ac:dyDescent="0.35">
      <c r="A2369" s="19"/>
      <c r="B2369" s="31" t="s">
        <v>151</v>
      </c>
      <c r="C2369" s="37">
        <v>45898</v>
      </c>
      <c r="D2369" s="31">
        <v>39125</v>
      </c>
      <c r="E2369" s="31" t="s">
        <v>137</v>
      </c>
      <c r="F2369" s="31" t="s">
        <v>1178</v>
      </c>
      <c r="H2369" s="38">
        <v>509579.86</v>
      </c>
    </row>
    <row r="2370" spans="1:8" x14ac:dyDescent="0.35">
      <c r="A2370" s="19"/>
      <c r="B2370" s="31" t="s">
        <v>151</v>
      </c>
      <c r="C2370" s="37">
        <v>45899</v>
      </c>
      <c r="D2370" s="31">
        <v>35818</v>
      </c>
      <c r="E2370" s="31" t="s">
        <v>370</v>
      </c>
      <c r="F2370" s="31" t="s">
        <v>1178</v>
      </c>
      <c r="H2370" s="38">
        <v>7735.76</v>
      </c>
    </row>
    <row r="2371" spans="1:8" x14ac:dyDescent="0.35">
      <c r="A2371" s="19"/>
      <c r="B2371" s="31" t="s">
        <v>151</v>
      </c>
      <c r="C2371" s="37">
        <v>45899</v>
      </c>
      <c r="D2371" s="31">
        <v>36512</v>
      </c>
      <c r="E2371" s="31" t="s">
        <v>586</v>
      </c>
      <c r="F2371" s="31" t="s">
        <v>1178</v>
      </c>
      <c r="H2371" s="38">
        <v>2472.11</v>
      </c>
    </row>
    <row r="2372" spans="1:8" x14ac:dyDescent="0.35">
      <c r="A2372" s="19"/>
      <c r="B2372" s="31" t="s">
        <v>151</v>
      </c>
      <c r="C2372" s="37">
        <v>45899</v>
      </c>
      <c r="D2372" s="31" t="s">
        <v>706</v>
      </c>
      <c r="E2372" s="31" t="s">
        <v>707</v>
      </c>
      <c r="F2372" s="31" t="s">
        <v>1178</v>
      </c>
      <c r="H2372" s="38">
        <v>632.30999999999995</v>
      </c>
    </row>
    <row r="2373" spans="1:8" x14ac:dyDescent="0.35">
      <c r="A2373" s="19"/>
      <c r="B2373" s="31" t="s">
        <v>151</v>
      </c>
      <c r="C2373" s="37">
        <v>45899</v>
      </c>
      <c r="D2373" s="31">
        <v>38051</v>
      </c>
      <c r="E2373" s="31" t="s">
        <v>682</v>
      </c>
      <c r="F2373" s="31" t="s">
        <v>1178</v>
      </c>
      <c r="H2373" s="38">
        <v>2440</v>
      </c>
    </row>
    <row r="2374" spans="1:8" x14ac:dyDescent="0.35">
      <c r="A2374" s="19"/>
      <c r="B2374" s="31" t="s">
        <v>151</v>
      </c>
      <c r="C2374" s="37">
        <v>45899</v>
      </c>
      <c r="D2374" s="31">
        <v>38229</v>
      </c>
      <c r="E2374" s="31" t="s">
        <v>57</v>
      </c>
      <c r="F2374" s="31" t="s">
        <v>1178</v>
      </c>
      <c r="H2374" s="38">
        <v>749.08</v>
      </c>
    </row>
    <row r="2375" spans="1:8" x14ac:dyDescent="0.35">
      <c r="A2375" s="19"/>
      <c r="B2375" s="31" t="s">
        <v>151</v>
      </c>
      <c r="C2375" s="37">
        <v>45899</v>
      </c>
      <c r="D2375" s="31">
        <v>38230</v>
      </c>
      <c r="E2375" s="31" t="s">
        <v>831</v>
      </c>
      <c r="F2375" s="31" t="s">
        <v>1178</v>
      </c>
      <c r="H2375" s="38">
        <v>1725</v>
      </c>
    </row>
    <row r="2376" spans="1:8" x14ac:dyDescent="0.35">
      <c r="A2376" s="19"/>
      <c r="B2376" s="31" t="s">
        <v>151</v>
      </c>
      <c r="C2376" s="37">
        <v>45899</v>
      </c>
      <c r="D2376" s="31" t="s">
        <v>838</v>
      </c>
      <c r="E2376" s="31" t="s">
        <v>177</v>
      </c>
      <c r="F2376" s="31" t="s">
        <v>1178</v>
      </c>
      <c r="H2376" s="38">
        <v>3894.55</v>
      </c>
    </row>
    <row r="2377" spans="1:8" x14ac:dyDescent="0.35">
      <c r="A2377" s="19"/>
      <c r="B2377" s="31" t="s">
        <v>151</v>
      </c>
      <c r="C2377" s="37">
        <v>45899</v>
      </c>
      <c r="D2377" s="31">
        <v>38254</v>
      </c>
      <c r="E2377" s="31" t="s">
        <v>177</v>
      </c>
      <c r="F2377" s="31" t="s">
        <v>1178</v>
      </c>
      <c r="H2377" s="38">
        <v>9126.7800000000007</v>
      </c>
    </row>
    <row r="2378" spans="1:8" x14ac:dyDescent="0.35">
      <c r="A2378" s="19"/>
      <c r="B2378" s="31" t="s">
        <v>151</v>
      </c>
      <c r="C2378" s="37">
        <v>45899</v>
      </c>
      <c r="D2378" s="31" t="s">
        <v>839</v>
      </c>
      <c r="E2378" s="31" t="s">
        <v>177</v>
      </c>
      <c r="F2378" s="31" t="s">
        <v>1178</v>
      </c>
      <c r="H2378" s="38">
        <v>36013.69</v>
      </c>
    </row>
    <row r="2379" spans="1:8" x14ac:dyDescent="0.35">
      <c r="A2379" s="19"/>
      <c r="B2379" s="31" t="s">
        <v>151</v>
      </c>
      <c r="C2379" s="37">
        <v>45899</v>
      </c>
      <c r="D2379" s="31" t="s">
        <v>840</v>
      </c>
      <c r="E2379" s="31" t="s">
        <v>177</v>
      </c>
      <c r="F2379" s="31" t="s">
        <v>1178</v>
      </c>
      <c r="H2379" s="38">
        <v>3623.9</v>
      </c>
    </row>
    <row r="2380" spans="1:8" x14ac:dyDescent="0.35">
      <c r="A2380" s="19"/>
      <c r="B2380" s="31" t="s">
        <v>151</v>
      </c>
      <c r="C2380" s="37">
        <v>45899</v>
      </c>
      <c r="D2380" s="31" t="s">
        <v>841</v>
      </c>
      <c r="E2380" s="31" t="s">
        <v>177</v>
      </c>
      <c r="F2380" s="31" t="s">
        <v>1178</v>
      </c>
      <c r="H2380" s="38">
        <v>15172</v>
      </c>
    </row>
    <row r="2381" spans="1:8" x14ac:dyDescent="0.35">
      <c r="A2381" s="19"/>
      <c r="B2381" s="31" t="s">
        <v>151</v>
      </c>
      <c r="C2381" s="37">
        <v>45899</v>
      </c>
      <c r="D2381" s="31">
        <v>38263</v>
      </c>
      <c r="E2381" s="31" t="s">
        <v>177</v>
      </c>
      <c r="F2381" s="31" t="s">
        <v>1178</v>
      </c>
      <c r="H2381" s="38">
        <v>156.41999999999999</v>
      </c>
    </row>
    <row r="2382" spans="1:8" x14ac:dyDescent="0.35">
      <c r="A2382" s="19"/>
      <c r="B2382" s="31" t="s">
        <v>151</v>
      </c>
      <c r="C2382" s="37">
        <v>45899</v>
      </c>
      <c r="D2382" s="31">
        <v>38265</v>
      </c>
      <c r="E2382" s="31" t="s">
        <v>177</v>
      </c>
      <c r="F2382" s="31" t="s">
        <v>1178</v>
      </c>
      <c r="H2382" s="38">
        <v>2826.34</v>
      </c>
    </row>
    <row r="2383" spans="1:8" x14ac:dyDescent="0.35">
      <c r="A2383" s="19"/>
      <c r="B2383" s="31" t="s">
        <v>151</v>
      </c>
      <c r="C2383" s="37">
        <v>45899</v>
      </c>
      <c r="D2383" s="31">
        <v>38266</v>
      </c>
      <c r="E2383" s="31" t="s">
        <v>177</v>
      </c>
      <c r="F2383" s="31" t="s">
        <v>1178</v>
      </c>
      <c r="H2383" s="38">
        <v>2840.25</v>
      </c>
    </row>
    <row r="2384" spans="1:8" x14ac:dyDescent="0.35">
      <c r="A2384" s="19"/>
      <c r="B2384" s="31" t="s">
        <v>151</v>
      </c>
      <c r="C2384" s="37">
        <v>45899</v>
      </c>
      <c r="D2384" s="31">
        <v>38546</v>
      </c>
      <c r="E2384" s="31" t="s">
        <v>86</v>
      </c>
      <c r="F2384" s="31" t="s">
        <v>1178</v>
      </c>
      <c r="H2384" s="38">
        <v>2018</v>
      </c>
    </row>
    <row r="2385" spans="1:8" x14ac:dyDescent="0.35">
      <c r="A2385" s="19"/>
      <c r="B2385" s="31" t="s">
        <v>151</v>
      </c>
      <c r="C2385" s="37">
        <v>45899</v>
      </c>
      <c r="D2385" s="31" t="s">
        <v>904</v>
      </c>
      <c r="E2385" s="31" t="s">
        <v>64</v>
      </c>
      <c r="F2385" s="31" t="s">
        <v>1178</v>
      </c>
      <c r="H2385" s="38">
        <v>26382.55</v>
      </c>
    </row>
    <row r="2386" spans="1:8" x14ac:dyDescent="0.35">
      <c r="A2386" s="19"/>
      <c r="B2386" s="31" t="s">
        <v>151</v>
      </c>
      <c r="C2386" s="37">
        <v>45899</v>
      </c>
      <c r="D2386" s="31">
        <v>38651</v>
      </c>
      <c r="E2386" s="31" t="s">
        <v>586</v>
      </c>
      <c r="F2386" s="31" t="s">
        <v>1178</v>
      </c>
      <c r="H2386" s="38">
        <v>2064.11</v>
      </c>
    </row>
    <row r="2387" spans="1:8" x14ac:dyDescent="0.35">
      <c r="A2387" s="19"/>
      <c r="B2387" s="31" t="s">
        <v>151</v>
      </c>
      <c r="C2387" s="37">
        <v>45899</v>
      </c>
      <c r="D2387" s="31">
        <v>38791</v>
      </c>
      <c r="E2387" s="31" t="s">
        <v>917</v>
      </c>
      <c r="F2387" s="31" t="s">
        <v>1178</v>
      </c>
      <c r="H2387" s="38">
        <v>847.22</v>
      </c>
    </row>
    <row r="2388" spans="1:8" x14ac:dyDescent="0.35">
      <c r="A2388" s="19"/>
      <c r="B2388" s="31" t="s">
        <v>151</v>
      </c>
      <c r="C2388" s="37">
        <v>45899</v>
      </c>
      <c r="D2388" s="31">
        <v>38817</v>
      </c>
      <c r="E2388" s="31" t="s">
        <v>919</v>
      </c>
      <c r="F2388" s="31" t="s">
        <v>1178</v>
      </c>
      <c r="H2388" s="38">
        <v>665.5</v>
      </c>
    </row>
    <row r="2389" spans="1:8" x14ac:dyDescent="0.35">
      <c r="A2389" s="19"/>
      <c r="B2389" s="31" t="s">
        <v>151</v>
      </c>
      <c r="C2389" s="37">
        <v>45899</v>
      </c>
      <c r="D2389" s="31">
        <v>38834</v>
      </c>
      <c r="E2389" s="31" t="s">
        <v>920</v>
      </c>
      <c r="F2389" s="31" t="s">
        <v>1178</v>
      </c>
      <c r="H2389" s="38">
        <v>4313.13</v>
      </c>
    </row>
    <row r="2390" spans="1:8" x14ac:dyDescent="0.35">
      <c r="A2390" s="19"/>
      <c r="B2390" s="31" t="s">
        <v>151</v>
      </c>
      <c r="C2390" s="37">
        <v>45899</v>
      </c>
      <c r="D2390" s="31">
        <v>38839</v>
      </c>
      <c r="E2390" s="31" t="s">
        <v>921</v>
      </c>
      <c r="F2390" s="31" t="s">
        <v>1178</v>
      </c>
      <c r="H2390" s="38">
        <v>500</v>
      </c>
    </row>
    <row r="2391" spans="1:8" x14ac:dyDescent="0.35">
      <c r="A2391" s="19"/>
      <c r="B2391" s="31" t="s">
        <v>151</v>
      </c>
      <c r="C2391" s="37">
        <v>45899</v>
      </c>
      <c r="D2391" s="31">
        <v>38846</v>
      </c>
      <c r="E2391" s="31" t="s">
        <v>922</v>
      </c>
      <c r="F2391" s="31" t="s">
        <v>1178</v>
      </c>
      <c r="H2391" s="38">
        <v>1600</v>
      </c>
    </row>
    <row r="2392" spans="1:8" x14ac:dyDescent="0.35">
      <c r="A2392" s="19"/>
      <c r="B2392" s="31" t="s">
        <v>151</v>
      </c>
      <c r="C2392" s="37">
        <v>45899</v>
      </c>
      <c r="D2392" s="31">
        <v>38874</v>
      </c>
      <c r="E2392" s="31" t="s">
        <v>923</v>
      </c>
      <c r="F2392" s="31" t="s">
        <v>1178</v>
      </c>
      <c r="H2392" s="38">
        <v>2200</v>
      </c>
    </row>
    <row r="2393" spans="1:8" x14ac:dyDescent="0.35">
      <c r="A2393" s="19"/>
      <c r="B2393" s="31" t="s">
        <v>151</v>
      </c>
      <c r="C2393" s="37">
        <v>45899</v>
      </c>
      <c r="D2393" s="31">
        <v>38889</v>
      </c>
      <c r="E2393" s="31" t="s">
        <v>107</v>
      </c>
      <c r="F2393" s="31" t="s">
        <v>1178</v>
      </c>
      <c r="H2393" s="38">
        <v>2057.27</v>
      </c>
    </row>
    <row r="2394" spans="1:8" x14ac:dyDescent="0.35">
      <c r="A2394" s="19"/>
      <c r="B2394" s="31" t="s">
        <v>151</v>
      </c>
      <c r="C2394" s="37">
        <v>45899</v>
      </c>
      <c r="D2394" s="31">
        <v>38953</v>
      </c>
      <c r="E2394" s="31" t="s">
        <v>917</v>
      </c>
      <c r="F2394" s="31" t="s">
        <v>1178</v>
      </c>
      <c r="H2394" s="38">
        <v>600</v>
      </c>
    </row>
    <row r="2395" spans="1:8" x14ac:dyDescent="0.35">
      <c r="A2395" s="19"/>
      <c r="B2395" s="31" t="s">
        <v>151</v>
      </c>
      <c r="C2395" s="37">
        <v>45899</v>
      </c>
      <c r="D2395" s="31">
        <v>38954</v>
      </c>
      <c r="E2395" s="31" t="s">
        <v>924</v>
      </c>
      <c r="F2395" s="31" t="s">
        <v>1178</v>
      </c>
      <c r="H2395" s="38">
        <v>350</v>
      </c>
    </row>
    <row r="2396" spans="1:8" x14ac:dyDescent="0.35">
      <c r="A2396" s="19"/>
      <c r="B2396" s="31" t="s">
        <v>151</v>
      </c>
      <c r="C2396" s="37">
        <v>45899</v>
      </c>
      <c r="D2396" s="31">
        <v>38970</v>
      </c>
      <c r="E2396" s="31" t="s">
        <v>925</v>
      </c>
      <c r="F2396" s="31" t="s">
        <v>1178</v>
      </c>
      <c r="H2396" s="38">
        <v>350</v>
      </c>
    </row>
    <row r="2397" spans="1:8" x14ac:dyDescent="0.35">
      <c r="A2397" s="19"/>
      <c r="B2397" s="31" t="s">
        <v>151</v>
      </c>
      <c r="C2397" s="37">
        <v>45899</v>
      </c>
      <c r="D2397" s="31">
        <v>38981</v>
      </c>
      <c r="E2397" s="31" t="s">
        <v>917</v>
      </c>
      <c r="F2397" s="31" t="s">
        <v>1178</v>
      </c>
      <c r="H2397" s="38">
        <v>370</v>
      </c>
    </row>
    <row r="2398" spans="1:8" x14ac:dyDescent="0.35">
      <c r="A2398" s="19"/>
      <c r="B2398" s="31" t="s">
        <v>151</v>
      </c>
      <c r="C2398" s="37">
        <v>45899</v>
      </c>
      <c r="D2398" s="31">
        <v>38993</v>
      </c>
      <c r="E2398" s="31" t="s">
        <v>55</v>
      </c>
      <c r="F2398" s="31" t="s">
        <v>1178</v>
      </c>
      <c r="H2398" s="38">
        <v>6712.5</v>
      </c>
    </row>
    <row r="2399" spans="1:8" x14ac:dyDescent="0.35">
      <c r="A2399" s="19"/>
      <c r="B2399" s="31" t="s">
        <v>151</v>
      </c>
      <c r="C2399" s="37">
        <v>45899</v>
      </c>
      <c r="D2399" s="31">
        <v>38996</v>
      </c>
      <c r="E2399" s="31" t="s">
        <v>128</v>
      </c>
      <c r="F2399" s="31" t="s">
        <v>1178</v>
      </c>
      <c r="H2399" s="38">
        <v>350</v>
      </c>
    </row>
    <row r="2400" spans="1:8" x14ac:dyDescent="0.35">
      <c r="A2400" s="19"/>
      <c r="B2400" s="31" t="s">
        <v>151</v>
      </c>
      <c r="C2400" s="37">
        <v>45899</v>
      </c>
      <c r="D2400" s="31">
        <v>39002</v>
      </c>
      <c r="E2400" s="31" t="s">
        <v>926</v>
      </c>
      <c r="F2400" s="31" t="s">
        <v>1178</v>
      </c>
      <c r="H2400" s="38">
        <v>1900</v>
      </c>
    </row>
    <row r="2401" spans="1:8" x14ac:dyDescent="0.35">
      <c r="A2401" s="19"/>
      <c r="B2401" s="31" t="s">
        <v>151</v>
      </c>
      <c r="C2401" s="37">
        <v>45899</v>
      </c>
      <c r="D2401" s="31">
        <v>39010</v>
      </c>
      <c r="E2401" s="31" t="s">
        <v>927</v>
      </c>
      <c r="F2401" s="31" t="s">
        <v>1178</v>
      </c>
      <c r="H2401" s="38">
        <v>693</v>
      </c>
    </row>
    <row r="2402" spans="1:8" x14ac:dyDescent="0.35">
      <c r="A2402" s="19"/>
      <c r="B2402" s="31" t="s">
        <v>151</v>
      </c>
      <c r="C2402" s="37">
        <v>45900</v>
      </c>
      <c r="D2402" s="31" t="s">
        <v>1180</v>
      </c>
      <c r="E2402" s="31" t="s">
        <v>1181</v>
      </c>
      <c r="F2402" s="31" t="s">
        <v>1178</v>
      </c>
      <c r="H2402" s="38">
        <v>541.25</v>
      </c>
    </row>
    <row r="2403" spans="1:8" x14ac:dyDescent="0.35">
      <c r="A2403" s="19"/>
      <c r="B2403" s="31" t="s">
        <v>151</v>
      </c>
      <c r="C2403" s="37">
        <v>45900</v>
      </c>
      <c r="D2403" s="31" t="s">
        <v>955</v>
      </c>
      <c r="E2403" s="31" t="s">
        <v>29</v>
      </c>
      <c r="F2403" s="31" t="s">
        <v>1178</v>
      </c>
      <c r="H2403" s="38">
        <v>730.89</v>
      </c>
    </row>
    <row r="2404" spans="1:8" x14ac:dyDescent="0.35">
      <c r="A2404" s="19"/>
      <c r="B2404" s="31" t="s">
        <v>151</v>
      </c>
      <c r="C2404" s="37">
        <v>45900</v>
      </c>
      <c r="D2404" s="31">
        <v>33967</v>
      </c>
      <c r="E2404" s="31" t="s">
        <v>50</v>
      </c>
      <c r="F2404" s="31" t="s">
        <v>1178</v>
      </c>
      <c r="H2404" s="38">
        <v>0</v>
      </c>
    </row>
    <row r="2405" spans="1:8" x14ac:dyDescent="0.35">
      <c r="A2405" s="19"/>
      <c r="B2405" s="31" t="s">
        <v>151</v>
      </c>
      <c r="C2405" s="37">
        <v>45900</v>
      </c>
      <c r="D2405" s="31" t="s">
        <v>967</v>
      </c>
      <c r="E2405" s="31" t="s">
        <v>44</v>
      </c>
      <c r="F2405" s="31" t="s">
        <v>1178</v>
      </c>
      <c r="H2405" s="38">
        <v>7230.75</v>
      </c>
    </row>
    <row r="2406" spans="1:8" x14ac:dyDescent="0.35">
      <c r="A2406" s="19"/>
      <c r="B2406" s="31" t="s">
        <v>151</v>
      </c>
      <c r="C2406" s="37">
        <v>45900</v>
      </c>
      <c r="D2406" s="31">
        <v>34382</v>
      </c>
      <c r="E2406" s="31" t="s">
        <v>50</v>
      </c>
      <c r="F2406" s="31" t="s">
        <v>1178</v>
      </c>
      <c r="H2406" s="38">
        <v>0</v>
      </c>
    </row>
    <row r="2407" spans="1:8" x14ac:dyDescent="0.35">
      <c r="A2407" s="19"/>
      <c r="B2407" s="31" t="s">
        <v>151</v>
      </c>
      <c r="C2407" s="37">
        <v>45900</v>
      </c>
      <c r="D2407" s="31" t="s">
        <v>1182</v>
      </c>
      <c r="E2407" s="31" t="s">
        <v>405</v>
      </c>
      <c r="F2407" s="31" t="s">
        <v>1178</v>
      </c>
      <c r="H2407" s="38">
        <v>0.28000000000000003</v>
      </c>
    </row>
    <row r="2408" spans="1:8" x14ac:dyDescent="0.35">
      <c r="A2408" s="19"/>
      <c r="B2408" s="31" t="s">
        <v>151</v>
      </c>
      <c r="C2408" s="37">
        <v>45900</v>
      </c>
      <c r="D2408" s="31" t="s">
        <v>978</v>
      </c>
      <c r="E2408" s="31" t="s">
        <v>408</v>
      </c>
      <c r="F2408" s="31" t="s">
        <v>1178</v>
      </c>
      <c r="H2408" s="38">
        <v>13366.38</v>
      </c>
    </row>
    <row r="2409" spans="1:8" x14ac:dyDescent="0.35">
      <c r="A2409" s="19"/>
      <c r="B2409" s="31" t="s">
        <v>151</v>
      </c>
      <c r="C2409" s="37">
        <v>45900</v>
      </c>
      <c r="D2409" s="31" t="s">
        <v>993</v>
      </c>
      <c r="E2409" s="31" t="s">
        <v>80</v>
      </c>
      <c r="F2409" s="31" t="s">
        <v>1178</v>
      </c>
      <c r="H2409" s="38">
        <v>12512.58</v>
      </c>
    </row>
    <row r="2410" spans="1:8" x14ac:dyDescent="0.35">
      <c r="A2410" s="19"/>
      <c r="B2410" s="31" t="s">
        <v>151</v>
      </c>
      <c r="C2410" s="37">
        <v>45900</v>
      </c>
      <c r="D2410" s="31">
        <v>35434</v>
      </c>
      <c r="E2410" s="31" t="s">
        <v>80</v>
      </c>
      <c r="F2410" s="31" t="s">
        <v>1178</v>
      </c>
      <c r="H2410" s="38">
        <v>1847.68</v>
      </c>
    </row>
    <row r="2411" spans="1:8" x14ac:dyDescent="0.35">
      <c r="A2411" s="19"/>
      <c r="B2411" s="31" t="s">
        <v>151</v>
      </c>
      <c r="C2411" s="37">
        <v>45900</v>
      </c>
      <c r="D2411" s="31" t="s">
        <v>1002</v>
      </c>
      <c r="E2411" s="31" t="s">
        <v>80</v>
      </c>
      <c r="F2411" s="31" t="s">
        <v>1178</v>
      </c>
      <c r="H2411" s="38">
        <v>1471.5</v>
      </c>
    </row>
    <row r="2412" spans="1:8" x14ac:dyDescent="0.35">
      <c r="A2412" s="19"/>
      <c r="B2412" s="31" t="s">
        <v>151</v>
      </c>
      <c r="C2412" s="37">
        <v>45900</v>
      </c>
      <c r="D2412" s="31">
        <v>35494</v>
      </c>
      <c r="E2412" s="31" t="s">
        <v>449</v>
      </c>
      <c r="F2412" s="31" t="s">
        <v>1178</v>
      </c>
      <c r="H2412" s="38">
        <v>292.52</v>
      </c>
    </row>
    <row r="2413" spans="1:8" x14ac:dyDescent="0.35">
      <c r="A2413" s="19"/>
      <c r="B2413" s="31" t="s">
        <v>151</v>
      </c>
      <c r="C2413" s="37">
        <v>45900</v>
      </c>
      <c r="D2413" s="31" t="s">
        <v>1009</v>
      </c>
      <c r="E2413" s="31" t="s">
        <v>453</v>
      </c>
      <c r="F2413" s="31" t="s">
        <v>1178</v>
      </c>
      <c r="H2413" s="38">
        <v>4315.75</v>
      </c>
    </row>
    <row r="2414" spans="1:8" x14ac:dyDescent="0.35">
      <c r="A2414" s="19"/>
      <c r="B2414" s="31" t="s">
        <v>151</v>
      </c>
      <c r="C2414" s="37">
        <v>45900</v>
      </c>
      <c r="D2414" s="31" t="s">
        <v>1011</v>
      </c>
      <c r="E2414" s="31" t="s">
        <v>453</v>
      </c>
      <c r="F2414" s="31" t="s">
        <v>1178</v>
      </c>
      <c r="H2414" s="38">
        <v>1194.6300000000001</v>
      </c>
    </row>
    <row r="2415" spans="1:8" x14ac:dyDescent="0.35">
      <c r="A2415" s="19"/>
      <c r="B2415" s="31" t="s">
        <v>151</v>
      </c>
      <c r="C2415" s="37">
        <v>45900</v>
      </c>
      <c r="D2415" s="31" t="s">
        <v>1018</v>
      </c>
      <c r="E2415" s="31" t="s">
        <v>55</v>
      </c>
      <c r="F2415" s="31" t="s">
        <v>1178</v>
      </c>
      <c r="H2415" s="38">
        <v>4817.0200000000004</v>
      </c>
    </row>
    <row r="2416" spans="1:8" x14ac:dyDescent="0.35">
      <c r="A2416" s="19"/>
      <c r="B2416" s="31" t="s">
        <v>151</v>
      </c>
      <c r="C2416" s="37">
        <v>45900</v>
      </c>
      <c r="D2416" s="31" t="s">
        <v>1020</v>
      </c>
      <c r="E2416" s="31" t="s">
        <v>55</v>
      </c>
      <c r="F2416" s="31" t="s">
        <v>1178</v>
      </c>
      <c r="H2416" s="38">
        <v>9505.74</v>
      </c>
    </row>
    <row r="2417" spans="1:8" x14ac:dyDescent="0.35">
      <c r="A2417" s="19"/>
      <c r="B2417" s="31" t="s">
        <v>151</v>
      </c>
      <c r="C2417" s="37">
        <v>45900</v>
      </c>
      <c r="D2417" s="31">
        <v>35797</v>
      </c>
      <c r="E2417" s="31" t="s">
        <v>55</v>
      </c>
      <c r="F2417" s="31" t="s">
        <v>1178</v>
      </c>
      <c r="H2417" s="38">
        <v>10327.44</v>
      </c>
    </row>
    <row r="2418" spans="1:8" x14ac:dyDescent="0.35">
      <c r="A2418" s="19"/>
      <c r="B2418" s="31" t="s">
        <v>151</v>
      </c>
      <c r="C2418" s="37">
        <v>45900</v>
      </c>
      <c r="D2418" s="31" t="s">
        <v>1021</v>
      </c>
      <c r="E2418" s="31" t="s">
        <v>55</v>
      </c>
      <c r="F2418" s="31" t="s">
        <v>1178</v>
      </c>
      <c r="H2418" s="38">
        <v>8252.7000000000007</v>
      </c>
    </row>
    <row r="2419" spans="1:8" x14ac:dyDescent="0.35">
      <c r="A2419" s="19"/>
      <c r="B2419" s="31" t="s">
        <v>151</v>
      </c>
      <c r="C2419" s="37">
        <v>45900</v>
      </c>
      <c r="D2419" s="31" t="s">
        <v>1022</v>
      </c>
      <c r="E2419" s="31" t="s">
        <v>55</v>
      </c>
      <c r="F2419" s="31" t="s">
        <v>1178</v>
      </c>
      <c r="H2419" s="38">
        <v>11819.71</v>
      </c>
    </row>
    <row r="2420" spans="1:8" x14ac:dyDescent="0.35">
      <c r="A2420" s="19"/>
      <c r="B2420" s="31" t="s">
        <v>151</v>
      </c>
      <c r="C2420" s="37">
        <v>45900</v>
      </c>
      <c r="D2420" s="31">
        <v>35806</v>
      </c>
      <c r="E2420" s="31" t="s">
        <v>55</v>
      </c>
      <c r="F2420" s="31" t="s">
        <v>1178</v>
      </c>
      <c r="H2420" s="38">
        <v>1022.42</v>
      </c>
    </row>
    <row r="2421" spans="1:8" x14ac:dyDescent="0.35">
      <c r="A2421" s="19"/>
      <c r="B2421" s="31" t="s">
        <v>151</v>
      </c>
      <c r="C2421" s="37">
        <v>45900</v>
      </c>
      <c r="D2421" s="31" t="s">
        <v>1023</v>
      </c>
      <c r="E2421" s="31" t="s">
        <v>55</v>
      </c>
      <c r="F2421" s="31" t="s">
        <v>1178</v>
      </c>
      <c r="H2421" s="38">
        <v>19232.13</v>
      </c>
    </row>
    <row r="2422" spans="1:8" x14ac:dyDescent="0.35">
      <c r="A2422" s="19"/>
      <c r="B2422" s="31" t="s">
        <v>151</v>
      </c>
      <c r="C2422" s="37">
        <v>45900</v>
      </c>
      <c r="D2422" s="31" t="s">
        <v>1024</v>
      </c>
      <c r="E2422" s="31" t="s">
        <v>55</v>
      </c>
      <c r="F2422" s="31" t="s">
        <v>1178</v>
      </c>
      <c r="H2422" s="38">
        <v>4901.51</v>
      </c>
    </row>
    <row r="2423" spans="1:8" x14ac:dyDescent="0.35">
      <c r="A2423" s="19"/>
      <c r="B2423" s="31" t="s">
        <v>151</v>
      </c>
      <c r="C2423" s="37">
        <v>45900</v>
      </c>
      <c r="D2423" s="31">
        <v>35811</v>
      </c>
      <c r="E2423" s="31" t="s">
        <v>55</v>
      </c>
      <c r="F2423" s="31" t="s">
        <v>1178</v>
      </c>
      <c r="H2423" s="38">
        <v>16880.89</v>
      </c>
    </row>
    <row r="2424" spans="1:8" x14ac:dyDescent="0.35">
      <c r="A2424" s="19"/>
      <c r="B2424" s="31" t="s">
        <v>151</v>
      </c>
      <c r="C2424" s="37">
        <v>45900</v>
      </c>
      <c r="D2424" s="31" t="s">
        <v>1025</v>
      </c>
      <c r="E2424" s="31" t="s">
        <v>55</v>
      </c>
      <c r="F2424" s="31" t="s">
        <v>1178</v>
      </c>
      <c r="H2424" s="38">
        <v>7960.82</v>
      </c>
    </row>
    <row r="2425" spans="1:8" x14ac:dyDescent="0.35">
      <c r="A2425" s="19"/>
      <c r="B2425" s="31" t="s">
        <v>151</v>
      </c>
      <c r="C2425" s="37">
        <v>45900</v>
      </c>
      <c r="D2425" s="31" t="s">
        <v>1026</v>
      </c>
      <c r="E2425" s="31" t="s">
        <v>1027</v>
      </c>
      <c r="F2425" s="31" t="s">
        <v>1178</v>
      </c>
      <c r="H2425" s="38">
        <v>-500</v>
      </c>
    </row>
    <row r="2426" spans="1:8" x14ac:dyDescent="0.35">
      <c r="A2426" s="19"/>
      <c r="B2426" s="31" t="s">
        <v>151</v>
      </c>
      <c r="C2426" s="37">
        <v>45900</v>
      </c>
      <c r="D2426" s="31" t="s">
        <v>1173</v>
      </c>
      <c r="E2426" s="31" t="s">
        <v>1174</v>
      </c>
      <c r="F2426" s="31" t="s">
        <v>1178</v>
      </c>
      <c r="H2426" s="38">
        <v>4923</v>
      </c>
    </row>
    <row r="2427" spans="1:8" x14ac:dyDescent="0.35">
      <c r="A2427" s="19"/>
      <c r="B2427" s="31" t="s">
        <v>151</v>
      </c>
      <c r="C2427" s="37">
        <v>45900</v>
      </c>
      <c r="D2427" s="31" t="s">
        <v>1183</v>
      </c>
      <c r="E2427" s="31" t="s">
        <v>221</v>
      </c>
      <c r="F2427" s="31" t="s">
        <v>1178</v>
      </c>
      <c r="H2427" s="38">
        <v>0.01</v>
      </c>
    </row>
    <row r="2428" spans="1:8" x14ac:dyDescent="0.35">
      <c r="A2428" s="19"/>
      <c r="B2428" s="31" t="s">
        <v>151</v>
      </c>
      <c r="C2428" s="37">
        <v>45900</v>
      </c>
      <c r="D2428" s="31" t="s">
        <v>1040</v>
      </c>
      <c r="E2428" s="31" t="s">
        <v>57</v>
      </c>
      <c r="F2428" s="31" t="s">
        <v>1178</v>
      </c>
      <c r="H2428" s="38">
        <v>4729.99</v>
      </c>
    </row>
    <row r="2429" spans="1:8" x14ac:dyDescent="0.35">
      <c r="A2429" s="19"/>
      <c r="B2429" s="31" t="s">
        <v>151</v>
      </c>
      <c r="C2429" s="37">
        <v>45900</v>
      </c>
      <c r="D2429" s="31" t="s">
        <v>1042</v>
      </c>
      <c r="E2429" s="31" t="s">
        <v>1043</v>
      </c>
      <c r="F2429" s="31" t="s">
        <v>1178</v>
      </c>
      <c r="H2429" s="38">
        <v>1162.5899999999999</v>
      </c>
    </row>
    <row r="2430" spans="1:8" x14ac:dyDescent="0.35">
      <c r="A2430" s="19"/>
      <c r="B2430" s="31" t="s">
        <v>151</v>
      </c>
      <c r="C2430" s="37">
        <v>45900</v>
      </c>
      <c r="D2430" s="31" t="s">
        <v>1184</v>
      </c>
      <c r="E2430" s="31" t="s">
        <v>529</v>
      </c>
      <c r="F2430" s="31" t="s">
        <v>1178</v>
      </c>
      <c r="H2430" s="38">
        <v>1</v>
      </c>
    </row>
    <row r="2431" spans="1:8" x14ac:dyDescent="0.35">
      <c r="A2431" s="19"/>
      <c r="B2431" s="31" t="s">
        <v>151</v>
      </c>
      <c r="C2431" s="37">
        <v>45900</v>
      </c>
      <c r="D2431" s="31">
        <v>37354</v>
      </c>
      <c r="E2431" s="31" t="s">
        <v>1050</v>
      </c>
      <c r="F2431" s="31" t="s">
        <v>1178</v>
      </c>
      <c r="H2431" s="38">
        <v>4000</v>
      </c>
    </row>
    <row r="2432" spans="1:8" x14ac:dyDescent="0.35">
      <c r="A2432" s="19"/>
      <c r="B2432" s="31" t="s">
        <v>151</v>
      </c>
      <c r="C2432" s="37">
        <v>45900</v>
      </c>
      <c r="D2432" s="31">
        <v>37625</v>
      </c>
      <c r="E2432" s="31" t="s">
        <v>725</v>
      </c>
      <c r="F2432" s="31" t="s">
        <v>1178</v>
      </c>
      <c r="H2432" s="38">
        <v>15690.18</v>
      </c>
    </row>
    <row r="2433" spans="1:8" x14ac:dyDescent="0.35">
      <c r="A2433" s="19"/>
      <c r="B2433" s="31" t="s">
        <v>151</v>
      </c>
      <c r="C2433" s="37">
        <v>45900</v>
      </c>
      <c r="D2433" s="31">
        <v>37644</v>
      </c>
      <c r="E2433" s="31" t="s">
        <v>725</v>
      </c>
      <c r="F2433" s="31" t="s">
        <v>1178</v>
      </c>
      <c r="H2433" s="38">
        <v>3264.14</v>
      </c>
    </row>
    <row r="2434" spans="1:8" x14ac:dyDescent="0.35">
      <c r="A2434" s="19"/>
      <c r="B2434" s="31" t="s">
        <v>151</v>
      </c>
      <c r="C2434" s="37">
        <v>45900</v>
      </c>
      <c r="D2434" s="31">
        <v>37776</v>
      </c>
      <c r="E2434" s="31" t="s">
        <v>741</v>
      </c>
      <c r="F2434" s="31" t="s">
        <v>1178</v>
      </c>
      <c r="H2434" s="38">
        <v>86.73</v>
      </c>
    </row>
    <row r="2435" spans="1:8" x14ac:dyDescent="0.35">
      <c r="A2435" s="19"/>
      <c r="B2435" s="31" t="s">
        <v>151</v>
      </c>
      <c r="C2435" s="37">
        <v>45900</v>
      </c>
      <c r="D2435" s="31">
        <v>37903</v>
      </c>
      <c r="E2435" s="31" t="s">
        <v>284</v>
      </c>
      <c r="F2435" s="31" t="s">
        <v>1178</v>
      </c>
      <c r="H2435" s="38">
        <v>1050</v>
      </c>
    </row>
    <row r="2436" spans="1:8" x14ac:dyDescent="0.35">
      <c r="A2436" s="19"/>
      <c r="B2436" s="31" t="s">
        <v>151</v>
      </c>
      <c r="C2436" s="37">
        <v>45900</v>
      </c>
      <c r="D2436" s="31" t="s">
        <v>1064</v>
      </c>
      <c r="E2436" s="31" t="s">
        <v>59</v>
      </c>
      <c r="F2436" s="31" t="s">
        <v>1178</v>
      </c>
      <c r="H2436" s="38">
        <v>8195.0400000000009</v>
      </c>
    </row>
    <row r="2437" spans="1:8" x14ac:dyDescent="0.35">
      <c r="A2437" s="19"/>
      <c r="B2437" s="31" t="s">
        <v>151</v>
      </c>
      <c r="C2437" s="37">
        <v>45900</v>
      </c>
      <c r="D2437" s="31" t="s">
        <v>1069</v>
      </c>
      <c r="E2437" s="31" t="s">
        <v>59</v>
      </c>
      <c r="F2437" s="31" t="s">
        <v>1178</v>
      </c>
      <c r="H2437" s="38">
        <v>18305.29</v>
      </c>
    </row>
    <row r="2438" spans="1:8" x14ac:dyDescent="0.35">
      <c r="A2438" s="19"/>
      <c r="B2438" s="31" t="s">
        <v>151</v>
      </c>
      <c r="C2438" s="37">
        <v>45900</v>
      </c>
      <c r="D2438" s="31" t="s">
        <v>1071</v>
      </c>
      <c r="E2438" s="31" t="s">
        <v>59</v>
      </c>
      <c r="F2438" s="31" t="s">
        <v>1178</v>
      </c>
      <c r="H2438" s="38">
        <v>1711.96</v>
      </c>
    </row>
    <row r="2439" spans="1:8" x14ac:dyDescent="0.35">
      <c r="A2439" s="19"/>
      <c r="B2439" s="31" t="s">
        <v>151</v>
      </c>
      <c r="C2439" s="37">
        <v>45900</v>
      </c>
      <c r="D2439" s="31" t="s">
        <v>1185</v>
      </c>
      <c r="E2439" s="31" t="s">
        <v>1186</v>
      </c>
      <c r="F2439" s="31" t="s">
        <v>1178</v>
      </c>
      <c r="H2439" s="38">
        <v>0.02</v>
      </c>
    </row>
    <row r="2440" spans="1:8" x14ac:dyDescent="0.35">
      <c r="A2440" s="19"/>
      <c r="B2440" s="31" t="s">
        <v>151</v>
      </c>
      <c r="C2440" s="37">
        <v>45900</v>
      </c>
      <c r="D2440" s="31" t="s">
        <v>1187</v>
      </c>
      <c r="E2440" s="31" t="s">
        <v>1188</v>
      </c>
      <c r="F2440" s="31" t="s">
        <v>1178</v>
      </c>
      <c r="H2440" s="38">
        <v>114.07</v>
      </c>
    </row>
    <row r="2441" spans="1:8" x14ac:dyDescent="0.35">
      <c r="A2441" s="19"/>
      <c r="B2441" s="31" t="s">
        <v>151</v>
      </c>
      <c r="C2441" s="37">
        <v>45900</v>
      </c>
      <c r="D2441" s="31">
        <v>38215</v>
      </c>
      <c r="E2441" s="31" t="s">
        <v>1080</v>
      </c>
      <c r="F2441" s="31" t="s">
        <v>1178</v>
      </c>
      <c r="H2441" s="38">
        <v>2513.25</v>
      </c>
    </row>
    <row r="2442" spans="1:8" x14ac:dyDescent="0.35">
      <c r="A2442" s="19"/>
      <c r="B2442" s="31" t="s">
        <v>151</v>
      </c>
      <c r="C2442" s="37">
        <v>45900</v>
      </c>
      <c r="D2442" s="31">
        <v>38262</v>
      </c>
      <c r="E2442" s="31" t="s">
        <v>177</v>
      </c>
      <c r="F2442" s="31" t="s">
        <v>1178</v>
      </c>
      <c r="H2442" s="38">
        <v>364</v>
      </c>
    </row>
    <row r="2443" spans="1:8" x14ac:dyDescent="0.35">
      <c r="A2443" s="19"/>
      <c r="B2443" s="31" t="s">
        <v>151</v>
      </c>
      <c r="C2443" s="37">
        <v>45900</v>
      </c>
      <c r="D2443" s="31" t="s">
        <v>1086</v>
      </c>
      <c r="E2443" s="31" t="s">
        <v>177</v>
      </c>
      <c r="F2443" s="31" t="s">
        <v>1178</v>
      </c>
      <c r="H2443" s="38">
        <v>7850.61</v>
      </c>
    </row>
    <row r="2444" spans="1:8" x14ac:dyDescent="0.35">
      <c r="A2444" s="19"/>
      <c r="B2444" s="31" t="s">
        <v>151</v>
      </c>
      <c r="C2444" s="37">
        <v>45900</v>
      </c>
      <c r="D2444" s="31">
        <v>38267</v>
      </c>
      <c r="E2444" s="31" t="s">
        <v>177</v>
      </c>
      <c r="F2444" s="31" t="s">
        <v>1178</v>
      </c>
      <c r="H2444" s="38">
        <v>960.17</v>
      </c>
    </row>
    <row r="2445" spans="1:8" x14ac:dyDescent="0.35">
      <c r="A2445" s="19"/>
      <c r="B2445" s="31" t="s">
        <v>151</v>
      </c>
      <c r="C2445" s="37">
        <v>45900</v>
      </c>
      <c r="D2445" s="31">
        <v>38317</v>
      </c>
      <c r="E2445" s="31" t="s">
        <v>1087</v>
      </c>
      <c r="F2445" s="31" t="s">
        <v>1178</v>
      </c>
      <c r="H2445" s="38">
        <v>2500</v>
      </c>
    </row>
    <row r="2446" spans="1:8" x14ac:dyDescent="0.35">
      <c r="A2446" s="19"/>
      <c r="B2446" s="31" t="s">
        <v>151</v>
      </c>
      <c r="C2446" s="37">
        <v>45900</v>
      </c>
      <c r="D2446" s="31">
        <v>38473</v>
      </c>
      <c r="E2446" s="31" t="s">
        <v>1090</v>
      </c>
      <c r="F2446" s="31" t="s">
        <v>1178</v>
      </c>
      <c r="H2446" s="38">
        <v>8645</v>
      </c>
    </row>
    <row r="2447" spans="1:8" x14ac:dyDescent="0.35">
      <c r="A2447" s="19"/>
      <c r="B2447" s="31" t="s">
        <v>151</v>
      </c>
      <c r="C2447" s="37">
        <v>45900</v>
      </c>
      <c r="D2447" s="31" t="s">
        <v>1104</v>
      </c>
      <c r="E2447" s="31" t="s">
        <v>253</v>
      </c>
      <c r="F2447" s="31" t="s">
        <v>1178</v>
      </c>
      <c r="H2447" s="38">
        <v>135</v>
      </c>
    </row>
    <row r="2448" spans="1:8" x14ac:dyDescent="0.35">
      <c r="A2448" s="19"/>
      <c r="B2448" s="31" t="s">
        <v>151</v>
      </c>
      <c r="C2448" s="37">
        <v>45900</v>
      </c>
      <c r="D2448" s="31">
        <v>38607</v>
      </c>
      <c r="E2448" s="31" t="s">
        <v>1087</v>
      </c>
      <c r="F2448" s="31" t="s">
        <v>1178</v>
      </c>
      <c r="H2448" s="38">
        <v>1400</v>
      </c>
    </row>
    <row r="2449" spans="1:8" x14ac:dyDescent="0.35">
      <c r="A2449" s="19"/>
      <c r="B2449" s="31" t="s">
        <v>151</v>
      </c>
      <c r="C2449" s="37">
        <v>45900</v>
      </c>
      <c r="D2449" s="31">
        <v>38621</v>
      </c>
      <c r="E2449" s="31" t="s">
        <v>1027</v>
      </c>
      <c r="F2449" s="31" t="s">
        <v>1178</v>
      </c>
      <c r="H2449" s="38">
        <v>5537.5</v>
      </c>
    </row>
    <row r="2450" spans="1:8" x14ac:dyDescent="0.35">
      <c r="A2450" s="19"/>
      <c r="B2450" s="31" t="s">
        <v>151</v>
      </c>
      <c r="C2450" s="37">
        <v>45900</v>
      </c>
      <c r="D2450" s="31">
        <v>38627</v>
      </c>
      <c r="E2450" s="31" t="s">
        <v>284</v>
      </c>
      <c r="F2450" s="31" t="s">
        <v>1178</v>
      </c>
      <c r="H2450" s="38">
        <v>307.20999999999998</v>
      </c>
    </row>
    <row r="2451" spans="1:8" x14ac:dyDescent="0.35">
      <c r="A2451" s="19"/>
      <c r="B2451" s="31" t="s">
        <v>151</v>
      </c>
      <c r="C2451" s="37">
        <v>45900</v>
      </c>
      <c r="D2451" s="31">
        <v>38636</v>
      </c>
      <c r="E2451" s="31" t="s">
        <v>903</v>
      </c>
      <c r="F2451" s="31" t="s">
        <v>1178</v>
      </c>
      <c r="H2451" s="38">
        <v>1850</v>
      </c>
    </row>
    <row r="2452" spans="1:8" x14ac:dyDescent="0.35">
      <c r="A2452" s="19"/>
      <c r="B2452" s="31" t="s">
        <v>151</v>
      </c>
      <c r="C2452" s="37">
        <v>45900</v>
      </c>
      <c r="D2452" s="31" t="s">
        <v>1189</v>
      </c>
      <c r="E2452" s="31" t="s">
        <v>228</v>
      </c>
      <c r="F2452" s="31" t="s">
        <v>1178</v>
      </c>
      <c r="H2452" s="38">
        <v>2700</v>
      </c>
    </row>
    <row r="2453" spans="1:8" x14ac:dyDescent="0.35">
      <c r="A2453" s="19"/>
      <c r="B2453" s="31" t="s">
        <v>151</v>
      </c>
      <c r="C2453" s="37">
        <v>45900</v>
      </c>
      <c r="D2453" s="31">
        <v>38670</v>
      </c>
      <c r="E2453" s="31" t="s">
        <v>1105</v>
      </c>
      <c r="F2453" s="31" t="s">
        <v>1178</v>
      </c>
      <c r="H2453" s="38">
        <v>0</v>
      </c>
    </row>
    <row r="2454" spans="1:8" x14ac:dyDescent="0.35">
      <c r="A2454" s="19"/>
      <c r="B2454" s="31" t="s">
        <v>151</v>
      </c>
      <c r="C2454" s="37">
        <v>45900</v>
      </c>
      <c r="D2454" s="31" t="s">
        <v>1106</v>
      </c>
      <c r="E2454" s="31" t="s">
        <v>59</v>
      </c>
      <c r="F2454" s="31" t="s">
        <v>1178</v>
      </c>
      <c r="H2454" s="38">
        <v>25843.3</v>
      </c>
    </row>
    <row r="2455" spans="1:8" x14ac:dyDescent="0.35">
      <c r="A2455" s="19"/>
      <c r="B2455" s="31" t="s">
        <v>151</v>
      </c>
      <c r="C2455" s="37">
        <v>45900</v>
      </c>
      <c r="D2455" s="31" t="s">
        <v>1190</v>
      </c>
      <c r="E2455" s="31" t="s">
        <v>1191</v>
      </c>
      <c r="F2455" s="31" t="s">
        <v>1178</v>
      </c>
      <c r="H2455" s="38">
        <v>0.01</v>
      </c>
    </row>
    <row r="2456" spans="1:8" x14ac:dyDescent="0.35">
      <c r="A2456" s="19"/>
      <c r="B2456" s="31" t="s">
        <v>151</v>
      </c>
      <c r="C2456" s="37">
        <v>45900</v>
      </c>
      <c r="D2456" s="31">
        <v>38701</v>
      </c>
      <c r="E2456" s="31" t="s">
        <v>923</v>
      </c>
      <c r="F2456" s="31" t="s">
        <v>1178</v>
      </c>
      <c r="H2456" s="38">
        <v>1975</v>
      </c>
    </row>
    <row r="2457" spans="1:8" x14ac:dyDescent="0.35">
      <c r="A2457" s="19"/>
      <c r="B2457" s="31" t="s">
        <v>151</v>
      </c>
      <c r="C2457" s="37">
        <v>45900</v>
      </c>
      <c r="D2457" s="31">
        <v>38718</v>
      </c>
      <c r="E2457" s="31" t="s">
        <v>1108</v>
      </c>
      <c r="F2457" s="31" t="s">
        <v>1178</v>
      </c>
      <c r="H2457" s="38">
        <v>750</v>
      </c>
    </row>
    <row r="2458" spans="1:8" x14ac:dyDescent="0.35">
      <c r="A2458" s="19"/>
      <c r="B2458" s="31" t="s">
        <v>151</v>
      </c>
      <c r="C2458" s="37">
        <v>45900</v>
      </c>
      <c r="D2458" s="31">
        <v>38726</v>
      </c>
      <c r="E2458" s="31" t="s">
        <v>1110</v>
      </c>
      <c r="F2458" s="31" t="s">
        <v>1178</v>
      </c>
      <c r="H2458" s="38">
        <v>1250</v>
      </c>
    </row>
    <row r="2459" spans="1:8" x14ac:dyDescent="0.35">
      <c r="A2459" s="19"/>
      <c r="B2459" s="31" t="s">
        <v>151</v>
      </c>
      <c r="C2459" s="37">
        <v>45900</v>
      </c>
      <c r="D2459" s="31">
        <v>38758</v>
      </c>
      <c r="E2459" s="31" t="s">
        <v>722</v>
      </c>
      <c r="F2459" s="31" t="s">
        <v>1178</v>
      </c>
      <c r="H2459" s="38">
        <v>700</v>
      </c>
    </row>
    <row r="2460" spans="1:8" x14ac:dyDescent="0.35">
      <c r="A2460" s="19"/>
      <c r="B2460" s="31" t="s">
        <v>151</v>
      </c>
      <c r="C2460" s="37">
        <v>45900</v>
      </c>
      <c r="D2460" s="31">
        <v>38785</v>
      </c>
      <c r="E2460" s="31" t="s">
        <v>1114</v>
      </c>
      <c r="F2460" s="31" t="s">
        <v>1178</v>
      </c>
      <c r="H2460" s="38">
        <v>857.38</v>
      </c>
    </row>
    <row r="2461" spans="1:8" x14ac:dyDescent="0.35">
      <c r="A2461" s="19"/>
      <c r="B2461" s="31" t="s">
        <v>151</v>
      </c>
      <c r="C2461" s="37">
        <v>45900</v>
      </c>
      <c r="D2461" s="31">
        <v>38793</v>
      </c>
      <c r="E2461" s="31" t="s">
        <v>287</v>
      </c>
      <c r="F2461" s="31" t="s">
        <v>1178</v>
      </c>
      <c r="H2461" s="38">
        <v>25</v>
      </c>
    </row>
    <row r="2462" spans="1:8" x14ac:dyDescent="0.35">
      <c r="A2462" s="19"/>
      <c r="B2462" s="31" t="s">
        <v>151</v>
      </c>
      <c r="C2462" s="37">
        <v>45900</v>
      </c>
      <c r="D2462" s="31">
        <v>38795</v>
      </c>
      <c r="E2462" s="31" t="s">
        <v>1115</v>
      </c>
      <c r="F2462" s="31" t="s">
        <v>1178</v>
      </c>
      <c r="H2462" s="38">
        <v>286.63</v>
      </c>
    </row>
    <row r="2463" spans="1:8" x14ac:dyDescent="0.35">
      <c r="A2463" s="19"/>
      <c r="B2463" s="31" t="s">
        <v>151</v>
      </c>
      <c r="C2463" s="37">
        <v>45900</v>
      </c>
      <c r="D2463" s="31">
        <v>38796</v>
      </c>
      <c r="E2463" s="31" t="s">
        <v>1116</v>
      </c>
      <c r="F2463" s="31" t="s">
        <v>1178</v>
      </c>
      <c r="H2463" s="38">
        <v>285</v>
      </c>
    </row>
    <row r="2464" spans="1:8" x14ac:dyDescent="0.35">
      <c r="A2464" s="19"/>
      <c r="B2464" s="31" t="s">
        <v>151</v>
      </c>
      <c r="C2464" s="37">
        <v>45900</v>
      </c>
      <c r="D2464" s="31">
        <v>38799</v>
      </c>
      <c r="E2464" s="31" t="s">
        <v>1117</v>
      </c>
      <c r="F2464" s="31" t="s">
        <v>1178</v>
      </c>
      <c r="H2464" s="38">
        <v>75.34</v>
      </c>
    </row>
    <row r="2465" spans="1:8" x14ac:dyDescent="0.35">
      <c r="A2465" s="19"/>
      <c r="B2465" s="31" t="s">
        <v>151</v>
      </c>
      <c r="C2465" s="37">
        <v>45900</v>
      </c>
      <c r="D2465" s="31">
        <v>38800</v>
      </c>
      <c r="E2465" s="31" t="s">
        <v>1118</v>
      </c>
      <c r="F2465" s="31" t="s">
        <v>1178</v>
      </c>
      <c r="H2465" s="38">
        <v>3170</v>
      </c>
    </row>
    <row r="2466" spans="1:8" x14ac:dyDescent="0.35">
      <c r="A2466" s="19"/>
      <c r="B2466" s="31" t="s">
        <v>151</v>
      </c>
      <c r="C2466" s="37">
        <v>45900</v>
      </c>
      <c r="D2466" s="31">
        <v>38801</v>
      </c>
      <c r="E2466" s="31" t="s">
        <v>1119</v>
      </c>
      <c r="F2466" s="31" t="s">
        <v>1178</v>
      </c>
      <c r="H2466" s="38">
        <v>652.53</v>
      </c>
    </row>
    <row r="2467" spans="1:8" x14ac:dyDescent="0.35">
      <c r="A2467" s="19"/>
      <c r="B2467" s="31" t="s">
        <v>151</v>
      </c>
      <c r="C2467" s="37">
        <v>45900</v>
      </c>
      <c r="D2467" s="31">
        <v>38803</v>
      </c>
      <c r="E2467" s="31" t="s">
        <v>1120</v>
      </c>
      <c r="F2467" s="31" t="s">
        <v>1178</v>
      </c>
      <c r="H2467" s="38">
        <v>1616.6</v>
      </c>
    </row>
    <row r="2468" spans="1:8" x14ac:dyDescent="0.35">
      <c r="A2468" s="19"/>
      <c r="B2468" s="31" t="s">
        <v>151</v>
      </c>
      <c r="C2468" s="37">
        <v>45900</v>
      </c>
      <c r="D2468" s="31">
        <v>38809</v>
      </c>
      <c r="E2468" s="31" t="s">
        <v>1123</v>
      </c>
      <c r="F2468" s="31" t="s">
        <v>1178</v>
      </c>
      <c r="H2468" s="38">
        <v>1529.19</v>
      </c>
    </row>
    <row r="2469" spans="1:8" x14ac:dyDescent="0.35">
      <c r="A2469" s="19"/>
      <c r="B2469" s="31" t="s">
        <v>151</v>
      </c>
      <c r="C2469" s="37">
        <v>45900</v>
      </c>
      <c r="D2469" s="31">
        <v>38815</v>
      </c>
      <c r="E2469" s="31" t="s">
        <v>1124</v>
      </c>
      <c r="F2469" s="31" t="s">
        <v>1178</v>
      </c>
      <c r="H2469" s="38">
        <v>2180</v>
      </c>
    </row>
    <row r="2470" spans="1:8" x14ac:dyDescent="0.35">
      <c r="A2470" s="19"/>
      <c r="B2470" s="31" t="s">
        <v>151</v>
      </c>
      <c r="C2470" s="37">
        <v>45900</v>
      </c>
      <c r="D2470" s="31">
        <v>38820</v>
      </c>
      <c r="E2470" s="31" t="s">
        <v>1126</v>
      </c>
      <c r="F2470" s="31" t="s">
        <v>1178</v>
      </c>
      <c r="H2470" s="38">
        <v>9000</v>
      </c>
    </row>
    <row r="2471" spans="1:8" x14ac:dyDescent="0.35">
      <c r="A2471" s="19"/>
      <c r="B2471" s="31" t="s">
        <v>151</v>
      </c>
      <c r="C2471" s="37">
        <v>45900</v>
      </c>
      <c r="D2471" s="31">
        <v>38822</v>
      </c>
      <c r="E2471" s="31" t="s">
        <v>1176</v>
      </c>
      <c r="F2471" s="31" t="s">
        <v>1178</v>
      </c>
      <c r="H2471" s="38">
        <v>325.02999999999997</v>
      </c>
    </row>
    <row r="2472" spans="1:8" x14ac:dyDescent="0.35">
      <c r="A2472" s="19"/>
      <c r="B2472" s="31" t="s">
        <v>151</v>
      </c>
      <c r="C2472" s="37">
        <v>45900</v>
      </c>
      <c r="D2472" s="31">
        <v>38853</v>
      </c>
      <c r="E2472" s="31" t="s">
        <v>1133</v>
      </c>
      <c r="F2472" s="31" t="s">
        <v>1178</v>
      </c>
      <c r="H2472" s="38">
        <v>672.97</v>
      </c>
    </row>
    <row r="2473" spans="1:8" x14ac:dyDescent="0.35">
      <c r="A2473" s="19"/>
      <c r="B2473" s="31" t="s">
        <v>151</v>
      </c>
      <c r="C2473" s="37">
        <v>45900</v>
      </c>
      <c r="D2473" s="31">
        <v>38854</v>
      </c>
      <c r="E2473" s="31" t="s">
        <v>1134</v>
      </c>
      <c r="F2473" s="31" t="s">
        <v>1178</v>
      </c>
      <c r="H2473" s="38">
        <v>3779.52</v>
      </c>
    </row>
    <row r="2474" spans="1:8" x14ac:dyDescent="0.35">
      <c r="A2474" s="19"/>
      <c r="B2474" s="31" t="s">
        <v>151</v>
      </c>
      <c r="C2474" s="37">
        <v>45900</v>
      </c>
      <c r="D2474" s="31">
        <v>38855</v>
      </c>
      <c r="E2474" s="31" t="s">
        <v>1135</v>
      </c>
      <c r="F2474" s="31" t="s">
        <v>1178</v>
      </c>
      <c r="H2474" s="38">
        <v>1663.75</v>
      </c>
    </row>
    <row r="2475" spans="1:8" x14ac:dyDescent="0.35">
      <c r="A2475" s="19"/>
      <c r="B2475" s="31" t="s">
        <v>151</v>
      </c>
      <c r="C2475" s="37">
        <v>45900</v>
      </c>
      <c r="D2475" s="31">
        <v>38868</v>
      </c>
      <c r="E2475" s="31" t="s">
        <v>1139</v>
      </c>
      <c r="F2475" s="31" t="s">
        <v>1178</v>
      </c>
      <c r="H2475" s="38">
        <v>500</v>
      </c>
    </row>
    <row r="2476" spans="1:8" x14ac:dyDescent="0.35">
      <c r="A2476" s="19"/>
      <c r="B2476" s="31" t="s">
        <v>151</v>
      </c>
      <c r="C2476" s="37">
        <v>45900</v>
      </c>
      <c r="D2476" s="31">
        <v>38871</v>
      </c>
      <c r="E2476" s="31" t="s">
        <v>921</v>
      </c>
      <c r="F2476" s="31" t="s">
        <v>1178</v>
      </c>
      <c r="H2476" s="38">
        <v>1165.3499999999999</v>
      </c>
    </row>
    <row r="2477" spans="1:8" x14ac:dyDescent="0.35">
      <c r="A2477" s="19"/>
      <c r="B2477" s="31" t="s">
        <v>151</v>
      </c>
      <c r="C2477" s="37">
        <v>45900</v>
      </c>
      <c r="D2477" s="31">
        <v>38880</v>
      </c>
      <c r="E2477" s="31" t="s">
        <v>1140</v>
      </c>
      <c r="F2477" s="31" t="s">
        <v>1178</v>
      </c>
      <c r="H2477" s="38">
        <v>900</v>
      </c>
    </row>
    <row r="2478" spans="1:8" x14ac:dyDescent="0.35">
      <c r="A2478" s="19"/>
      <c r="B2478" s="31" t="s">
        <v>151</v>
      </c>
      <c r="C2478" s="37">
        <v>45900</v>
      </c>
      <c r="D2478" s="31">
        <v>38884</v>
      </c>
      <c r="E2478" s="31" t="s">
        <v>1136</v>
      </c>
      <c r="F2478" s="31" t="s">
        <v>1178</v>
      </c>
      <c r="H2478" s="38">
        <v>0</v>
      </c>
    </row>
    <row r="2479" spans="1:8" x14ac:dyDescent="0.35">
      <c r="A2479" s="19"/>
      <c r="B2479" s="31" t="s">
        <v>151</v>
      </c>
      <c r="C2479" s="37">
        <v>45900</v>
      </c>
      <c r="D2479" s="31">
        <v>38904</v>
      </c>
      <c r="E2479" s="31" t="s">
        <v>1141</v>
      </c>
      <c r="F2479" s="31" t="s">
        <v>1178</v>
      </c>
      <c r="H2479" s="38">
        <v>1420</v>
      </c>
    </row>
    <row r="2480" spans="1:8" x14ac:dyDescent="0.35">
      <c r="A2480" s="19"/>
      <c r="B2480" s="31" t="s">
        <v>151</v>
      </c>
      <c r="C2480" s="37">
        <v>45900</v>
      </c>
      <c r="D2480" s="31">
        <v>38909</v>
      </c>
      <c r="E2480" s="31" t="s">
        <v>1142</v>
      </c>
      <c r="F2480" s="31" t="s">
        <v>1178</v>
      </c>
      <c r="H2480" s="38">
        <v>1625</v>
      </c>
    </row>
    <row r="2481" spans="1:8" x14ac:dyDescent="0.35">
      <c r="A2481" s="19"/>
      <c r="B2481" s="31" t="s">
        <v>151</v>
      </c>
      <c r="C2481" s="37">
        <v>45900</v>
      </c>
      <c r="D2481" s="31">
        <v>38912</v>
      </c>
      <c r="E2481" s="31" t="s">
        <v>1144</v>
      </c>
      <c r="F2481" s="31" t="s">
        <v>1178</v>
      </c>
      <c r="H2481" s="38">
        <v>5464.8099999999995</v>
      </c>
    </row>
    <row r="2482" spans="1:8" x14ac:dyDescent="0.35">
      <c r="A2482" s="19"/>
      <c r="B2482" s="31" t="s">
        <v>151</v>
      </c>
      <c r="C2482" s="37">
        <v>45900</v>
      </c>
      <c r="D2482" s="31">
        <v>38913</v>
      </c>
      <c r="E2482" s="31" t="s">
        <v>1145</v>
      </c>
      <c r="F2482" s="31" t="s">
        <v>1178</v>
      </c>
      <c r="H2482" s="38">
        <v>27.17</v>
      </c>
    </row>
    <row r="2483" spans="1:8" x14ac:dyDescent="0.35">
      <c r="A2483" s="19"/>
      <c r="B2483" s="31" t="s">
        <v>151</v>
      </c>
      <c r="C2483" s="37">
        <v>45900</v>
      </c>
      <c r="D2483" s="31">
        <v>38915</v>
      </c>
      <c r="E2483" s="31" t="s">
        <v>1146</v>
      </c>
      <c r="F2483" s="31" t="s">
        <v>1178</v>
      </c>
      <c r="H2483" s="38">
        <v>409.9</v>
      </c>
    </row>
    <row r="2484" spans="1:8" x14ac:dyDescent="0.35">
      <c r="A2484" s="19"/>
      <c r="B2484" s="31" t="s">
        <v>151</v>
      </c>
      <c r="C2484" s="37">
        <v>45900</v>
      </c>
      <c r="D2484" s="31">
        <v>38916</v>
      </c>
      <c r="E2484" s="31" t="s">
        <v>1147</v>
      </c>
      <c r="F2484" s="31" t="s">
        <v>1178</v>
      </c>
      <c r="H2484" s="38">
        <v>553.87</v>
      </c>
    </row>
    <row r="2485" spans="1:8" x14ac:dyDescent="0.35">
      <c r="A2485" s="19"/>
      <c r="B2485" s="31" t="s">
        <v>151</v>
      </c>
      <c r="C2485" s="37">
        <v>45900</v>
      </c>
      <c r="D2485" s="31">
        <v>38921</v>
      </c>
      <c r="E2485" s="31" t="s">
        <v>1148</v>
      </c>
      <c r="F2485" s="31" t="s">
        <v>1178</v>
      </c>
      <c r="H2485" s="38">
        <v>180.95</v>
      </c>
    </row>
    <row r="2486" spans="1:8" x14ac:dyDescent="0.35">
      <c r="A2486" s="19"/>
      <c r="B2486" s="31" t="s">
        <v>151</v>
      </c>
      <c r="C2486" s="37">
        <v>45900</v>
      </c>
      <c r="D2486" s="31">
        <v>38942</v>
      </c>
      <c r="E2486" s="31" t="s">
        <v>1149</v>
      </c>
      <c r="F2486" s="31" t="s">
        <v>1178</v>
      </c>
      <c r="H2486" s="38">
        <v>40</v>
      </c>
    </row>
    <row r="2487" spans="1:8" x14ac:dyDescent="0.35">
      <c r="A2487" s="19"/>
      <c r="B2487" s="31" t="s">
        <v>151</v>
      </c>
      <c r="C2487" s="37">
        <v>45900</v>
      </c>
      <c r="D2487" s="31">
        <v>38946</v>
      </c>
      <c r="E2487" s="31" t="s">
        <v>1150</v>
      </c>
      <c r="F2487" s="31" t="s">
        <v>1178</v>
      </c>
      <c r="H2487" s="38">
        <v>965.5</v>
      </c>
    </row>
    <row r="2488" spans="1:8" x14ac:dyDescent="0.35">
      <c r="A2488" s="19"/>
      <c r="B2488" s="31" t="s">
        <v>151</v>
      </c>
      <c r="C2488" s="37">
        <v>45900</v>
      </c>
      <c r="D2488" s="31">
        <v>38959</v>
      </c>
      <c r="E2488" s="31" t="s">
        <v>228</v>
      </c>
      <c r="F2488" s="31" t="s">
        <v>1178</v>
      </c>
      <c r="H2488" s="38">
        <v>1329</v>
      </c>
    </row>
    <row r="2489" spans="1:8" x14ac:dyDescent="0.35">
      <c r="A2489" s="19"/>
      <c r="B2489" s="31" t="s">
        <v>151</v>
      </c>
      <c r="C2489" s="37">
        <v>45900</v>
      </c>
      <c r="D2489" s="31">
        <v>38965</v>
      </c>
      <c r="E2489" s="31" t="s">
        <v>1154</v>
      </c>
      <c r="F2489" s="31" t="s">
        <v>1178</v>
      </c>
      <c r="H2489" s="38">
        <v>569.25</v>
      </c>
    </row>
    <row r="2490" spans="1:8" x14ac:dyDescent="0.35">
      <c r="A2490" s="19"/>
      <c r="B2490" s="31" t="s">
        <v>151</v>
      </c>
      <c r="C2490" s="37">
        <v>45900</v>
      </c>
      <c r="D2490" s="31">
        <v>38974</v>
      </c>
      <c r="E2490" s="31" t="s">
        <v>1155</v>
      </c>
      <c r="F2490" s="31" t="s">
        <v>1178</v>
      </c>
      <c r="H2490" s="38">
        <v>487.85</v>
      </c>
    </row>
    <row r="2491" spans="1:8" x14ac:dyDescent="0.35">
      <c r="A2491" s="19"/>
      <c r="B2491" s="31" t="s">
        <v>151</v>
      </c>
      <c r="C2491" s="37">
        <v>45900</v>
      </c>
      <c r="D2491" s="31">
        <v>38985</v>
      </c>
      <c r="E2491" s="31" t="s">
        <v>1157</v>
      </c>
      <c r="F2491" s="31" t="s">
        <v>1178</v>
      </c>
      <c r="H2491" s="38">
        <v>434.92</v>
      </c>
    </row>
    <row r="2492" spans="1:8" x14ac:dyDescent="0.35">
      <c r="A2492" s="19"/>
      <c r="B2492" s="31" t="s">
        <v>151</v>
      </c>
      <c r="C2492" s="37">
        <v>45900</v>
      </c>
      <c r="D2492" s="31">
        <v>38992</v>
      </c>
      <c r="E2492" s="31" t="s">
        <v>1158</v>
      </c>
      <c r="F2492" s="31" t="s">
        <v>1178</v>
      </c>
      <c r="H2492" s="38">
        <v>980</v>
      </c>
    </row>
    <row r="2493" spans="1:8" x14ac:dyDescent="0.35">
      <c r="A2493" s="19"/>
      <c r="B2493" s="31" t="s">
        <v>151</v>
      </c>
      <c r="C2493" s="37">
        <v>45900</v>
      </c>
      <c r="D2493" s="31">
        <v>38997</v>
      </c>
      <c r="E2493" s="31" t="s">
        <v>128</v>
      </c>
      <c r="F2493" s="31" t="s">
        <v>1178</v>
      </c>
      <c r="H2493" s="38">
        <v>1687</v>
      </c>
    </row>
    <row r="2494" spans="1:8" x14ac:dyDescent="0.35">
      <c r="A2494" s="19"/>
      <c r="B2494" s="31" t="s">
        <v>151</v>
      </c>
      <c r="C2494" s="37">
        <v>45900</v>
      </c>
      <c r="D2494" s="31">
        <v>38998</v>
      </c>
      <c r="E2494" s="31" t="s">
        <v>1159</v>
      </c>
      <c r="F2494" s="31" t="s">
        <v>1178</v>
      </c>
      <c r="H2494" s="38">
        <v>646.12</v>
      </c>
    </row>
    <row r="2495" spans="1:8" x14ac:dyDescent="0.35">
      <c r="A2495" s="19"/>
      <c r="B2495" s="31" t="s">
        <v>151</v>
      </c>
      <c r="C2495" s="37">
        <v>45900</v>
      </c>
      <c r="D2495" s="31">
        <v>38999</v>
      </c>
      <c r="E2495" s="31" t="s">
        <v>597</v>
      </c>
      <c r="F2495" s="31" t="s">
        <v>1178</v>
      </c>
      <c r="H2495" s="38">
        <v>3060</v>
      </c>
    </row>
    <row r="2496" spans="1:8" x14ac:dyDescent="0.35">
      <c r="A2496" s="19"/>
      <c r="B2496" s="31" t="s">
        <v>151</v>
      </c>
      <c r="C2496" s="37">
        <v>45900</v>
      </c>
      <c r="D2496" s="31">
        <v>39003</v>
      </c>
      <c r="E2496" s="31" t="s">
        <v>1160</v>
      </c>
      <c r="F2496" s="31" t="s">
        <v>1178</v>
      </c>
      <c r="H2496" s="38">
        <v>2575.75</v>
      </c>
    </row>
    <row r="2497" spans="1:8" x14ac:dyDescent="0.35">
      <c r="A2497" s="19"/>
      <c r="B2497" s="31" t="s">
        <v>151</v>
      </c>
      <c r="C2497" s="37">
        <v>45900</v>
      </c>
      <c r="D2497" s="31">
        <v>39009</v>
      </c>
      <c r="E2497" s="31" t="s">
        <v>1159</v>
      </c>
      <c r="F2497" s="31" t="s">
        <v>1178</v>
      </c>
      <c r="H2497" s="38">
        <v>1649.25</v>
      </c>
    </row>
    <row r="2498" spans="1:8" x14ac:dyDescent="0.35">
      <c r="A2498" s="19"/>
      <c r="B2498" s="31" t="s">
        <v>151</v>
      </c>
      <c r="C2498" s="37">
        <v>45900</v>
      </c>
      <c r="D2498" s="31">
        <v>39063</v>
      </c>
      <c r="E2498" s="31" t="s">
        <v>1161</v>
      </c>
      <c r="F2498" s="31" t="s">
        <v>1178</v>
      </c>
      <c r="H2498" s="38">
        <v>781</v>
      </c>
    </row>
    <row r="2499" spans="1:8" x14ac:dyDescent="0.35">
      <c r="A2499" s="19"/>
      <c r="B2499" s="31" t="s">
        <v>151</v>
      </c>
      <c r="C2499" s="37">
        <v>45900</v>
      </c>
      <c r="D2499" s="31">
        <v>39073</v>
      </c>
      <c r="E2499" s="31" t="s">
        <v>1135</v>
      </c>
      <c r="F2499" s="31" t="s">
        <v>1178</v>
      </c>
      <c r="H2499" s="38">
        <v>629.22</v>
      </c>
    </row>
    <row r="2500" spans="1:8" x14ac:dyDescent="0.35">
      <c r="A2500" s="19"/>
      <c r="B2500" s="31" t="s">
        <v>151</v>
      </c>
      <c r="C2500" s="37">
        <v>45900</v>
      </c>
      <c r="D2500" s="31">
        <v>39074</v>
      </c>
      <c r="E2500" s="31" t="s">
        <v>1135</v>
      </c>
      <c r="F2500" s="31" t="s">
        <v>1178</v>
      </c>
      <c r="H2500" s="38">
        <v>862.5</v>
      </c>
    </row>
    <row r="2501" spans="1:8" x14ac:dyDescent="0.35">
      <c r="A2501" s="19"/>
      <c r="B2501" s="31" t="s">
        <v>151</v>
      </c>
      <c r="C2501" s="37">
        <v>45900</v>
      </c>
      <c r="D2501" s="31">
        <v>39084</v>
      </c>
      <c r="E2501" s="31" t="s">
        <v>1027</v>
      </c>
      <c r="F2501" s="31" t="s">
        <v>1178</v>
      </c>
      <c r="H2501" s="38">
        <v>4500</v>
      </c>
    </row>
    <row r="2502" spans="1:8" x14ac:dyDescent="0.35">
      <c r="A2502" s="19"/>
      <c r="B2502" s="31" t="s">
        <v>151</v>
      </c>
      <c r="C2502" s="37">
        <v>45900</v>
      </c>
      <c r="D2502" s="31">
        <v>39085</v>
      </c>
      <c r="E2502" s="31" t="s">
        <v>1192</v>
      </c>
      <c r="F2502" s="31" t="s">
        <v>1178</v>
      </c>
      <c r="H2502" s="38">
        <v>1331.91</v>
      </c>
    </row>
    <row r="2503" spans="1:8" x14ac:dyDescent="0.35">
      <c r="A2503" s="19"/>
      <c r="B2503" s="31" t="s">
        <v>151</v>
      </c>
      <c r="C2503" s="37">
        <v>45900</v>
      </c>
      <c r="D2503" s="31">
        <v>39087</v>
      </c>
      <c r="E2503" s="31" t="s">
        <v>635</v>
      </c>
      <c r="F2503" s="31" t="s">
        <v>1178</v>
      </c>
      <c r="H2503" s="38">
        <v>11.76</v>
      </c>
    </row>
    <row r="2504" spans="1:8" x14ac:dyDescent="0.35">
      <c r="A2504" s="19"/>
      <c r="B2504" s="31" t="s">
        <v>151</v>
      </c>
      <c r="C2504" s="37">
        <v>45900</v>
      </c>
      <c r="D2504" s="31">
        <v>39088</v>
      </c>
      <c r="E2504" s="31" t="s">
        <v>1163</v>
      </c>
      <c r="F2504" s="31" t="s">
        <v>1178</v>
      </c>
      <c r="H2504" s="38">
        <v>2230</v>
      </c>
    </row>
    <row r="2505" spans="1:8" x14ac:dyDescent="0.35">
      <c r="A2505" s="19"/>
      <c r="B2505" s="31" t="s">
        <v>151</v>
      </c>
      <c r="C2505" s="37">
        <v>45900</v>
      </c>
      <c r="D2505" s="31">
        <v>39089</v>
      </c>
      <c r="E2505" s="31" t="s">
        <v>921</v>
      </c>
      <c r="F2505" s="31" t="s">
        <v>1178</v>
      </c>
      <c r="H2505" s="38">
        <v>200</v>
      </c>
    </row>
    <row r="2506" spans="1:8" x14ac:dyDescent="0.35">
      <c r="A2506" s="19"/>
      <c r="B2506" s="31" t="s">
        <v>151</v>
      </c>
      <c r="C2506" s="37">
        <v>45900</v>
      </c>
      <c r="D2506" s="31">
        <v>39102</v>
      </c>
      <c r="E2506" s="31" t="s">
        <v>1166</v>
      </c>
      <c r="F2506" s="31" t="s">
        <v>1178</v>
      </c>
      <c r="H2506" s="38">
        <v>0.02</v>
      </c>
    </row>
    <row r="2507" spans="1:8" x14ac:dyDescent="0.35">
      <c r="A2507" s="19"/>
      <c r="B2507" s="31" t="s">
        <v>151</v>
      </c>
      <c r="C2507" s="37">
        <v>45900</v>
      </c>
      <c r="D2507" s="31">
        <v>39107</v>
      </c>
      <c r="E2507" s="31" t="s">
        <v>464</v>
      </c>
      <c r="F2507" s="31" t="s">
        <v>1178</v>
      </c>
      <c r="H2507" s="38">
        <v>0.13</v>
      </c>
    </row>
    <row r="2508" spans="1:8" x14ac:dyDescent="0.35">
      <c r="A2508" s="19"/>
      <c r="B2508" s="31" t="s">
        <v>151</v>
      </c>
      <c r="C2508" s="37">
        <v>45900</v>
      </c>
      <c r="D2508" s="31">
        <v>39111</v>
      </c>
      <c r="E2508" s="31" t="s">
        <v>148</v>
      </c>
      <c r="F2508" s="31" t="s">
        <v>1178</v>
      </c>
      <c r="H2508" s="38">
        <v>1</v>
      </c>
    </row>
    <row r="2509" spans="1:8" x14ac:dyDescent="0.35">
      <c r="A2509" s="19"/>
      <c r="B2509" s="31" t="s">
        <v>151</v>
      </c>
      <c r="C2509" s="37">
        <v>45900</v>
      </c>
      <c r="D2509" s="31">
        <v>39115</v>
      </c>
      <c r="E2509" s="31" t="s">
        <v>261</v>
      </c>
      <c r="F2509" s="31" t="s">
        <v>1178</v>
      </c>
      <c r="H2509" s="38">
        <v>0.08</v>
      </c>
    </row>
    <row r="2510" spans="1:8" x14ac:dyDescent="0.35">
      <c r="A2510" s="19"/>
      <c r="B2510" s="31" t="s">
        <v>151</v>
      </c>
      <c r="C2510" s="37">
        <v>45900</v>
      </c>
      <c r="D2510" s="31">
        <v>39122</v>
      </c>
      <c r="E2510" s="31" t="s">
        <v>1027</v>
      </c>
      <c r="F2510" s="31" t="s">
        <v>1178</v>
      </c>
      <c r="H2510" s="38">
        <v>0.01</v>
      </c>
    </row>
    <row r="2511" spans="1:8" x14ac:dyDescent="0.35">
      <c r="A2511" s="19"/>
      <c r="B2511" s="31" t="s">
        <v>151</v>
      </c>
      <c r="C2511" s="37">
        <v>45900</v>
      </c>
      <c r="D2511" s="31">
        <v>39124</v>
      </c>
      <c r="E2511" s="31" t="s">
        <v>767</v>
      </c>
      <c r="F2511" s="31" t="s">
        <v>1178</v>
      </c>
      <c r="H2511" s="38">
        <v>0.01</v>
      </c>
    </row>
  </sheetData>
  <hyperlinks>
    <hyperlink ref="A4" r:id="rId1" display="https://9607261.app.netsuite.com/app/reporting/reportrunner.nl?fromreport=320&amp;regtx,tranline,kacct,x,alltranline5,IN,x,x=950&amp;cr=293" xr:uid="{C84117B3-4ECB-4FEE-BCDD-3185EF2767FB}"/>
    <hyperlink ref="A5" r:id="rId2" display="https://9607261.app.netsuite.com/app/reporting/reportrunner.nl?fromreport=320&amp;regtx,tranline,kacct,x,alltranline5,IN,x,x=950&amp;cr=293" xr:uid="{E7703363-5978-490C-BB38-2A90208C4DB4}"/>
    <hyperlink ref="A6" r:id="rId3" display="https://9607261.app.netsuite.com/app/reporting/reportrunner.nl?fromreport=320&amp;regtx,tranline,kacct,x,alltranline5,IN,x,x=950&amp;cr=293" xr:uid="{BABF82AA-D0C8-40D7-8F9F-4518FB21B0A4}"/>
    <hyperlink ref="A7" r:id="rId4" display="https://9607261.app.netsuite.com/app/reporting/reportrunner.nl?fromreport=320&amp;regtx,tranline,kacct,x,alltranline5,IN,x,x=950&amp;cr=293" xr:uid="{8D94C996-E8DB-4FEF-8250-1ACE1A6E7F09}"/>
    <hyperlink ref="A8" r:id="rId5" display="https://9607261.app.netsuite.com/app/reporting/reportrunner.nl?fromreport=320&amp;regtx,tranline,kacct,x,alltranline5,IN,x,x=950&amp;cr=293" xr:uid="{FB84AFEA-E287-4EB7-8752-8145EEB69AC0}"/>
    <hyperlink ref="A9" r:id="rId6" display="https://9607261.app.netsuite.com/app/reporting/reportrunner.nl?fromreport=320&amp;regtx,tranline,kacct,x,alltranline5,IN,x,x=950&amp;cr=293" xr:uid="{B097421A-CD1F-4A5F-ACE4-3F5EA7D852F4}"/>
    <hyperlink ref="A10" r:id="rId7" display="https://9607261.app.netsuite.com/app/reporting/reportrunner.nl?fromreport=320&amp;regtx,tranline,kacct,x,alltranline5,IN,x,x=950&amp;cr=293" xr:uid="{42060163-88C6-4FC3-B1C5-D1D25DC2B26D}"/>
    <hyperlink ref="A11" r:id="rId8" display="https://9607261.app.netsuite.com/app/reporting/reportrunner.nl?fromreport=320&amp;regtx,tranline,kacct,x,alltranline5,IN,x,x=950&amp;cr=293" xr:uid="{D856317E-3D78-47AB-9C59-6E3DC3DDDD43}"/>
    <hyperlink ref="A12" r:id="rId9" display="https://9607261.app.netsuite.com/app/reporting/reportrunner.nl?fromreport=320&amp;regtx,tranline,kacct,x,alltranline5,IN,x,x=950&amp;cr=293" xr:uid="{3B4907F9-6F85-4931-9C1D-B4F75C3C175E}"/>
    <hyperlink ref="A13" r:id="rId10" display="https://9607261.app.netsuite.com/app/reporting/reportrunner.nl?fromreport=320&amp;regtx,tranline,kacct,x,alltranline5,IN,x,x=950&amp;cr=293" xr:uid="{CA7DE833-B86D-4329-A2D8-85771496728D}"/>
    <hyperlink ref="A14" r:id="rId11" display="https://9607261.app.netsuite.com/app/reporting/reportrunner.nl?fromreport=320&amp;regtx,tranline,kacct,x,alltranline5,IN,x,x=950&amp;cr=293" xr:uid="{650861D6-AA2A-4ABA-AC02-9488A093A174}"/>
    <hyperlink ref="A15" r:id="rId12" display="https://9607261.app.netsuite.com/app/reporting/reportrunner.nl?fromreport=320&amp;regtx,tranline,kacct,x,alltranline5,IN,x,x=950&amp;cr=293" xr:uid="{B96C3202-EFDF-4094-8056-B9E813A2BEB5}"/>
    <hyperlink ref="A16" r:id="rId13" display="https://9607261.app.netsuite.com/app/reporting/reportrunner.nl?fromreport=320&amp;regtx,tranline,kacct,x,alltranline5,IN,x,x=950&amp;cr=293" xr:uid="{1D2D3564-82B9-4AA3-BC9E-52006BC0252D}"/>
    <hyperlink ref="A17" r:id="rId14" display="https://9607261.app.netsuite.com/app/reporting/reportrunner.nl?fromreport=320&amp;regtx,tranline,kacct,x,alltranline5,IN,x,x=950&amp;cr=293" xr:uid="{3E6A0244-8644-42DD-84BA-77C5200F7B8E}"/>
    <hyperlink ref="A18" r:id="rId15" display="https://9607261.app.netsuite.com/app/reporting/reportrunner.nl?fromreport=320&amp;regtx,tranline,kacct,x,alltranline5,IN,x,x=950&amp;cr=293" xr:uid="{24991E38-4783-4C5D-8E1F-68AE34FE052B}"/>
    <hyperlink ref="A19" r:id="rId16" display="https://9607261.app.netsuite.com/app/reporting/reportrunner.nl?fromreport=320&amp;regtx,tranline,kacct,x,alltranline5,IN,x,x=950&amp;cr=293" xr:uid="{E994ED06-330E-4116-A62B-D14B9ADB308A}"/>
    <hyperlink ref="A20" r:id="rId17" display="https://9607261.app.netsuite.com/app/reporting/reportrunner.nl?fromreport=320&amp;regtx,tranline,kacct,x,alltranline5,IN,x,x=950&amp;cr=293" xr:uid="{B3588EC8-125E-495F-A3C7-3D60750C18AC}"/>
    <hyperlink ref="A21" r:id="rId18" display="https://9607261.app.netsuite.com/app/reporting/reportrunner.nl?fromreport=320&amp;regtx,tranline,kacct,x,alltranline5,IN,x,x=950&amp;cr=293" xr:uid="{D4C434A2-9358-4313-87D5-71CCAA449691}"/>
    <hyperlink ref="A22" r:id="rId19" display="https://9607261.app.netsuite.com/app/reporting/reportrunner.nl?fromreport=320&amp;regtx,tranline,kacct,x,alltranline5,IN,x,x=950&amp;cr=293" xr:uid="{222701A4-FDA0-49E5-99DB-B741FA7F940F}"/>
    <hyperlink ref="A23" r:id="rId20" display="https://9607261.app.netsuite.com/app/reporting/reportrunner.nl?fromreport=320&amp;regtx,tranline,kacct,x,alltranline5,IN,x,x=950&amp;cr=293" xr:uid="{D902DD5E-4666-436C-AAFE-0607B7190487}"/>
    <hyperlink ref="A24" r:id="rId21" display="https://9607261.app.netsuite.com/app/reporting/reportrunner.nl?fromreport=320&amp;regtx,tranline,kacct,x,alltranline5,IN,x,x=950&amp;cr=293" xr:uid="{37D8F343-96AB-42C4-9EAD-93EF366591ED}"/>
    <hyperlink ref="A25" r:id="rId22" display="https://9607261.app.netsuite.com/app/reporting/reportrunner.nl?fromreport=320&amp;regtx,tranline,kacct,x,alltranline5,IN,x,x=950&amp;cr=293" xr:uid="{2D7B7F66-FCE3-403E-AACB-1D3E8BF624E9}"/>
    <hyperlink ref="A26" r:id="rId23" display="https://9607261.app.netsuite.com/app/reporting/reportrunner.nl?fromreport=320&amp;regtx,tranline,kacct,x,alltranline5,IN,x,x=950&amp;cr=293" xr:uid="{BEA4AA38-72AF-410D-9C0B-889963D86CBD}"/>
    <hyperlink ref="A27" r:id="rId24" display="https://9607261.app.netsuite.com/app/reporting/reportrunner.nl?fromreport=320&amp;regtx,tranline,kacct,x,alltranline5,IN,x,x=950&amp;cr=293" xr:uid="{FB72F928-01EC-4607-BE41-7FD81C824F1F}"/>
    <hyperlink ref="A28" r:id="rId25" display="https://9607261.app.netsuite.com/app/reporting/reportrunner.nl?fromreport=320&amp;regtx,tranline,kacct,x,alltranline5,IN,x,x=950&amp;cr=293" xr:uid="{C581B454-D19E-4BA7-A124-82030889C8B6}"/>
    <hyperlink ref="A29" r:id="rId26" display="https://9607261.app.netsuite.com/app/reporting/reportrunner.nl?fromreport=320&amp;regtx,tranline,kacct,x,alltranline5,IN,x,x=950&amp;cr=293" xr:uid="{A6E2D40D-C47D-42C8-B451-690440A8599A}"/>
    <hyperlink ref="A30" r:id="rId27" display="https://9607261.app.netsuite.com/app/reporting/reportrunner.nl?fromreport=320&amp;regtx,tranline,kacct,x,alltranline5,IN,x,x=950&amp;cr=293" xr:uid="{7609D42E-3448-4E15-B34D-BF26730F8712}"/>
    <hyperlink ref="A31" r:id="rId28" display="https://9607261.app.netsuite.com/app/reporting/reportrunner.nl?fromreport=320&amp;regtx,tranline,kacct,x,alltranline5,IN,x,x=950&amp;cr=293" xr:uid="{13F09154-F4A3-4788-A691-124BFE557BC6}"/>
    <hyperlink ref="A32" r:id="rId29" display="https://9607261.app.netsuite.com/app/reporting/reportrunner.nl?fromreport=320&amp;regtx,tranline,kacct,x,alltranline5,IN,x,x=950&amp;cr=293" xr:uid="{1F054E72-4B9C-4D6C-A3FA-A3F6E43DA3CB}"/>
    <hyperlink ref="A33" r:id="rId30" display="https://9607261.app.netsuite.com/app/reporting/reportrunner.nl?fromreport=320&amp;regtx,tranline,kacct,x,alltranline5,IN,x,x=950&amp;cr=293" xr:uid="{F8272818-0CD9-4F35-A467-5A92739FBDDA}"/>
    <hyperlink ref="A34" r:id="rId31" display="https://9607261.app.netsuite.com/app/reporting/reportrunner.nl?fromreport=320&amp;regtx,tranline,kacct,x,alltranline5,IN,x,x=950&amp;cr=293" xr:uid="{38309BCE-41E6-40C8-8AA7-32BE8B7CB2D4}"/>
    <hyperlink ref="A35" r:id="rId32" display="https://9607261.app.netsuite.com/app/reporting/reportrunner.nl?fromreport=320&amp;regtx,tranline,kacct,x,alltranline5,IN,x,x=950&amp;cr=293" xr:uid="{FC36D6CF-EE6F-415E-982D-F52F211C126B}"/>
    <hyperlink ref="A36" r:id="rId33" display="https://9607261.app.netsuite.com/app/reporting/reportrunner.nl?fromreport=320&amp;regtx,tranline,kacct,x,alltranline5,IN,x,x=950&amp;cr=293" xr:uid="{698490F2-AB37-4681-8AED-D7966651971B}"/>
    <hyperlink ref="A37" r:id="rId34" display="https://9607261.app.netsuite.com/app/reporting/reportrunner.nl?fromreport=320&amp;regtx,tranline,kacct,x,alltranline5,IN,x,x=950&amp;cr=293" xr:uid="{A66D5E13-BB26-4045-A34B-7368D8DEA040}"/>
    <hyperlink ref="A38" r:id="rId35" display="https://9607261.app.netsuite.com/app/reporting/reportrunner.nl?fromreport=320&amp;regtx,tranline,kacct,x,alltranline5,IN,x,x=950&amp;cr=293" xr:uid="{CFBF32B0-40DE-4DB2-AD24-4D55DFD65633}"/>
    <hyperlink ref="A39" r:id="rId36" display="https://9607261.app.netsuite.com/app/reporting/reportrunner.nl?fromreport=320&amp;regtx,tranline,kacct,x,alltranline5,IN,x,x=950&amp;cr=293" xr:uid="{2CA734F9-B5A9-41C9-8491-E729AD4ED079}"/>
    <hyperlink ref="A40" r:id="rId37" display="https://9607261.app.netsuite.com/app/reporting/reportrunner.nl?fromreport=320&amp;regtx,tranline,kacct,x,alltranline5,IN,x,x=950&amp;cr=293" xr:uid="{06E9C8DB-8731-4E6F-8873-B1507F9A1EEF}"/>
    <hyperlink ref="A41" r:id="rId38" display="https://9607261.app.netsuite.com/app/reporting/reportrunner.nl?fromreport=320&amp;regtx,tranline,kacct,x,alltranline5,IN,x,x=950&amp;cr=293" xr:uid="{079CA055-A6C4-410A-B767-C891B854FCBD}"/>
    <hyperlink ref="A42" r:id="rId39" display="https://9607261.app.netsuite.com/app/reporting/reportrunner.nl?fromreport=320&amp;regtx,tranline,kacct,x,alltranline5,IN,x,x=950&amp;cr=293" xr:uid="{6F07BAD3-8DBB-4CC0-980C-24CAF599B6C2}"/>
    <hyperlink ref="A43" r:id="rId40" display="https://9607261.app.netsuite.com/app/reporting/reportrunner.nl?fromreport=320&amp;regtx,tranline,kacct,x,alltranline5,IN,x,x=950&amp;cr=293" xr:uid="{5AC9439E-E1DC-44A2-97DB-AD13A19D2C6C}"/>
    <hyperlink ref="A44" r:id="rId41" display="https://9607261.app.netsuite.com/app/reporting/reportrunner.nl?fromreport=320&amp;regtx,tranline,kacct,x,alltranline5,IN,x,x=950&amp;cr=293" xr:uid="{EE9C62CB-8CBA-420F-9AB6-8F071CD3C339}"/>
    <hyperlink ref="A45" r:id="rId42" display="https://9607261.app.netsuite.com/app/reporting/reportrunner.nl?fromreport=320&amp;regtx,tranline,kacct,x,alltranline5,IN,x,x=950&amp;cr=293" xr:uid="{72320D14-30EC-4F1A-9B73-D9453DB50537}"/>
    <hyperlink ref="A46" r:id="rId43" display="https://9607261.app.netsuite.com/app/reporting/reportrunner.nl?fromreport=320&amp;regtx,tranline,kacct,x,alltranline5,IN,x,x=950&amp;cr=293" xr:uid="{6BE603A5-4966-45A4-A3DB-8E0775B7DA17}"/>
    <hyperlink ref="A47" r:id="rId44" display="https://9607261.app.netsuite.com/app/reporting/reportrunner.nl?fromreport=320&amp;regtx,tranline,kacct,x,alltranline5,IN,x,x=950&amp;cr=293" xr:uid="{EA7B4E65-90C5-4D4A-95A8-8486CC1A7D3C}"/>
    <hyperlink ref="A48" r:id="rId45" display="https://9607261.app.netsuite.com/app/reporting/reportrunner.nl?fromreport=320&amp;regtx,tranline,kacct,x,alltranline5,IN,x,x=950&amp;cr=293" xr:uid="{FA0A4963-A495-4A42-BFCD-18A0BF31AF81}"/>
    <hyperlink ref="A49" r:id="rId46" display="https://9607261.app.netsuite.com/app/reporting/reportrunner.nl?fromreport=320&amp;regtx,tranline,kacct,x,alltranline5,IN,x,x=950&amp;cr=293" xr:uid="{BC727DAB-6BCE-4CCC-BFE8-C9ADE1703C13}"/>
    <hyperlink ref="A50" r:id="rId47" display="https://9607261.app.netsuite.com/app/reporting/reportrunner.nl?fromreport=320&amp;regtx,tranline,kacct,x,alltranline5,IN,x,x=950&amp;cr=293" xr:uid="{1297FCE0-BBA7-431C-A33A-C7BE18F63759}"/>
    <hyperlink ref="A51" r:id="rId48" display="https://9607261.app.netsuite.com/app/reporting/reportrunner.nl?fromreport=320&amp;regtx,tranline,kacct,x,alltranline5,IN,x,x=950&amp;cr=293" xr:uid="{3046EAD5-584B-453C-8E67-B5FF6671024E}"/>
    <hyperlink ref="A52" r:id="rId49" display="https://9607261.app.netsuite.com/app/reporting/reportrunner.nl?fromreport=320&amp;regtx,tranline,kacct,x,alltranline5,IN,x,x=950&amp;cr=293" xr:uid="{079CE4AE-64A3-4103-B1E0-D92081956C45}"/>
    <hyperlink ref="A53" r:id="rId50" display="https://9607261.app.netsuite.com/app/reporting/reportrunner.nl?fromreport=320&amp;regtx,tranline,kacct,x,alltranline5,IN,x,x=950&amp;cr=293" xr:uid="{9F7EB824-5300-44CC-B5F8-127F9DB0B198}"/>
    <hyperlink ref="A54" r:id="rId51" display="https://9607261.app.netsuite.com/app/reporting/reportrunner.nl?fromreport=320&amp;regtx,tranline,kacct,x,alltranline5,IN,x,x=950&amp;cr=293" xr:uid="{DC563571-048E-4BC3-83F7-8409E504A963}"/>
    <hyperlink ref="A55" r:id="rId52" display="https://9607261.app.netsuite.com/app/reporting/reportrunner.nl?fromreport=320&amp;regtx,tranline,kacct,x,alltranline5,IN,x,x=950&amp;cr=293" xr:uid="{0BA8364A-E479-47BD-AA55-A5ED8E5B534B}"/>
    <hyperlink ref="A56" r:id="rId53" display="https://9607261.app.netsuite.com/app/reporting/reportrunner.nl?fromreport=320&amp;regtx,tranline,kacct,x,alltranline5,IN,x,x=950&amp;cr=293" xr:uid="{78BC71B5-5690-4327-9D39-340F230B6C22}"/>
    <hyperlink ref="A57" r:id="rId54" display="https://9607261.app.netsuite.com/app/reporting/reportrunner.nl?fromreport=320&amp;regtx,tranline,kacct,x,alltranline5,IN,x,x=950&amp;cr=293" xr:uid="{B5493BA3-22EE-444A-848B-C2C40AAF1124}"/>
    <hyperlink ref="A58" r:id="rId55" display="https://9607261.app.netsuite.com/app/reporting/reportrunner.nl?fromreport=320&amp;regtx,tranline,kacct,x,alltranline5,IN,x,x=950&amp;cr=293" xr:uid="{2735E1F7-33AF-4E85-90C9-A2BFA6E59437}"/>
    <hyperlink ref="A59" r:id="rId56" display="https://9607261.app.netsuite.com/app/reporting/reportrunner.nl?fromreport=320&amp;regtx,tranline,kacct,x,alltranline5,IN,x,x=950&amp;cr=293" xr:uid="{E159A52C-D69C-4745-ACFB-F3656AA2DBB1}"/>
    <hyperlink ref="A60" r:id="rId57" display="https://9607261.app.netsuite.com/app/reporting/reportrunner.nl?fromreport=320&amp;regtx,tranline,kacct,x,alltranline5,IN,x,x=950&amp;cr=293" xr:uid="{93B1BB78-A503-499D-9571-7E4E2BAC82F7}"/>
    <hyperlink ref="A61" r:id="rId58" display="https://9607261.app.netsuite.com/app/reporting/reportrunner.nl?fromreport=320&amp;regtx,tranline,kacct,x,alltranline5,IN,x,x=950&amp;cr=293" xr:uid="{626F0F0E-2601-42EF-BEA6-5FE0DCCCFCF8}"/>
    <hyperlink ref="A62" r:id="rId59" display="https://9607261.app.netsuite.com/app/reporting/reportrunner.nl?fromreport=320&amp;regtx,tranline,kacct,x,alltranline5,IN,x,x=950&amp;cr=293" xr:uid="{297BC76A-AFA3-4959-9CA0-C59E04391826}"/>
    <hyperlink ref="A63" r:id="rId60" display="https://9607261.app.netsuite.com/app/reporting/reportrunner.nl?fromreport=320&amp;regtx,tranline,kacct,x,alltranline5,IN,x,x=950&amp;cr=293" xr:uid="{4E5FC6B8-92E1-4711-B16D-66D271830C87}"/>
    <hyperlink ref="A64" r:id="rId61" display="https://9607261.app.netsuite.com/app/reporting/reportrunner.nl?fromreport=320&amp;regtx,tranline,kacct,x,alltranline5,IN,x,x=950&amp;cr=293" xr:uid="{600004F9-49EA-44B9-86C6-CE5673B55A50}"/>
    <hyperlink ref="A65" r:id="rId62" display="https://9607261.app.netsuite.com/app/reporting/reportrunner.nl?fromreport=320&amp;regtx,tranline,kacct,x,alltranline5,IN,x,x=950&amp;cr=293" xr:uid="{92E47369-6F5D-444A-8A02-C5CB0C54B986}"/>
    <hyperlink ref="A66" r:id="rId63" display="https://9607261.app.netsuite.com/app/reporting/reportrunner.nl?fromreport=320&amp;regtx,tranline,kacct,x,alltranline5,IN,x,x=950&amp;cr=293" xr:uid="{EF75839B-862B-40F9-AC80-A7F85381CF8C}"/>
    <hyperlink ref="A67" r:id="rId64" display="https://9607261.app.netsuite.com/app/reporting/reportrunner.nl?fromreport=320&amp;regtx,tranline,kacct,x,alltranline5,IN,x,x=950&amp;cr=293" xr:uid="{E17A8CB3-8E36-4816-ADD3-9B7A44B6135E}"/>
    <hyperlink ref="A68" r:id="rId65" display="https://9607261.app.netsuite.com/app/reporting/reportrunner.nl?fromreport=320&amp;regtx,tranline,kacct,x,alltranline5,IN,x,x=950&amp;cr=293" xr:uid="{0F625410-8D2B-4C8D-92EC-9DC6ED9924A6}"/>
    <hyperlink ref="A69" r:id="rId66" display="https://9607261.app.netsuite.com/app/reporting/reportrunner.nl?fromreport=320&amp;regtx,tranline,kacct,x,alltranline5,IN,x,x=950&amp;cr=293" xr:uid="{23C41BA5-B594-4FDE-ADF4-3FF29696E97B}"/>
    <hyperlink ref="A70" r:id="rId67" display="https://9607261.app.netsuite.com/app/reporting/reportrunner.nl?fromreport=320&amp;regtx,tranline,kacct,x,alltranline5,IN,x,x=950&amp;cr=293" xr:uid="{AD1ED552-C2AC-430F-AC7C-18813E7D9F37}"/>
    <hyperlink ref="A71" r:id="rId68" display="https://9607261.app.netsuite.com/app/reporting/reportrunner.nl?fromreport=320&amp;regtx,tranline,kacct,x,alltranline5,IN,x,x=950&amp;cr=293" xr:uid="{9387C9A6-57FA-42C6-A2C6-395555F729FA}"/>
    <hyperlink ref="A72" r:id="rId69" display="https://9607261.app.netsuite.com/app/reporting/reportrunner.nl?fromreport=320&amp;regtx,tranline,kacct,x,alltranline5,IN,x,x=950&amp;cr=293" xr:uid="{CD1CC07F-1307-4C28-AE6E-E0602F0957C0}"/>
    <hyperlink ref="A73" r:id="rId70" display="https://9607261.app.netsuite.com/app/reporting/reportrunner.nl?fromreport=320&amp;regtx,tranline,kacct,x,alltranline5,IN,x,x=950&amp;cr=293" xr:uid="{7F5EC54A-5DB1-4E13-8633-3C3B491E3BA8}"/>
    <hyperlink ref="A74" r:id="rId71" display="https://9607261.app.netsuite.com/app/reporting/reportrunner.nl?fromreport=320&amp;regtx,tranline,kacct,x,alltranline5,IN,x,x=950&amp;cr=293" xr:uid="{826F7A35-C24F-4416-BEF4-B8A26474AB08}"/>
    <hyperlink ref="A75" r:id="rId72" display="https://9607261.app.netsuite.com/app/reporting/reportrunner.nl?fromreport=320&amp;regtx,tranline,kacct,x,alltranline5,IN,x,x=950&amp;cr=293" xr:uid="{4C132A96-468D-4276-BB01-7566310632A0}"/>
    <hyperlink ref="A76" r:id="rId73" display="https://9607261.app.netsuite.com/app/reporting/reportrunner.nl?fromreport=320&amp;regtx,tranline,kacct,x,alltranline5,IN,x,x=950&amp;cr=293" xr:uid="{6AF5E599-4856-43CD-BFC6-97D0E2BCA1D7}"/>
    <hyperlink ref="A77" r:id="rId74" display="https://9607261.app.netsuite.com/app/reporting/reportrunner.nl?fromreport=320&amp;regtx,tranline,kacct,x,alltranline5,IN,x,x=950&amp;cr=293" xr:uid="{076DC770-7982-4D38-A9DB-A1BD5B7C92E8}"/>
    <hyperlink ref="A78" r:id="rId75" display="https://9607261.app.netsuite.com/app/reporting/reportrunner.nl?fromreport=320&amp;regtx,tranline,kacct,x,alltranline5,IN,x,x=950&amp;cr=293" xr:uid="{930824A9-7265-43A1-9BBF-65BB725DAA6F}"/>
    <hyperlink ref="A79" r:id="rId76" display="https://9607261.app.netsuite.com/app/reporting/reportrunner.nl?fromreport=320&amp;regtx,tranline,kacct,x,alltranline5,IN,x,x=950&amp;cr=293" xr:uid="{F67A40FD-A519-4DC2-8C23-D87B20CA7E03}"/>
    <hyperlink ref="A80" r:id="rId77" display="https://9607261.app.netsuite.com/app/reporting/reportrunner.nl?fromreport=320&amp;regtx,tranline,kacct,x,alltranline5,IN,x,x=950&amp;cr=293" xr:uid="{95A2BE42-1C57-4C2B-AC3E-7A0D45D2FDAC}"/>
    <hyperlink ref="A81" r:id="rId78" display="https://9607261.app.netsuite.com/app/reporting/reportrunner.nl?fromreport=320&amp;regtx,tranline,kacct,x,alltranline5,IN,x,x=950&amp;cr=293" xr:uid="{2D53FF57-4FD6-417B-BE14-49A273A890BC}"/>
    <hyperlink ref="A82" r:id="rId79" display="https://9607261.app.netsuite.com/app/reporting/reportrunner.nl?fromreport=320&amp;regtx,tranline,kacct,x,alltranline5,IN,x,x=950&amp;cr=293" xr:uid="{F4EED389-0F46-44E8-A112-4E5194CDC811}"/>
    <hyperlink ref="A83" r:id="rId80" display="https://9607261.app.netsuite.com/app/reporting/reportrunner.nl?fromreport=320&amp;regtx,tranline,kacct,x,alltranline5,IN,x,x=950&amp;cr=293" xr:uid="{FFF15E06-D963-4DAE-8BBD-B690B5D65D62}"/>
    <hyperlink ref="A84" r:id="rId81" display="https://9607261.app.netsuite.com/app/reporting/reportrunner.nl?fromreport=320&amp;regtx,tranline,kacct,x,alltranline5,IN,x,x=950&amp;cr=293" xr:uid="{92A85689-C262-4221-BE81-ACF229A7FD55}"/>
    <hyperlink ref="A85" r:id="rId82" display="https://9607261.app.netsuite.com/app/reporting/reportrunner.nl?fromreport=320&amp;regtx,tranline,kacct,x,alltranline5,IN,x,x=950&amp;cr=293" xr:uid="{31591A2A-F82C-4265-8986-3265F1849627}"/>
    <hyperlink ref="A86" r:id="rId83" display="https://9607261.app.netsuite.com/app/reporting/reportrunner.nl?fromreport=320&amp;regtx,tranline,kacct,x,alltranline5,IN,x,x=950&amp;cr=293" xr:uid="{B6369829-1280-4ADB-A9CE-D6F9A8962266}"/>
    <hyperlink ref="A87" r:id="rId84" display="https://9607261.app.netsuite.com/app/reporting/reportrunner.nl?fromreport=320&amp;regtx,tranline,kacct,x,alltranline5,IN,x,x=950&amp;cr=293" xr:uid="{A00DD6C3-74BB-4546-9F0F-1FC782B5E7B7}"/>
    <hyperlink ref="A88" r:id="rId85" display="https://9607261.app.netsuite.com/app/reporting/reportrunner.nl?fromreport=320&amp;regtx,tranline,kacct,x,alltranline5,IN,x,x=950&amp;cr=293" xr:uid="{D259EEEB-09DA-4C27-A28A-2506562FF2B9}"/>
    <hyperlink ref="A89" r:id="rId86" display="https://9607261.app.netsuite.com/app/reporting/reportrunner.nl?fromreport=320&amp;regtx,tranline,kacct,x,alltranline5,IN,x,x=950&amp;cr=293" xr:uid="{4B666F7B-3263-4E19-8909-179F7C257993}"/>
    <hyperlink ref="A90" r:id="rId87" display="https://9607261.app.netsuite.com/app/reporting/reportrunner.nl?fromreport=320&amp;regtx,tranline,kacct,x,alltranline5,IN,x,x=950&amp;cr=293" xr:uid="{AC9ED98E-0211-4C94-BAFE-173A23E19F2B}"/>
    <hyperlink ref="A91" r:id="rId88" display="https://9607261.app.netsuite.com/app/reporting/reportrunner.nl?fromreport=320&amp;regtx,tranline,kacct,x,alltranline5,IN,x,x=950&amp;cr=293" xr:uid="{E0239B08-1285-46FF-92D1-77CB8A25C517}"/>
    <hyperlink ref="A92" r:id="rId89" display="https://9607261.app.netsuite.com/app/reporting/reportrunner.nl?fromreport=320&amp;regtx,tranline,kacct,x,alltranline5,IN,x,x=950&amp;cr=293" xr:uid="{9A7CC7C2-D602-41CD-BAC9-BBAABC68A75E}"/>
    <hyperlink ref="A93" r:id="rId90" display="https://9607261.app.netsuite.com/app/reporting/reportrunner.nl?fromreport=320&amp;regtx,tranline,kacct,x,alltranline5,IN,x,x=950&amp;cr=293" xr:uid="{AA9EB75B-CC33-4015-93D2-7A9C815BDD1F}"/>
    <hyperlink ref="A94" r:id="rId91" display="https://9607261.app.netsuite.com/app/reporting/reportrunner.nl?fromreport=320&amp;regtx,tranline,kacct,x,alltranline5,IN,x,x=950&amp;cr=293" xr:uid="{7C2A3480-B3D7-4BC4-8609-377360C87D67}"/>
    <hyperlink ref="A95" r:id="rId92" display="https://9607261.app.netsuite.com/app/reporting/reportrunner.nl?fromreport=320&amp;regtx,tranline,kacct,x,alltranline5,IN,x,x=950&amp;cr=293" xr:uid="{1DBCCA82-464C-4955-B2F9-3883F3BD11C6}"/>
    <hyperlink ref="A96" r:id="rId93" display="https://9607261.app.netsuite.com/app/reporting/reportrunner.nl?fromreport=320&amp;regtx,tranline,kacct,x,alltranline5,IN,x,x=950&amp;cr=293" xr:uid="{BFC7195A-6EA8-4EAF-9A22-6A0CD7AC69DD}"/>
    <hyperlink ref="A97" r:id="rId94" display="https://9607261.app.netsuite.com/app/reporting/reportrunner.nl?fromreport=320&amp;regtx,tranline,kacct,x,alltranline5,IN,x,x=950&amp;cr=293" xr:uid="{1D6D7116-1959-4715-9A88-F9C07A66E90B}"/>
    <hyperlink ref="A98" r:id="rId95" display="https://9607261.app.netsuite.com/app/reporting/reportrunner.nl?fromreport=320&amp;regtx,tranline,kacct,x,alltranline5,IN,x,x=950&amp;cr=293" xr:uid="{CA6634B2-8FF9-4686-9BA9-8457FDBA2674}"/>
    <hyperlink ref="A99" r:id="rId96" display="https://9607261.app.netsuite.com/app/reporting/reportrunner.nl?fromreport=320&amp;regtx,tranline,kacct,x,alltranline5,IN,x,x=950&amp;cr=293" xr:uid="{34734827-ED9F-44CE-986E-B49B95ADF5FA}"/>
    <hyperlink ref="A100" r:id="rId97" display="https://9607261.app.netsuite.com/app/reporting/reportrunner.nl?fromreport=320&amp;regtx,tranline,kacct,x,alltranline5,IN,x,x=950&amp;cr=293" xr:uid="{2C8E8B43-8DC9-444F-8601-21D440B4ADE2}"/>
    <hyperlink ref="A101" r:id="rId98" display="https://9607261.app.netsuite.com/app/reporting/reportrunner.nl?fromreport=320&amp;regtx,tranline,kacct,x,alltranline5,IN,x,x=950&amp;cr=293" xr:uid="{81AF0E64-0CBC-4497-9F69-8F35956EFBE6}"/>
    <hyperlink ref="A102" r:id="rId99" display="https://9607261.app.netsuite.com/app/reporting/reportrunner.nl?fromreport=320&amp;regtx,tranline,kacct,x,alltranline5,IN,x,x=950&amp;cr=293" xr:uid="{9AF3D03E-C4C7-4448-86DA-5EC7D6AD3CE2}"/>
    <hyperlink ref="A103" r:id="rId100" display="https://9607261.app.netsuite.com/app/reporting/reportrunner.nl?fromreport=320&amp;regtx,tranline,kacct,x,alltranline5,IN,x,x=950&amp;cr=293" xr:uid="{AE95D7C9-1C0B-43A5-9D1C-878C8DF4D308}"/>
    <hyperlink ref="A104" r:id="rId101" display="https://9607261.app.netsuite.com/app/reporting/reportrunner.nl?fromreport=320&amp;regtx,tranline,kacct,x,alltranline5,IN,x,x=950&amp;cr=293" xr:uid="{0C17E897-6FA0-4E37-B690-9C41D5EA3151}"/>
    <hyperlink ref="A105" r:id="rId102" display="https://9607261.app.netsuite.com/app/reporting/reportrunner.nl?fromreport=320&amp;regtx,tranline,kacct,x,alltranline5,IN,x,x=950&amp;cr=293" xr:uid="{918B2325-0A3A-48ED-A042-DA0A76D5D3C6}"/>
    <hyperlink ref="A106" r:id="rId103" display="https://9607261.app.netsuite.com/app/reporting/reportrunner.nl?fromreport=320&amp;regtx,tranline,kacct,x,alltranline5,IN,x,x=950&amp;cr=293" xr:uid="{45E54197-6FE6-4874-B654-6DEA085A9776}"/>
    <hyperlink ref="A107" r:id="rId104" display="https://9607261.app.netsuite.com/app/reporting/reportrunner.nl?fromreport=320&amp;regtx,tranline,kacct,x,alltranline5,IN,x,x=950&amp;cr=293" xr:uid="{1C06830E-6B34-4791-851C-4B2716326A9D}"/>
    <hyperlink ref="A108" r:id="rId105" display="https://9607261.app.netsuite.com/app/reporting/reportrunner.nl?fromreport=320&amp;regtx,tranline,kacct,x,alltranline5,IN,x,x=950&amp;cr=293" xr:uid="{CACA21DA-7689-47AF-BCF5-B03779A1469E}"/>
    <hyperlink ref="A109" r:id="rId106" display="https://9607261.app.netsuite.com/app/reporting/reportrunner.nl?fromreport=320&amp;regtx,tranline,kacct,x,alltranline5,IN,x,x=950&amp;cr=293" xr:uid="{EAC6E84D-BD4D-49D7-8D41-304A25EB4B2A}"/>
    <hyperlink ref="A110" r:id="rId107" display="https://9607261.app.netsuite.com/app/reporting/reportrunner.nl?fromreport=320&amp;regtx,tranline,kacct,x,alltranline5,IN,x,x=950&amp;cr=293" xr:uid="{97887BC2-32AD-42D7-83D4-5D6AB7B28EB8}"/>
    <hyperlink ref="A111" r:id="rId108" display="https://9607261.app.netsuite.com/app/reporting/reportrunner.nl?fromreport=320&amp;regtx,tranline,kacct,x,alltranline5,IN,x,x=950&amp;cr=293" xr:uid="{F2079501-0CFF-4C13-AAD7-05AD816829D5}"/>
    <hyperlink ref="A112" r:id="rId109" display="https://9607261.app.netsuite.com/app/reporting/reportrunner.nl?fromreport=320&amp;regtx,tranline,kacct,x,alltranline5,IN,x,x=950&amp;cr=293" xr:uid="{CD31DE38-12ED-4FCA-9504-BA92367D2CD5}"/>
    <hyperlink ref="A113" r:id="rId110" display="https://9607261.app.netsuite.com/app/reporting/reportrunner.nl?fromreport=320&amp;regtx,tranline,kacct,x,alltranline5,IN,x,x=950&amp;cr=293" xr:uid="{55EAAA3C-E88C-4B9D-AB53-6FA02282584B}"/>
    <hyperlink ref="A114" r:id="rId111" display="https://9607261.app.netsuite.com/app/reporting/reportrunner.nl?fromreport=320&amp;regtx,tranline,kacct,x,alltranline5,IN,x,x=950&amp;cr=293" xr:uid="{5D49DC87-692D-4C7E-AC30-C644848ED120}"/>
    <hyperlink ref="A115" r:id="rId112" display="https://9607261.app.netsuite.com/app/reporting/reportrunner.nl?fromreport=320&amp;regtx,tranline,kacct,x,alltranline5,IN,x,x=950&amp;cr=293" xr:uid="{4C814F09-23E1-4898-9CCC-00E8413FF938}"/>
    <hyperlink ref="A116" r:id="rId113" display="https://9607261.app.netsuite.com/app/reporting/reportrunner.nl?fromreport=320&amp;regtx,tranline,kacct,x,alltranline5,IN,x,x=950&amp;cr=293" xr:uid="{35EE15CB-BEF6-4AA2-B3AD-0E0375D9C60C}"/>
    <hyperlink ref="A117" r:id="rId114" display="https://9607261.app.netsuite.com/app/reporting/reportrunner.nl?fromreport=320&amp;regtx,tranline,kacct,x,alltranline5,IN,x,x=950&amp;cr=293" xr:uid="{BA40C8DE-5E05-4C75-9511-21DFA6086665}"/>
    <hyperlink ref="A118" r:id="rId115" display="https://9607261.app.netsuite.com/app/reporting/reportrunner.nl?fromreport=320&amp;regtx,tranline,kacct,x,alltranline5,IN,x,x=950&amp;cr=293" xr:uid="{DE1CA541-BAE8-4BBA-9224-9D7EB3DE62A3}"/>
    <hyperlink ref="A119" r:id="rId116" display="https://9607261.app.netsuite.com/app/reporting/reportrunner.nl?fromreport=320&amp;regtx,tranline,kacct,x,alltranline5,IN,x,x=950&amp;cr=293" xr:uid="{3548047C-E7B6-4E45-848E-9EE85C01E829}"/>
    <hyperlink ref="A120" r:id="rId117" display="https://9607261.app.netsuite.com/app/reporting/reportrunner.nl?fromreport=320&amp;regtx,tranline,kacct,x,alltranline5,IN,x,x=950&amp;cr=293" xr:uid="{B321FC94-9CE1-4363-B92F-CC103F7D275C}"/>
    <hyperlink ref="A121" r:id="rId118" display="https://9607261.app.netsuite.com/app/reporting/reportrunner.nl?fromreport=320&amp;regtx,tranline,kacct,x,alltranline5,IN,x,x=950&amp;cr=293" xr:uid="{56B58E4D-06FC-45E4-9D08-EDECAFD087AA}"/>
    <hyperlink ref="A122" r:id="rId119" display="https://9607261.app.netsuite.com/app/reporting/reportrunner.nl?fromreport=320&amp;regtx,tranline,kacct,x,alltranline5,IN,x,x=950&amp;cr=293" xr:uid="{7A875A50-7983-4463-B989-DD51B6D6FDF7}"/>
    <hyperlink ref="A123" r:id="rId120" display="https://9607261.app.netsuite.com/app/reporting/reportrunner.nl?fromreport=320&amp;regtx,tranline,kacct,x,alltranline5,IN,x,x=950&amp;cr=293" xr:uid="{D17DA26A-4BA1-4435-9FCF-FB8D31CD3A29}"/>
    <hyperlink ref="A124" r:id="rId121" display="https://9607261.app.netsuite.com/app/reporting/reportrunner.nl?fromreport=320&amp;regtx,tranline,kacct,x,alltranline5,IN,x,x=950&amp;cr=293" xr:uid="{389D30B7-1B03-4FB2-A2C8-119A9E7CA3F5}"/>
    <hyperlink ref="A125" r:id="rId122" display="https://9607261.app.netsuite.com/app/reporting/reportrunner.nl?fromreport=320&amp;regtx,tranline,kacct,x,alltranline5,IN,x,x=950&amp;cr=293" xr:uid="{E84F5B7A-F3DB-4947-A60D-D526487743EB}"/>
    <hyperlink ref="A126" r:id="rId123" display="https://9607261.app.netsuite.com/app/reporting/reportrunner.nl?fromreport=320&amp;regtx,tranline,kacct,x,alltranline5,IN,x,x=950&amp;cr=293" xr:uid="{E1F61F09-5429-41D8-8BD4-27E47846FD28}"/>
    <hyperlink ref="A127" r:id="rId124" display="https://9607261.app.netsuite.com/app/reporting/reportrunner.nl?fromreport=320&amp;regtx,tranline,kacct,x,alltranline5,IN,x,x=950&amp;cr=293" xr:uid="{C2769E5B-FE7D-442C-89BB-7356779BA348}"/>
    <hyperlink ref="A128" r:id="rId125" display="https://9607261.app.netsuite.com/app/reporting/reportrunner.nl?fromreport=320&amp;regtx,tranline,kacct,x,alltranline5,IN,x,x=950&amp;cr=293" xr:uid="{0D7D67C0-4D69-449C-8CAA-21A278CB5819}"/>
    <hyperlink ref="A129" r:id="rId126" display="https://9607261.app.netsuite.com/app/reporting/reportrunner.nl?fromreport=320&amp;regtx,tranline,kacct,x,alltranline5,IN,x,x=950&amp;cr=293" xr:uid="{A81949DB-2E56-4A40-B956-2C122577645A}"/>
    <hyperlink ref="A130" r:id="rId127" display="https://9607261.app.netsuite.com/app/reporting/reportrunner.nl?fromreport=320&amp;regtx,tranline,kacct,x,alltranline5,IN,x,x=950&amp;cr=293" xr:uid="{2B9F3C39-8E6F-4021-B5B6-1430C7B1D530}"/>
    <hyperlink ref="A131" r:id="rId128" display="https://9607261.app.netsuite.com/app/reporting/reportrunner.nl?fromreport=320&amp;regtx,tranline,kacct,x,alltranline5,IN,x,x=950&amp;cr=293" xr:uid="{29F264D6-B9C7-431E-B5F7-44A811C12D13}"/>
    <hyperlink ref="A132" r:id="rId129" display="https://9607261.app.netsuite.com/app/reporting/reportrunner.nl?fromreport=320&amp;regtx,tranline,kacct,x,alltranline5,IN,x,x=950&amp;cr=293" xr:uid="{99072B08-EBE5-4294-999B-1738AE1E6900}"/>
    <hyperlink ref="A133" r:id="rId130" display="https://9607261.app.netsuite.com/app/reporting/reportrunner.nl?fromreport=320&amp;regtx,tranline,kacct,x,alltranline5,IN,x,x=950&amp;cr=293" xr:uid="{18434A7C-1CB4-4104-A9A1-8910230458AB}"/>
    <hyperlink ref="A134" r:id="rId131" display="https://9607261.app.netsuite.com/app/reporting/reportrunner.nl?fromreport=320&amp;regtx,tranline,kacct,x,alltranline5,IN,x,x=950&amp;cr=293" xr:uid="{7350A71B-C126-4CED-97E1-14D5B26FCDDC}"/>
    <hyperlink ref="A135" r:id="rId132" display="https://9607261.app.netsuite.com/app/reporting/reportrunner.nl?fromreport=320&amp;regtx,tranline,kacct,x,alltranline5,IN,x,x=950&amp;cr=293" xr:uid="{A2F087EC-69A1-450C-ADEF-7671AB0E8EC1}"/>
    <hyperlink ref="A136" r:id="rId133" display="https://9607261.app.netsuite.com/app/reporting/reportrunner.nl?fromreport=320&amp;regtx,tranline,kacct,x,alltranline5,IN,x,x=950&amp;cr=293" xr:uid="{3E2AEA0E-4830-45FB-81F4-9D3FCD24FB8A}"/>
    <hyperlink ref="A137" r:id="rId134" display="https://9607261.app.netsuite.com/app/reporting/reportrunner.nl?fromreport=320&amp;regtx,tranline,kacct,x,alltranline5,IN,x,x=950&amp;cr=293" xr:uid="{AE05FCF9-A5D7-4F7C-ACCC-6EBAC077239A}"/>
    <hyperlink ref="A138" r:id="rId135" display="https://9607261.app.netsuite.com/app/reporting/reportrunner.nl?fromreport=320&amp;regtx,tranline,kacct,x,alltranline5,IN,x,x=950&amp;cr=293" xr:uid="{5476184C-1343-447C-8809-4B366D36C66F}"/>
    <hyperlink ref="A139" r:id="rId136" display="https://9607261.app.netsuite.com/app/reporting/reportrunner.nl?fromreport=320&amp;regtx,tranline,kacct,x,alltranline5,IN,x,x=950&amp;cr=293" xr:uid="{6CB4B2B8-02D4-4609-B273-C2FBB3461EAB}"/>
    <hyperlink ref="A140" r:id="rId137" display="https://9607261.app.netsuite.com/app/reporting/reportrunner.nl?fromreport=320&amp;regtx,tranline,kacct,x,alltranline5,IN,x,x=950&amp;cr=293" xr:uid="{E28B9235-357D-4C7E-95AE-E682777E71A3}"/>
    <hyperlink ref="A141" r:id="rId138" display="https://9607261.app.netsuite.com/app/reporting/reportrunner.nl?fromreport=320&amp;regtx,tranline,kacct,x,alltranline5,IN,x,x=950&amp;cr=293" xr:uid="{BEAAA3F5-3432-4D2A-89AA-17DB2C3EA4F3}"/>
    <hyperlink ref="A142" r:id="rId139" display="https://9607261.app.netsuite.com/app/reporting/reportrunner.nl?fromreport=320&amp;regtx,tranline,kacct,x,alltranline5,IN,x,x=950&amp;cr=293" xr:uid="{029A22FF-5B9A-4D99-A41C-373ABF451111}"/>
    <hyperlink ref="A143" r:id="rId140" display="https://9607261.app.netsuite.com/app/reporting/reportrunner.nl?fromreport=320&amp;regtx,tranline,kacct,x,alltranline5,IN,x,x=950&amp;cr=293" xr:uid="{1328BD92-C82E-45AE-8C70-B2B06CAFE062}"/>
    <hyperlink ref="A144" r:id="rId141" display="https://9607261.app.netsuite.com/app/reporting/reportrunner.nl?fromreport=320&amp;regtx,tranline,kacct,x,alltranline5,IN,x,x=950&amp;cr=293" xr:uid="{9DFDFB3A-7D21-4875-9F81-ABA5717C8039}"/>
    <hyperlink ref="A145" r:id="rId142" display="https://9607261.app.netsuite.com/app/reporting/reportrunner.nl?fromreport=320&amp;regtx,tranline,kacct,x,alltranline5,IN,x,x=950&amp;cr=293" xr:uid="{C1E3AAB3-60C1-44DF-B563-1463FA14A004}"/>
    <hyperlink ref="A146" r:id="rId143" display="https://9607261.app.netsuite.com/app/reporting/reportrunner.nl?fromreport=320&amp;regtx,tranline,kacct,x,alltranline5,IN,x,x=950&amp;cr=293" xr:uid="{0560A10E-6322-4A49-B64F-5BC910203F76}"/>
    <hyperlink ref="A147" r:id="rId144" display="https://9607261.app.netsuite.com/app/reporting/reportrunner.nl?fromreport=320&amp;regtx,tranline,kacct,x,alltranline5,IN,x,x=950&amp;cr=293" xr:uid="{A87D5DB6-6F45-4B22-875D-5F8F1205DBBB}"/>
    <hyperlink ref="A148" r:id="rId145" display="https://9607261.app.netsuite.com/app/reporting/reportrunner.nl?fromreport=320&amp;regtx,tranline,kacct,x,alltranline5,IN,x,x=950&amp;cr=293" xr:uid="{F44095A2-7F58-484A-9CC2-DEDED3E25EEF}"/>
    <hyperlink ref="A149" r:id="rId146" display="https://9607261.app.netsuite.com/app/reporting/reportrunner.nl?fromreport=320&amp;regtx,tranline,kacct,x,alltranline5,IN,x,x=950&amp;cr=293" xr:uid="{35350504-AABD-4517-A5DC-B5FDDEA2DA25}"/>
    <hyperlink ref="A150" r:id="rId147" display="https://9607261.app.netsuite.com/app/reporting/reportrunner.nl?fromreport=320&amp;regtx,tranline,kacct,x,alltranline5,IN,x,x=950&amp;cr=293" xr:uid="{3CFD8338-1D38-468F-8DF2-F0BA117E8CCF}"/>
    <hyperlink ref="A151" r:id="rId148" display="https://9607261.app.netsuite.com/app/reporting/reportrunner.nl?fromreport=320&amp;regtx,tranline,kacct,x,alltranline5,IN,x,x=950&amp;cr=293" xr:uid="{68488EDC-E31F-434C-941E-1E7F9031E52B}"/>
    <hyperlink ref="A152" r:id="rId149" display="https://9607261.app.netsuite.com/app/reporting/reportrunner.nl?fromreport=320&amp;regtx,tranline,kacct,x,alltranline5,IN,x,x=950&amp;cr=293" xr:uid="{39AFEFE2-ED1C-410C-AA1C-A976BC92EAF9}"/>
    <hyperlink ref="A153" r:id="rId150" display="https://9607261.app.netsuite.com/app/reporting/reportrunner.nl?fromreport=320&amp;regtx,tranline,kacct,x,alltranline5,IN,x,x=950&amp;cr=293" xr:uid="{FB9DAAE4-BC59-4D2E-B398-E5212515983A}"/>
    <hyperlink ref="A154" r:id="rId151" display="https://9607261.app.netsuite.com/app/reporting/reportrunner.nl?fromreport=320&amp;regtx,tranline,kacct,x,alltranline5,IN,x,x=950&amp;cr=293" xr:uid="{4FED3677-27BB-4ED4-BCA3-542FC3805ACB}"/>
    <hyperlink ref="A155" r:id="rId152" display="https://9607261.app.netsuite.com/app/reporting/reportrunner.nl?fromreport=320&amp;regtx,tranline,kacct,x,alltranline5,IN,x,x=950&amp;cr=293" xr:uid="{D9E2E06D-ED21-4AFB-8E5E-433AEDAD2BC7}"/>
    <hyperlink ref="A156" r:id="rId153" display="https://9607261.app.netsuite.com/app/reporting/reportrunner.nl?fromreport=320&amp;regtx,tranline,kacct,x,alltranline5,IN,x,x=950&amp;cr=293" xr:uid="{5ADB76B6-2882-4199-B6B3-3DA2DA1FC36D}"/>
    <hyperlink ref="A157" r:id="rId154" display="https://9607261.app.netsuite.com/app/reporting/reportrunner.nl?fromreport=320&amp;regtx,tranline,kacct,x,alltranline5,IN,x,x=950&amp;cr=293" xr:uid="{87BFD430-0BBD-4563-892B-18382F1A8C8C}"/>
    <hyperlink ref="A158" r:id="rId155" display="https://9607261.app.netsuite.com/app/reporting/reportrunner.nl?fromreport=320&amp;regtx,tranline,kacct,x,alltranline5,IN,x,x=950&amp;cr=293" xr:uid="{A8D856CA-6C7A-4CA4-9DC7-FD3879A1FE97}"/>
    <hyperlink ref="A159" r:id="rId156" display="https://9607261.app.netsuite.com/app/reporting/reportrunner.nl?fromreport=320&amp;regtx,tranline,kacct,x,alltranline5,IN,x,x=950&amp;cr=293" xr:uid="{66C8CD2F-23B1-477F-973E-809CD888CFC3}"/>
    <hyperlink ref="A160" r:id="rId157" display="https://9607261.app.netsuite.com/app/reporting/reportrunner.nl?fromreport=320&amp;regtx,tranline,kacct,x,alltranline5,IN,x,x=950&amp;cr=293" xr:uid="{BF100A06-323A-47D3-BD80-9383B4482B2E}"/>
    <hyperlink ref="A161" r:id="rId158" display="https://9607261.app.netsuite.com/app/reporting/reportrunner.nl?fromreport=320&amp;regtx,tranline,kacct,x,alltranline5,IN,x,x=950&amp;cr=293" xr:uid="{A6892FA5-3BBC-4C8E-AF25-B7EA11B40323}"/>
    <hyperlink ref="A162" r:id="rId159" display="https://9607261.app.netsuite.com/app/reporting/reportrunner.nl?fromreport=320&amp;regtx,tranline,kacct,x,alltranline5,IN,x,x=950&amp;cr=293" xr:uid="{C61DFE9C-1120-4958-A323-2A62648A5AE3}"/>
    <hyperlink ref="A163" r:id="rId160" display="https://9607261.app.netsuite.com/app/reporting/reportrunner.nl?fromreport=320&amp;regtx,tranline,kacct,x,alltranline5,IN,x,x=950&amp;cr=293" xr:uid="{D1231C34-1934-4352-A640-9836BEF8C107}"/>
    <hyperlink ref="A164" r:id="rId161" display="https://9607261.app.netsuite.com/app/reporting/reportrunner.nl?fromreport=320&amp;regtx,tranline,kacct,x,alltranline5,IN,x,x=950&amp;cr=293" xr:uid="{350FD457-BF5A-4078-B521-5828B6BF7494}"/>
    <hyperlink ref="A165" r:id="rId162" display="https://9607261.app.netsuite.com/app/reporting/reportrunner.nl?fromreport=320&amp;regtx,tranline,kacct,x,alltranline5,IN,x,x=950&amp;cr=293" xr:uid="{4C37050D-3375-4916-9E5F-21C133F41827}"/>
    <hyperlink ref="A166" r:id="rId163" display="https://9607261.app.netsuite.com/app/reporting/reportrunner.nl?fromreport=320&amp;regtx,tranline,kacct,x,alltranline5,IN,x,x=950&amp;cr=293" xr:uid="{F4E6D585-5E2D-417F-AF73-BBC83EC89631}"/>
    <hyperlink ref="A167" r:id="rId164" display="https://9607261.app.netsuite.com/app/reporting/reportrunner.nl?fromreport=320&amp;regtx,tranline,kacct,x,alltranline5,IN,x,x=950&amp;cr=293" xr:uid="{655C39F7-01B9-4AA7-9247-C661CBE42F9E}"/>
    <hyperlink ref="A168" r:id="rId165" display="https://9607261.app.netsuite.com/app/reporting/reportrunner.nl?fromreport=320&amp;regtx,tranline,kacct,x,alltranline5,IN,x,x=950&amp;cr=293" xr:uid="{E49BA5C6-C80A-4964-8CA4-A64CF5FE354C}"/>
    <hyperlink ref="A169" r:id="rId166" display="https://9607261.app.netsuite.com/app/reporting/reportrunner.nl?fromreport=320&amp;regtx,tranline,kacct,x,alltranline5,IN,x,x=950&amp;cr=293" xr:uid="{04EF0910-5774-4FA6-997F-39AE78F42E62}"/>
    <hyperlink ref="A170" r:id="rId167" display="https://9607261.app.netsuite.com/app/reporting/reportrunner.nl?fromreport=320&amp;regtx,tranline,kacct,x,alltranline5,IN,x,x=950&amp;cr=293" xr:uid="{8C61AA14-6C9F-4E6C-9E56-D013F46F8CE7}"/>
    <hyperlink ref="A171" r:id="rId168" display="https://9607261.app.netsuite.com/app/reporting/reportrunner.nl?fromreport=320&amp;regtx,tranline,kacct,x,alltranline5,IN,x,x=950&amp;cr=293" xr:uid="{7AF89071-5180-4D77-A761-365F94157F78}"/>
    <hyperlink ref="A172" r:id="rId169" display="https://9607261.app.netsuite.com/app/reporting/reportrunner.nl?fromreport=320&amp;regtx,tranline,kacct,x,alltranline5,IN,x,x=950&amp;cr=293" xr:uid="{BD177BF4-80FD-41EC-A383-A4FBE8B99EF9}"/>
    <hyperlink ref="A173" r:id="rId170" display="https://9607261.app.netsuite.com/app/reporting/reportrunner.nl?fromreport=320&amp;regtx,tranline,kacct,x,alltranline5,IN,x,x=950&amp;cr=293" xr:uid="{E9659492-FBC5-47C9-9651-A7BBB323CE60}"/>
    <hyperlink ref="A174" r:id="rId171" display="https://9607261.app.netsuite.com/app/reporting/reportrunner.nl?fromreport=320&amp;regtx,tranline,kacct,x,alltranline5,IN,x,x=950&amp;cr=293" xr:uid="{1A625BBE-7278-4609-9554-E4A2319111EB}"/>
    <hyperlink ref="A175" r:id="rId172" display="https://9607261.app.netsuite.com/app/reporting/reportrunner.nl?fromreport=320&amp;regtx,tranline,kacct,x,alltranline5,IN,x,x=950&amp;cr=293" xr:uid="{82CDEBF8-F2E0-4B46-A43A-BEC1BBBA4338}"/>
    <hyperlink ref="A176" r:id="rId173" display="https://9607261.app.netsuite.com/app/reporting/reportrunner.nl?fromreport=320&amp;regtx,tranline,kacct,x,alltranline5,IN,x,x=950&amp;cr=293" xr:uid="{5CFB4B2F-49FB-461C-8894-6304F70D0CD9}"/>
    <hyperlink ref="A177" r:id="rId174" display="https://9607261.app.netsuite.com/app/reporting/reportrunner.nl?fromreport=320&amp;regtx,tranline,kacct,x,alltranline5,IN,x,x=950&amp;cr=293" xr:uid="{175513A7-EF6B-49D2-BEE1-A603392F8625}"/>
    <hyperlink ref="A178" r:id="rId175" display="https://9607261.app.netsuite.com/app/reporting/reportrunner.nl?fromreport=320&amp;regtx,tranline,kacct,x,alltranline5,IN,x,x=950&amp;cr=293" xr:uid="{72B6120C-CC02-404B-AF24-5D1CEBC14D9A}"/>
    <hyperlink ref="A179" r:id="rId176" display="https://9607261.app.netsuite.com/app/reporting/reportrunner.nl?fromreport=320&amp;regtx,tranline,kacct,x,alltranline5,IN,x,x=950&amp;cr=293" xr:uid="{2D667304-F447-40EB-9B05-D122CB9852A9}"/>
    <hyperlink ref="A180" r:id="rId177" display="https://9607261.app.netsuite.com/app/reporting/reportrunner.nl?fromreport=320&amp;regtx,tranline,kacct,x,alltranline5,IN,x,x=950&amp;cr=293" xr:uid="{27DC602F-0273-4FDA-8D2C-3BE17A2B6A33}"/>
    <hyperlink ref="A181" r:id="rId178" display="https://9607261.app.netsuite.com/app/reporting/reportrunner.nl?fromreport=320&amp;regtx,tranline,kacct,x,alltranline5,IN,x,x=950&amp;cr=293" xr:uid="{00B64ACC-3B08-4ED3-9319-F9F40640B265}"/>
    <hyperlink ref="A182" r:id="rId179" display="https://9607261.app.netsuite.com/app/reporting/reportrunner.nl?fromreport=320&amp;regtx,tranline,kacct,x,alltranline5,IN,x,x=950&amp;cr=293" xr:uid="{3987D1B6-B5CE-4C14-82FF-4D5033D157D8}"/>
    <hyperlink ref="A183" r:id="rId180" display="https://9607261.app.netsuite.com/app/reporting/reportrunner.nl?fromreport=320&amp;regtx,tranline,kacct,x,alltranline5,IN,x,x=950&amp;cr=293" xr:uid="{32937375-6209-4519-AD0D-977CFAE4789D}"/>
    <hyperlink ref="A184" r:id="rId181" display="https://9607261.app.netsuite.com/app/reporting/reportrunner.nl?fromreport=320&amp;regtx,tranline,kacct,x,alltranline5,IN,x,x=950&amp;cr=293" xr:uid="{80DEB852-DB73-42F7-B325-96B66E075A6A}"/>
    <hyperlink ref="A185" r:id="rId182" display="https://9607261.app.netsuite.com/app/reporting/reportrunner.nl?fromreport=320&amp;regtx,tranline,kacct,x,alltranline5,IN,x,x=950&amp;cr=293" xr:uid="{F732DD0D-96D3-4772-98F3-4EB3A2C4341F}"/>
    <hyperlink ref="A186" r:id="rId183" display="https://9607261.app.netsuite.com/app/reporting/reportrunner.nl?fromreport=320&amp;regtx,tranline,kacct,x,alltranline5,IN,x,x=950&amp;cr=293" xr:uid="{ABF9A088-D81A-4D86-8514-6AEB5759D93A}"/>
    <hyperlink ref="A187" r:id="rId184" display="https://9607261.app.netsuite.com/app/reporting/reportrunner.nl?fromreport=320&amp;regtx,tranline,kacct,x,alltranline5,IN,x,x=950&amp;cr=293" xr:uid="{65BFBC46-B8A4-4E72-9239-D4121192C4BF}"/>
    <hyperlink ref="A188" r:id="rId185" display="https://9607261.app.netsuite.com/app/reporting/reportrunner.nl?fromreport=320&amp;regtx,tranline,kacct,x,alltranline5,IN,x,x=950&amp;cr=293" xr:uid="{41C5521C-AF45-4B29-A7CA-5ACEA78AA21A}"/>
    <hyperlink ref="A189" r:id="rId186" display="https://9607261.app.netsuite.com/app/reporting/reportrunner.nl?fromreport=320&amp;regtx,tranline,kacct,x,alltranline5,IN,x,x=950&amp;cr=293" xr:uid="{B69FC25C-4FFC-4341-A926-D01E021AE959}"/>
    <hyperlink ref="A190" r:id="rId187" display="https://9607261.app.netsuite.com/app/reporting/reportrunner.nl?fromreport=320&amp;regtx,tranline,kacct,x,alltranline5,IN,x,x=950&amp;cr=293" xr:uid="{DDC7F4A2-8556-4BBA-BD3E-C9B86E265054}"/>
    <hyperlink ref="A191" r:id="rId188" display="https://9607261.app.netsuite.com/app/reporting/reportrunner.nl?fromreport=320&amp;regtx,tranline,kacct,x,alltranline5,IN,x,x=950&amp;cr=293" xr:uid="{16C01055-207E-454F-8D0A-A766C78F5D43}"/>
    <hyperlink ref="A192" r:id="rId189" display="https://9607261.app.netsuite.com/app/reporting/reportrunner.nl?fromreport=320&amp;regtx,tranline,kacct,x,alltranline5,IN,x,x=950&amp;cr=293" xr:uid="{8C25F1E5-D4E1-49A3-97FC-CB6BACE7A167}"/>
    <hyperlink ref="A193" r:id="rId190" display="https://9607261.app.netsuite.com/app/reporting/reportrunner.nl?fromreport=320&amp;regtx,tranline,kacct,x,alltranline5,IN,x,x=950&amp;cr=293" xr:uid="{69C710DF-9A8B-41BB-A49E-2699FB0CB9D0}"/>
    <hyperlink ref="A194" r:id="rId191" display="https://9607261.app.netsuite.com/app/reporting/reportrunner.nl?fromreport=320&amp;regtx,tranline,kacct,x,alltranline5,IN,x,x=950&amp;cr=293" xr:uid="{D8DF88F1-DC98-4F9E-B2E1-FFA14903F9BD}"/>
    <hyperlink ref="A195" r:id="rId192" display="https://9607261.app.netsuite.com/app/reporting/reportrunner.nl?fromreport=320&amp;regtx,tranline,kacct,x,alltranline5,IN,x,x=950&amp;cr=293" xr:uid="{CC7999A6-4353-415E-849C-3B6AF346DB63}"/>
    <hyperlink ref="A196" r:id="rId193" display="https://9607261.app.netsuite.com/app/reporting/reportrunner.nl?fromreport=320&amp;regtx,tranline,kacct,x,alltranline5,IN,x,x=950&amp;cr=293" xr:uid="{8EBC5020-4308-4877-BA9C-1E5BD8FD82AE}"/>
    <hyperlink ref="A197" r:id="rId194" display="https://9607261.app.netsuite.com/app/reporting/reportrunner.nl?fromreport=320&amp;regtx,tranline,kacct,x,alltranline5,IN,x,x=950&amp;cr=293" xr:uid="{B2D2FA85-FC96-408F-820D-750E719463FE}"/>
    <hyperlink ref="A198" r:id="rId195" display="https://9607261.app.netsuite.com/app/reporting/reportrunner.nl?fromreport=320&amp;regtx,tranline,kacct,x,alltranline5,IN,x,x=950&amp;cr=293" xr:uid="{B31348EE-E685-48AF-97D8-6B8B0C3052E8}"/>
    <hyperlink ref="A199" r:id="rId196" display="https://9607261.app.netsuite.com/app/reporting/reportrunner.nl?fromreport=320&amp;regtx,tranline,kacct,x,alltranline5,IN,x,x=950&amp;cr=293" xr:uid="{A6D65F76-F19F-4CE3-B8D3-EE568C79D411}"/>
    <hyperlink ref="A200" r:id="rId197" display="https://9607261.app.netsuite.com/app/reporting/reportrunner.nl?fromreport=320&amp;regtx,tranline,kacct,x,alltranline5,IN,x,x=950&amp;cr=293" xr:uid="{575DA897-9E86-4395-BF01-7218988601C1}"/>
    <hyperlink ref="A201" r:id="rId198" display="https://9607261.app.netsuite.com/app/reporting/reportrunner.nl?fromreport=320&amp;regtx,tranline,kacct,x,alltranline5,IN,x,x=950&amp;cr=293" xr:uid="{BAB00619-D821-4B47-B23C-E39526B9D793}"/>
    <hyperlink ref="A202" r:id="rId199" display="https://9607261.app.netsuite.com/app/reporting/reportrunner.nl?fromreport=320&amp;regtx,tranline,kacct,x,alltranline5,IN,x,x=950&amp;cr=293" xr:uid="{7B2B6A9D-FBA1-44D0-90D9-762D00904A36}"/>
    <hyperlink ref="A203" r:id="rId200" display="https://9607261.app.netsuite.com/app/reporting/reportrunner.nl?fromreport=320&amp;regtx,tranline,kacct,x,alltranline5,IN,x,x=950&amp;cr=293" xr:uid="{23BD8C54-53CD-457C-8C31-A41310FBFF6C}"/>
    <hyperlink ref="A204" r:id="rId201" display="https://9607261.app.netsuite.com/app/reporting/reportrunner.nl?fromreport=320&amp;regtx,tranline,kacct,x,alltranline5,IN,x,x=950&amp;cr=293" xr:uid="{2743CEC2-194F-41F4-8280-CE452CB778AA}"/>
    <hyperlink ref="A205" r:id="rId202" display="https://9607261.app.netsuite.com/app/reporting/reportrunner.nl?fromreport=320&amp;regtx,tranline,kacct,x,alltranline5,IN,x,x=950&amp;cr=293" xr:uid="{22A36F8E-6BBD-4203-A009-E638DE0E8DC7}"/>
    <hyperlink ref="A206" r:id="rId203" display="https://9607261.app.netsuite.com/app/reporting/reportrunner.nl?fromreport=320&amp;regtx,tranline,kacct,x,alltranline5,IN,x,x=950&amp;cr=293" xr:uid="{CBBBFF81-7778-48CC-8345-64A78F1D142E}"/>
    <hyperlink ref="A207" r:id="rId204" display="https://9607261.app.netsuite.com/app/reporting/reportrunner.nl?fromreport=320&amp;regtx,tranline,kacct,x,alltranline5,IN,x,x=950&amp;cr=293" xr:uid="{F0450EE5-B61A-4914-87D4-C7CCB0A1A3A0}"/>
    <hyperlink ref="A208" r:id="rId205" display="https://9607261.app.netsuite.com/app/reporting/reportrunner.nl?fromreport=320&amp;regtx,tranline,kacct,x,alltranline5,IN,x,x=950&amp;cr=293" xr:uid="{B2CFB863-AE74-4B22-A262-2F63FC23946C}"/>
    <hyperlink ref="A209" r:id="rId206" display="https://9607261.app.netsuite.com/app/reporting/reportrunner.nl?fromreport=320&amp;regtx,tranline,kacct,x,alltranline5,IN,x,x=950&amp;cr=293" xr:uid="{1D20B7E8-EDA5-4EF4-8B14-0EFE018C7185}"/>
    <hyperlink ref="A210" r:id="rId207" display="https://9607261.app.netsuite.com/app/reporting/reportrunner.nl?fromreport=320&amp;regtx,tranline,kacct,x,alltranline5,IN,x,x=950&amp;cr=293" xr:uid="{3460B8BE-DD33-4134-BABE-568938CC4961}"/>
    <hyperlink ref="A211" r:id="rId208" display="https://9607261.app.netsuite.com/app/reporting/reportrunner.nl?fromreport=320&amp;regtx,tranline,kacct,x,alltranline5,IN,x,x=950&amp;cr=293" xr:uid="{76580B81-5C71-43A1-B1DC-DE81C8E4D530}"/>
    <hyperlink ref="A212" r:id="rId209" display="https://9607261.app.netsuite.com/app/reporting/reportrunner.nl?fromreport=320&amp;regtx,tranline,kacct,x,alltranline5,IN,x,x=950&amp;cr=293" xr:uid="{5B576CCD-62FF-4148-BD17-A788F87EA673}"/>
    <hyperlink ref="A213" r:id="rId210" display="https://9607261.app.netsuite.com/app/reporting/reportrunner.nl?fromreport=320&amp;regtx,tranline,kacct,x,alltranline5,IN,x,x=950&amp;cr=293" xr:uid="{1454F283-4C92-4587-BA03-F7BEF7F8156A}"/>
    <hyperlink ref="A214" r:id="rId211" display="https://9607261.app.netsuite.com/app/reporting/reportrunner.nl?fromreport=320&amp;regtx,tranline,kacct,x,alltranline5,IN,x,x=950&amp;cr=293" xr:uid="{99EF7147-3DEF-4332-8C84-7F1B026899C2}"/>
    <hyperlink ref="A215" r:id="rId212" display="https://9607261.app.netsuite.com/app/reporting/reportrunner.nl?fromreport=320&amp;regtx,tranline,kacct,x,alltranline5,IN,x,x=950&amp;cr=293" xr:uid="{A79653CD-6C64-4DF9-A4C4-AEE79BA8A54A}"/>
    <hyperlink ref="A216" r:id="rId213" display="https://9607261.app.netsuite.com/app/reporting/reportrunner.nl?fromreport=320&amp;regtx,tranline,kacct,x,alltranline5,IN,x,x=950&amp;cr=293" xr:uid="{F9ACF6AB-7F2E-4186-BC0C-424037BB3614}"/>
    <hyperlink ref="A217" r:id="rId214" display="https://9607261.app.netsuite.com/app/reporting/reportrunner.nl?fromreport=320&amp;regtx,tranline,kacct,x,alltranline5,IN,x,x=950&amp;cr=293" xr:uid="{50828F06-7A4C-4250-9F48-362BDC1327B2}"/>
    <hyperlink ref="A218" r:id="rId215" display="https://9607261.app.netsuite.com/app/reporting/reportrunner.nl?fromreport=320&amp;regtx,tranline,kacct,x,alltranline5,IN,x,x=950&amp;cr=293" xr:uid="{E04CEBA8-7059-4DE5-9A9C-70C3DAA544E7}"/>
    <hyperlink ref="A219" r:id="rId216" display="https://9607261.app.netsuite.com/app/reporting/reportrunner.nl?fromreport=320&amp;regtx,tranline,kacct,x,alltranline5,IN,x,x=950&amp;cr=293" xr:uid="{79CCF7BE-D57F-4DCC-867D-E31916537BEF}"/>
    <hyperlink ref="A220" r:id="rId217" display="https://9607261.app.netsuite.com/app/reporting/reportrunner.nl?fromreport=320&amp;regtx,tranline,kacct,x,alltranline5,IN,x,x=950&amp;cr=293" xr:uid="{C5C71260-4D5B-43D9-ADE4-8BAFF851BC56}"/>
    <hyperlink ref="A221" r:id="rId218" display="https://9607261.app.netsuite.com/app/reporting/reportrunner.nl?fromreport=320&amp;regtx,tranline,kacct,x,alltranline5,IN,x,x=950&amp;cr=293" xr:uid="{313168EF-124E-4E7F-9AD4-5DC426C1FB13}"/>
    <hyperlink ref="A222" r:id="rId219" display="https://9607261.app.netsuite.com/app/reporting/reportrunner.nl?fromreport=320&amp;regtx,tranline,kacct,x,alltranline5,IN,x,x=950&amp;cr=293" xr:uid="{D98727DE-2C98-43C1-9F73-9B4FE0D5E000}"/>
    <hyperlink ref="A223" r:id="rId220" display="https://9607261.app.netsuite.com/app/reporting/reportrunner.nl?fromreport=320&amp;regtx,tranline,kacct,x,alltranline5,IN,x,x=950&amp;cr=293" xr:uid="{C91EDDF4-2453-4A0C-91E0-A0C5CDB6A671}"/>
    <hyperlink ref="A224" r:id="rId221" display="https://9607261.app.netsuite.com/app/reporting/reportrunner.nl?fromreport=320&amp;regtx,tranline,kacct,x,alltranline5,IN,x,x=950&amp;cr=293" xr:uid="{8DBF7523-372F-4360-AAEE-5325C7BCF497}"/>
    <hyperlink ref="A225" r:id="rId222" display="https://9607261.app.netsuite.com/app/reporting/reportrunner.nl?fromreport=320&amp;regtx,tranline,kacct,x,alltranline5,IN,x,x=950&amp;cr=293" xr:uid="{8B0E7D13-F9B5-4344-8F63-5967AD23DB86}"/>
    <hyperlink ref="A226" r:id="rId223" display="https://9607261.app.netsuite.com/app/reporting/reportrunner.nl?fromreport=320&amp;regtx,tranline,kacct,x,alltranline5,IN,x,x=950&amp;cr=293" xr:uid="{5E032A92-CFB5-4D36-8149-FC63C73D984E}"/>
    <hyperlink ref="A227" r:id="rId224" display="https://9607261.app.netsuite.com/app/reporting/reportrunner.nl?fromreport=320&amp;regtx,tranline,kacct,x,alltranline5,IN,x,x=950&amp;cr=293" xr:uid="{A4BE2D10-773C-434F-B5C0-1222C03A5F8C}"/>
    <hyperlink ref="A228" r:id="rId225" display="https://9607261.app.netsuite.com/app/reporting/reportrunner.nl?fromreport=320&amp;regtx,tranline,kacct,x,alltranline5,IN,x,x=950&amp;cr=293" xr:uid="{382B312F-83C5-4B24-9B25-F6C4B6D7445C}"/>
    <hyperlink ref="A229" r:id="rId226" display="https://9607261.app.netsuite.com/app/reporting/reportrunner.nl?fromreport=320&amp;regtx,tranline,kacct,x,alltranline5,IN,x,x=950&amp;cr=293" xr:uid="{435BFDE0-5144-4AB8-8E23-5C2D155A3D47}"/>
    <hyperlink ref="A230" r:id="rId227" display="https://9607261.app.netsuite.com/app/reporting/reportrunner.nl?fromreport=320&amp;regtx,tranline,kacct,x,alltranline5,IN,x,x=950&amp;cr=293" xr:uid="{42CB3E6C-4DE6-43FD-8B35-8CF9C7DFE447}"/>
    <hyperlink ref="A231" r:id="rId228" display="https://9607261.app.netsuite.com/app/reporting/reportrunner.nl?fromreport=320&amp;regtx,tranline,kacct,x,alltranline5,IN,x,x=950&amp;cr=293" xr:uid="{2F49DB35-0B7C-4289-B92B-1AA81F57C0C1}"/>
    <hyperlink ref="A232" r:id="rId229" display="https://9607261.app.netsuite.com/app/reporting/reportrunner.nl?fromreport=320&amp;regtx,tranline,kacct,x,alltranline5,IN,x,x=950&amp;cr=293" xr:uid="{ECABA3EB-1242-432A-8F0F-5F1A5A315A54}"/>
    <hyperlink ref="A233" r:id="rId230" display="https://9607261.app.netsuite.com/app/reporting/reportrunner.nl?fromreport=320&amp;regtx,tranline,kacct,x,alltranline5,IN,x,x=950&amp;cr=293" xr:uid="{51ED14CA-B985-4228-91FD-FC5B2B5EDF7E}"/>
    <hyperlink ref="A234" r:id="rId231" display="https://9607261.app.netsuite.com/app/reporting/reportrunner.nl?fromreport=320&amp;regtx,tranline,kacct,x,alltranline5,IN,x,x=950&amp;cr=293" xr:uid="{8DCA2359-BEB9-4397-A909-1AFB7C0ED71B}"/>
    <hyperlink ref="A235" r:id="rId232" display="https://9607261.app.netsuite.com/app/reporting/reportrunner.nl?fromreport=320&amp;regtx,tranline,kacct,x,alltranline5,IN,x,x=950&amp;cr=293" xr:uid="{3ABEA9E8-BEC3-4B7A-9EA7-F7F3287860A9}"/>
    <hyperlink ref="A236" r:id="rId233" display="https://9607261.app.netsuite.com/app/reporting/reportrunner.nl?fromreport=320&amp;regtx,tranline,kacct,x,alltranline5,IN,x,x=950&amp;cr=293" xr:uid="{68EA99EA-B336-4910-AD81-77E6EE8812E8}"/>
    <hyperlink ref="A237" r:id="rId234" display="https://9607261.app.netsuite.com/app/reporting/reportrunner.nl?fromreport=320&amp;regtx,tranline,kacct,x,alltranline5,IN,x,x=950&amp;cr=293" xr:uid="{FC819B34-5307-416A-B19A-E8898A1810E1}"/>
    <hyperlink ref="A238" r:id="rId235" display="https://9607261.app.netsuite.com/app/reporting/reportrunner.nl?fromreport=320&amp;regtx,tranline,kacct,x,alltranline5,IN,x,x=950&amp;cr=293" xr:uid="{4D48A6C0-841B-4E2C-9BB3-BAFD19D70437}"/>
    <hyperlink ref="A239" r:id="rId236" display="https://9607261.app.netsuite.com/app/reporting/reportrunner.nl?fromreport=320&amp;regtx,tranline,kacct,x,alltranline5,IN,x,x=950&amp;cr=293" xr:uid="{F05E3059-59E7-4B40-A8C1-F4C23EF8FECF}"/>
    <hyperlink ref="A240" r:id="rId237" display="https://9607261.app.netsuite.com/app/reporting/reportrunner.nl?fromreport=320&amp;regtx,tranline,kacct,x,alltranline5,IN,x,x=950&amp;cr=293" xr:uid="{727273BA-E4F4-428A-ADEF-3A11894584C2}"/>
    <hyperlink ref="A241" r:id="rId238" display="https://9607261.app.netsuite.com/app/reporting/reportrunner.nl?fromreport=320&amp;regtx,tranline,kacct,x,alltranline5,IN,x,x=950&amp;cr=293" xr:uid="{AB6B2751-32E4-45A3-92F5-78D25A94CD60}"/>
    <hyperlink ref="A242" r:id="rId239" display="https://9607261.app.netsuite.com/app/reporting/reportrunner.nl?fromreport=320&amp;regtx,tranline,kacct,x,alltranline5,IN,x,x=950&amp;cr=293" xr:uid="{A409D1A4-2C4F-41F2-A5EF-3A1BA451ED13}"/>
    <hyperlink ref="A243" r:id="rId240" display="https://9607261.app.netsuite.com/app/reporting/reportrunner.nl?fromreport=320&amp;regtx,tranline,kacct,x,alltranline5,IN,x,x=950&amp;cr=293" xr:uid="{F7986A07-0E27-49CD-88BD-BCAAFC77D4ED}"/>
    <hyperlink ref="A244" r:id="rId241" display="https://9607261.app.netsuite.com/app/reporting/reportrunner.nl?fromreport=320&amp;regtx,tranline,kacct,x,alltranline5,IN,x,x=950&amp;cr=293" xr:uid="{AA53C3DB-9536-4F7B-BC82-EA44E9C46AE4}"/>
    <hyperlink ref="A245" r:id="rId242" display="https://9607261.app.netsuite.com/app/reporting/reportrunner.nl?fromreport=320&amp;regtx,tranline,kacct,x,alltranline5,IN,x,x=950&amp;cr=293" xr:uid="{9F01A900-AE1A-4EDF-8821-74883F78E990}"/>
    <hyperlink ref="A246" r:id="rId243" display="https://9607261.app.netsuite.com/app/reporting/reportrunner.nl?fromreport=320&amp;regtx,tranline,kacct,x,alltranline5,IN,x,x=950&amp;cr=293" xr:uid="{51E09428-7BD4-42F5-988A-F4A2ADA7F28F}"/>
    <hyperlink ref="A247" r:id="rId244" display="https://9607261.app.netsuite.com/app/reporting/reportrunner.nl?fromreport=320&amp;regtx,tranline,kacct,x,alltranline5,IN,x,x=950&amp;cr=293" xr:uid="{262098CB-0320-4964-86E3-972D2DDF2B5A}"/>
    <hyperlink ref="A248" r:id="rId245" display="https://9607261.app.netsuite.com/app/reporting/reportrunner.nl?fromreport=320&amp;regtx,tranline,kacct,x,alltranline5,IN,x,x=950&amp;cr=293" xr:uid="{D8FA8CD4-2845-4F8E-8D47-29570A6F2D2B}"/>
    <hyperlink ref="A249" r:id="rId246" display="https://9607261.app.netsuite.com/app/reporting/reportrunner.nl?fromreport=320&amp;regtx,tranline,kacct,x,alltranline5,IN,x,x=950&amp;cr=293" xr:uid="{7E126555-7B2C-4A60-A4D4-0289D23367A1}"/>
    <hyperlink ref="A250" r:id="rId247" display="https://9607261.app.netsuite.com/app/reporting/reportrunner.nl?fromreport=320&amp;regtx,tranline,kacct,x,alltranline5,IN,x,x=950&amp;cr=293" xr:uid="{72349389-588B-436F-887B-0445C9AB3F8E}"/>
    <hyperlink ref="A251" r:id="rId248" display="https://9607261.app.netsuite.com/app/reporting/reportrunner.nl?fromreport=320&amp;regtx,tranline,kacct,x,alltranline5,IN,x,x=950&amp;cr=293" xr:uid="{BD1E5D6D-34BD-419B-9087-B88C679B8E94}"/>
    <hyperlink ref="A252" r:id="rId249" display="https://9607261.app.netsuite.com/app/reporting/reportrunner.nl?fromreport=320&amp;regtx,tranline,kacct,x,alltranline5,IN,x,x=950&amp;cr=293" xr:uid="{DE7B58B3-C42B-4F1E-842C-54A62639585E}"/>
    <hyperlink ref="A253" r:id="rId250" display="https://9607261.app.netsuite.com/app/reporting/reportrunner.nl?fromreport=320&amp;regtx,tranline,kacct,x,alltranline5,IN,x,x=950&amp;cr=293" xr:uid="{24BE8C14-3E4F-4E01-9E29-568B336EBF44}"/>
    <hyperlink ref="A254" r:id="rId251" display="https://9607261.app.netsuite.com/app/reporting/reportrunner.nl?fromreport=320&amp;regtx,tranline,kacct,x,alltranline5,IN,x,x=950&amp;cr=293" xr:uid="{77EF2C01-998D-45C7-8564-99DC21F561C0}"/>
    <hyperlink ref="A255" r:id="rId252" display="https://9607261.app.netsuite.com/app/reporting/reportrunner.nl?fromreport=320&amp;regtx,tranline,kacct,x,alltranline5,IN,x,x=950&amp;cr=293" xr:uid="{41BE2895-217B-47C5-A785-EEDD1392246E}"/>
    <hyperlink ref="A256" r:id="rId253" display="https://9607261.app.netsuite.com/app/reporting/reportrunner.nl?fromreport=320&amp;regtx,tranline,kacct,x,alltranline5,IN,x,x=950&amp;cr=293" xr:uid="{5714C3EF-907E-49AF-8A64-4291F566F433}"/>
    <hyperlink ref="A257" r:id="rId254" display="https://9607261.app.netsuite.com/app/reporting/reportrunner.nl?fromreport=320&amp;regtx,tranline,kacct,x,alltranline5,IN,x,x=950&amp;cr=293" xr:uid="{50FA2B9C-3930-4C59-A70F-7AA91065DE53}"/>
    <hyperlink ref="A258" r:id="rId255" display="https://9607261.app.netsuite.com/app/reporting/reportrunner.nl?fromreport=320&amp;regtx,tranline,kacct,x,alltranline5,IN,x,x=950&amp;cr=293" xr:uid="{6F677E28-EB62-4FF7-92D2-1E47BAE9805C}"/>
    <hyperlink ref="A259" r:id="rId256" display="https://9607261.app.netsuite.com/app/reporting/reportrunner.nl?fromreport=320&amp;regtx,tranline,kacct,x,alltranline5,IN,x,x=950&amp;cr=293" xr:uid="{E2BF87FE-73D8-4944-A98C-4515C03C8115}"/>
    <hyperlink ref="A260" r:id="rId257" display="https://9607261.app.netsuite.com/app/reporting/reportrunner.nl?fromreport=320&amp;regtx,tranline,kacct,x,alltranline5,IN,x,x=950&amp;cr=293" xr:uid="{E6017E22-E313-4B91-AB5B-3DAB0FAD284E}"/>
    <hyperlink ref="A261" r:id="rId258" display="https://9607261.app.netsuite.com/app/reporting/reportrunner.nl?fromreport=320&amp;regtx,tranline,kacct,x,alltranline5,IN,x,x=950&amp;cr=293" xr:uid="{9A2BF3F5-5CA7-4C6C-83C2-9CFDF61ADA82}"/>
    <hyperlink ref="A262" r:id="rId259" display="https://9607261.app.netsuite.com/app/reporting/reportrunner.nl?fromreport=320&amp;regtx,tranline,kacct,x,alltranline5,IN,x,x=950&amp;cr=293" xr:uid="{34B4610D-EEC6-41EC-B8A5-36C91FC01583}"/>
    <hyperlink ref="A263" r:id="rId260" display="https://9607261.app.netsuite.com/app/reporting/reportrunner.nl?fromreport=320&amp;regtx,tranline,kacct,x,alltranline5,IN,x,x=950&amp;cr=293" xr:uid="{883E6EE4-746E-44CD-B788-6852B0741978}"/>
    <hyperlink ref="A264" r:id="rId261" display="https://9607261.app.netsuite.com/app/reporting/reportrunner.nl?fromreport=320&amp;regtx,tranline,kacct,x,alltranline5,IN,x,x=950&amp;cr=293" xr:uid="{907944DD-AA61-4078-A910-1DB7B65C2053}"/>
    <hyperlink ref="A265" r:id="rId262" display="https://9607261.app.netsuite.com/app/reporting/reportrunner.nl?fromreport=320&amp;regtx,tranline,kacct,x,alltranline5,IN,x,x=950&amp;cr=293" xr:uid="{FE5BE1AF-5238-4BC2-9C22-385F89CB1BCE}"/>
    <hyperlink ref="A266" r:id="rId263" display="https://9607261.app.netsuite.com/app/reporting/reportrunner.nl?fromreport=320&amp;regtx,tranline,kacct,x,alltranline5,IN,x,x=950&amp;cr=293" xr:uid="{04BD95DA-C09B-4364-A88B-920FC8C1C714}"/>
    <hyperlink ref="A267" r:id="rId264" display="https://9607261.app.netsuite.com/app/reporting/reportrunner.nl?fromreport=320&amp;regtx,tranline,kacct,x,alltranline5,IN,x,x=950&amp;cr=293" xr:uid="{D5491F1B-3DB4-4F2E-A9F6-BB20427813E2}"/>
    <hyperlink ref="A268" r:id="rId265" display="https://9607261.app.netsuite.com/app/reporting/reportrunner.nl?fromreport=320&amp;regtx,tranline,kacct,x,alltranline5,IN,x,x=950&amp;cr=293" xr:uid="{3AF43506-2834-43D9-854B-521CA1B6A6DC}"/>
    <hyperlink ref="A269" r:id="rId266" display="https://9607261.app.netsuite.com/app/reporting/reportrunner.nl?fromreport=320&amp;regtx,tranline,kacct,x,alltranline5,IN,x,x=950&amp;cr=293" xr:uid="{1C89D11B-9C5E-4621-9E80-4E52E1AFA9CF}"/>
    <hyperlink ref="A270" r:id="rId267" display="https://9607261.app.netsuite.com/app/reporting/reportrunner.nl?fromreport=320&amp;regtx,tranline,kacct,x,alltranline5,IN,x,x=950&amp;cr=293" xr:uid="{FBE9A351-E244-4FAF-850C-212C30F004A6}"/>
    <hyperlink ref="A271" r:id="rId268" display="https://9607261.app.netsuite.com/app/reporting/reportrunner.nl?fromreport=320&amp;regtx,tranline,kacct,x,alltranline5,IN,x,x=950&amp;cr=293" xr:uid="{9FEA0181-D98E-4059-9D6C-7F9DC8D165EC}"/>
    <hyperlink ref="A272" r:id="rId269" display="https://9607261.app.netsuite.com/app/reporting/reportrunner.nl?fromreport=320&amp;regtx,tranline,kacct,x,alltranline5,IN,x,x=950&amp;cr=293" xr:uid="{C98F8C5F-253B-41B7-AD4F-61DF876AF40F}"/>
    <hyperlink ref="A273" r:id="rId270" display="https://9607261.app.netsuite.com/app/reporting/reportrunner.nl?fromreport=320&amp;regtx,tranline,kacct,x,alltranline5,IN,x,x=950&amp;cr=293" xr:uid="{C0B038E7-6739-490F-AF44-DCBF30F80FB1}"/>
    <hyperlink ref="A274" r:id="rId271" display="https://9607261.app.netsuite.com/app/reporting/reportrunner.nl?fromreport=320&amp;regtx,tranline,kacct,x,alltranline5,IN,x,x=950&amp;cr=293" xr:uid="{E3A325B6-7B54-4CCC-BCB7-72C932B54454}"/>
    <hyperlink ref="A275" r:id="rId272" display="https://9607261.app.netsuite.com/app/reporting/reportrunner.nl?fromreport=320&amp;regtx,tranline,kacct,x,alltranline5,IN,x,x=950&amp;cr=293" xr:uid="{CEDCC361-51B1-46FE-BA5D-D48AD2D73A3D}"/>
    <hyperlink ref="A276" r:id="rId273" display="https://9607261.app.netsuite.com/app/reporting/reportrunner.nl?fromreport=320&amp;regtx,tranline,kacct,x,alltranline5,IN,x,x=950&amp;cr=293" xr:uid="{4551F67C-38E1-4E81-85F3-52577DBA62F1}"/>
    <hyperlink ref="A277" r:id="rId274" display="https://9607261.app.netsuite.com/app/reporting/reportrunner.nl?fromreport=320&amp;regtx,tranline,kacct,x,alltranline5,IN,x,x=950&amp;cr=293" xr:uid="{88230024-39AF-487F-B27B-D658F46B6037}"/>
    <hyperlink ref="A278" r:id="rId275" display="https://9607261.app.netsuite.com/app/reporting/reportrunner.nl?fromreport=320&amp;regtx,tranline,kacct,x,alltranline5,IN,x,x=950&amp;cr=293" xr:uid="{6AC11AF3-ECD4-4313-9698-F72541CE8ADF}"/>
    <hyperlink ref="A279" r:id="rId276" display="https://9607261.app.netsuite.com/app/reporting/reportrunner.nl?fromreport=320&amp;regtx,tranline,kacct,x,alltranline5,IN,x,x=950&amp;cr=293" xr:uid="{53CE8EA5-BC6B-46A4-9CEC-28F024E8D030}"/>
    <hyperlink ref="A280" r:id="rId277" display="https://9607261.app.netsuite.com/app/reporting/reportrunner.nl?fromreport=320&amp;regtx,tranline,kacct,x,alltranline5,IN,x,x=950&amp;cr=293" xr:uid="{BA283C98-A0EF-413E-90BC-47BE9AD5394E}"/>
    <hyperlink ref="A281" r:id="rId278" display="https://9607261.app.netsuite.com/app/reporting/reportrunner.nl?fromreport=320&amp;regtx,tranline,kacct,x,alltranline5,IN,x,x=950&amp;cr=293" xr:uid="{27ECCCFE-D45E-4869-ACA5-E0A8CEC613B3}"/>
    <hyperlink ref="A282" r:id="rId279" display="https://9607261.app.netsuite.com/app/reporting/reportrunner.nl?fromreport=320&amp;regtx,tranline,kacct,x,alltranline5,IN,x,x=950&amp;cr=293" xr:uid="{F6F0660D-C416-4752-BE59-2D430C94ECCC}"/>
    <hyperlink ref="A283" r:id="rId280" display="https://9607261.app.netsuite.com/app/reporting/reportrunner.nl?fromreport=320&amp;regtx,tranline,kacct,x,alltranline5,IN,x,x=950&amp;cr=293" xr:uid="{64D34BA2-E60E-402B-A59B-36D5CD3829B6}"/>
    <hyperlink ref="A284" r:id="rId281" display="https://9607261.app.netsuite.com/app/reporting/reportrunner.nl?fromreport=320&amp;regtx,tranline,kacct,x,alltranline5,IN,x,x=950&amp;cr=293" xr:uid="{6E65F455-F6CC-4D7A-BE80-53EF44C1E7E3}"/>
    <hyperlink ref="A285" r:id="rId282" display="https://9607261.app.netsuite.com/app/reporting/reportrunner.nl?fromreport=320&amp;regtx,tranline,kacct,x,alltranline5,IN,x,x=950&amp;cr=293" xr:uid="{0E0F0DFF-36EF-4695-9F58-EB4D2AC285DA}"/>
    <hyperlink ref="A286" r:id="rId283" display="https://9607261.app.netsuite.com/app/reporting/reportrunner.nl?fromreport=320&amp;regtx,tranline,kacct,x,alltranline5,IN,x,x=950&amp;cr=293" xr:uid="{DD59A7D0-D36A-4EED-9D24-B8903F7EFB65}"/>
    <hyperlink ref="A287" r:id="rId284" display="https://9607261.app.netsuite.com/app/reporting/reportrunner.nl?fromreport=320&amp;regtx,tranline,kacct,x,alltranline5,IN,x,x=950&amp;cr=293" xr:uid="{C1C155AD-58C1-43FF-B0A2-628DEED1DAF9}"/>
    <hyperlink ref="A288" r:id="rId285" display="https://9607261.app.netsuite.com/app/reporting/reportrunner.nl?fromreport=320&amp;regtx,tranline,kacct,x,alltranline5,IN,x,x=950&amp;cr=293" xr:uid="{9C513AA2-3124-441E-A4E4-AD7FCE66D005}"/>
    <hyperlink ref="A289" r:id="rId286" display="https://9607261.app.netsuite.com/app/reporting/reportrunner.nl?fromreport=320&amp;regtx,tranline,kacct,x,alltranline5,IN,x,x=950&amp;cr=293" xr:uid="{6E7AB1FE-2BA9-4127-8662-B833FB631EED}"/>
    <hyperlink ref="A290" r:id="rId287" display="https://9607261.app.netsuite.com/app/reporting/reportrunner.nl?fromreport=320&amp;regtx,tranline,kacct,x,alltranline5,IN,x,x=950&amp;cr=293" xr:uid="{BE40BC2D-B9AC-4760-B123-71608CA86C5A}"/>
    <hyperlink ref="A291" r:id="rId288" display="https://9607261.app.netsuite.com/app/reporting/reportrunner.nl?fromreport=320&amp;regtx,tranline,kacct,x,alltranline5,IN,x,x=950&amp;cr=293" xr:uid="{B7D081ED-188F-402A-BE46-FCB1A5016A5C}"/>
    <hyperlink ref="A292" r:id="rId289" display="https://9607261.app.netsuite.com/app/reporting/reportrunner.nl?fromreport=320&amp;regtx,tranline,kacct,x,alltranline5,IN,x,x=950&amp;cr=293" xr:uid="{DBD6848B-4ED2-430C-8C86-C83355ECDA9E}"/>
    <hyperlink ref="A293" r:id="rId290" display="https://9607261.app.netsuite.com/app/reporting/reportrunner.nl?fromreport=320&amp;regtx,tranline,kacct,x,alltranline5,IN,x,x=950&amp;cr=293" xr:uid="{C10F19FE-0919-4780-98DE-E29CD2D51E41}"/>
    <hyperlink ref="A294" r:id="rId291" display="https://9607261.app.netsuite.com/app/reporting/reportrunner.nl?fromreport=320&amp;regtx,tranline,kacct,x,alltranline5,IN,x,x=950&amp;cr=293" xr:uid="{05A4BBC8-6CEC-4527-94AC-F56F3E8AB330}"/>
    <hyperlink ref="A295" r:id="rId292" display="https://9607261.app.netsuite.com/app/reporting/reportrunner.nl?fromreport=320&amp;regtx,tranline,kacct,x,alltranline5,IN,x,x=950&amp;cr=293" xr:uid="{D35F7160-3B72-47AC-9FA9-03ADA1BBD15C}"/>
    <hyperlink ref="A296" r:id="rId293" display="https://9607261.app.netsuite.com/app/reporting/reportrunner.nl?fromreport=320&amp;regtx,tranline,kacct,x,alltranline5,IN,x,x=950&amp;cr=293" xr:uid="{A606A22A-2D21-4AC2-B75F-70AE3495E0AF}"/>
    <hyperlink ref="A297" r:id="rId294" display="https://9607261.app.netsuite.com/app/reporting/reportrunner.nl?fromreport=320&amp;regtx,tranline,kacct,x,alltranline5,IN,x,x=950&amp;cr=293" xr:uid="{0B656E27-3F61-4F1F-8BCB-F4C60B1B95C7}"/>
    <hyperlink ref="A298" r:id="rId295" display="https://9607261.app.netsuite.com/app/reporting/reportrunner.nl?fromreport=320&amp;regtx,tranline,kacct,x,alltranline5,IN,x,x=950&amp;cr=293" xr:uid="{7994F13A-362C-4D83-8DCC-1663C90F05B1}"/>
    <hyperlink ref="A299" r:id="rId296" display="https://9607261.app.netsuite.com/app/reporting/reportrunner.nl?fromreport=320&amp;regtx,tranline,kacct,x,alltranline5,IN,x,x=950&amp;cr=293" xr:uid="{95A61DBB-F198-4E8D-8B22-1855D62564E8}"/>
    <hyperlink ref="A300" r:id="rId297" display="https://9607261.app.netsuite.com/app/reporting/reportrunner.nl?fromreport=320&amp;regtx,tranline,kacct,x,alltranline5,IN,x,x=950&amp;cr=293" xr:uid="{F4EAA4DD-0B98-4BA7-A4DC-A7EAAAF973AF}"/>
    <hyperlink ref="A301" r:id="rId298" display="https://9607261.app.netsuite.com/app/reporting/reportrunner.nl?fromreport=320&amp;regtx,tranline,kacct,x,alltranline5,IN,x,x=950&amp;cr=293" xr:uid="{EE1BBCFC-A0E8-4350-BC14-26CFD425DFE1}"/>
    <hyperlink ref="A302" r:id="rId299" display="https://9607261.app.netsuite.com/app/reporting/reportrunner.nl?fromreport=320&amp;regtx,tranline,kacct,x,alltranline5,IN,x,x=950&amp;cr=293" xr:uid="{65A0D651-75CD-4D6C-9770-DC062922FA79}"/>
    <hyperlink ref="A303" r:id="rId300" display="https://9607261.app.netsuite.com/app/reporting/reportrunner.nl?fromreport=320&amp;regtx,tranline,kacct,x,alltranline5,IN,x,x=950&amp;cr=293" xr:uid="{72F965C2-6E71-4422-8AC7-114ED90F7D4D}"/>
    <hyperlink ref="A304" r:id="rId301" display="https://9607261.app.netsuite.com/app/reporting/reportrunner.nl?fromreport=320&amp;regtx,tranline,kacct,x,alltranline5,IN,x,x=950&amp;cr=293" xr:uid="{01CC6104-C864-4998-B36E-5B3C444452B6}"/>
    <hyperlink ref="A305" r:id="rId302" display="https://9607261.app.netsuite.com/app/reporting/reportrunner.nl?fromreport=320&amp;regtx,tranline,kacct,x,alltranline5,IN,x,x=950&amp;cr=293" xr:uid="{5824737F-FDB9-4418-B76F-0C4DAB60DEE2}"/>
    <hyperlink ref="A306" r:id="rId303" display="https://9607261.app.netsuite.com/app/reporting/reportrunner.nl?fromreport=320&amp;regtx,tranline,kacct,x,alltranline5,IN,x,x=950&amp;cr=293" xr:uid="{1813907B-EE0F-4AB1-B082-EC63062B12B4}"/>
    <hyperlink ref="A307" r:id="rId304" display="https://9607261.app.netsuite.com/app/reporting/reportrunner.nl?fromreport=320&amp;regtx,tranline,kacct,x,alltranline5,IN,x,x=950&amp;cr=293" xr:uid="{71BA98C1-8B75-44A6-803B-4697F3394243}"/>
    <hyperlink ref="A308" r:id="rId305" display="https://9607261.app.netsuite.com/app/reporting/reportrunner.nl?fromreport=320&amp;regtx,tranline,kacct,x,alltranline5,IN,x,x=950&amp;cr=293" xr:uid="{6C3D75E4-3A73-480A-B26D-8756923FD63D}"/>
    <hyperlink ref="A309" r:id="rId306" display="https://9607261.app.netsuite.com/app/reporting/reportrunner.nl?fromreport=320&amp;regtx,tranline,kacct,x,alltranline5,IN,x,x=950&amp;cr=293" xr:uid="{2F40B57D-57BB-49B4-A7A4-D3379074BC5A}"/>
    <hyperlink ref="A310" r:id="rId307" display="https://9607261.app.netsuite.com/app/reporting/reportrunner.nl?fromreport=320&amp;regtx,tranline,kacct,x,alltranline5,IN,x,x=950&amp;cr=293" xr:uid="{304D3824-4F0A-4D0F-93CA-8D427438AEAC}"/>
    <hyperlink ref="A311" r:id="rId308" display="https://9607261.app.netsuite.com/app/reporting/reportrunner.nl?fromreport=320&amp;regtx,tranline,kacct,x,alltranline5,IN,x,x=950&amp;cr=293" xr:uid="{C0D97AF3-F729-41E8-A8E6-5936D0E32E81}"/>
    <hyperlink ref="A312" r:id="rId309" display="https://9607261.app.netsuite.com/app/reporting/reportrunner.nl?fromreport=320&amp;regtx,tranline,kacct,x,alltranline5,IN,x,x=950&amp;cr=293" xr:uid="{8C7ED060-84D2-4D5F-A13E-E0222DE06353}"/>
    <hyperlink ref="A313" r:id="rId310" display="https://9607261.app.netsuite.com/app/reporting/reportrunner.nl?fromreport=320&amp;regtx,tranline,kacct,x,alltranline5,IN,x,x=950&amp;cr=293" xr:uid="{C97C2B8B-EF4F-4291-839B-A3A9AB03AD3C}"/>
    <hyperlink ref="A314" r:id="rId311" display="https://9607261.app.netsuite.com/app/reporting/reportrunner.nl?fromreport=320&amp;regtx,tranline,kacct,x,alltranline5,IN,x,x=950&amp;cr=293" xr:uid="{C34E48CE-2C22-469D-BF90-0BF0379DB773}"/>
    <hyperlink ref="A315" r:id="rId312" display="https://9607261.app.netsuite.com/app/reporting/reportrunner.nl?fromreport=320&amp;regtx,tranline,kacct,x,alltranline5,IN,x,x=950&amp;cr=293" xr:uid="{CB8F3A50-29FC-4CE8-A784-5BFC618E3F98}"/>
    <hyperlink ref="A316" r:id="rId313" display="https://9607261.app.netsuite.com/app/reporting/reportrunner.nl?fromreport=320&amp;regtx,tranline,kacct,x,alltranline5,IN,x,x=950&amp;cr=293" xr:uid="{22483A0B-8C12-4F8D-B254-1E33E69F1F81}"/>
    <hyperlink ref="A317" r:id="rId314" display="https://9607261.app.netsuite.com/app/reporting/reportrunner.nl?fromreport=320&amp;regtx,tranline,kacct,x,alltranline5,IN,x,x=950&amp;cr=293" xr:uid="{195F8151-DAA3-4014-871C-4613BFE23190}"/>
    <hyperlink ref="A318" r:id="rId315" display="https://9607261.app.netsuite.com/app/reporting/reportrunner.nl?fromreport=320&amp;regtx,tranline,kacct,x,alltranline5,IN,x,x=950&amp;cr=293" xr:uid="{F327AB7C-6C8E-48A6-A452-B260B402AB61}"/>
    <hyperlink ref="A319" r:id="rId316" display="https://9607261.app.netsuite.com/app/reporting/reportrunner.nl?fromreport=320&amp;regtx,tranline,kacct,x,alltranline5,IN,x,x=950&amp;cr=293" xr:uid="{963417AA-97FD-4A27-ACEC-C9430FF1E96D}"/>
    <hyperlink ref="A320" r:id="rId317" display="https://9607261.app.netsuite.com/app/reporting/reportrunner.nl?fromreport=320&amp;regtx,tranline,kacct,x,alltranline5,IN,x,x=950&amp;cr=293" xr:uid="{A17D70BB-34D8-4120-9B9B-879F243017E1}"/>
    <hyperlink ref="A321" r:id="rId318" display="https://9607261.app.netsuite.com/app/reporting/reportrunner.nl?fromreport=320&amp;regtx,tranline,kacct,x,alltranline5,IN,x,x=950&amp;cr=293" xr:uid="{9AAAA4AB-FF4E-46F9-A582-FE8D5B985E8C}"/>
    <hyperlink ref="A322" r:id="rId319" display="https://9607261.app.netsuite.com/app/reporting/reportrunner.nl?fromreport=320&amp;regtx,tranline,kacct,x,alltranline5,IN,x,x=950&amp;cr=293" xr:uid="{0FC9A4EF-CE1A-48DF-97A9-1A45EA74BBF6}"/>
    <hyperlink ref="A323" r:id="rId320" display="https://9607261.app.netsuite.com/app/reporting/reportrunner.nl?fromreport=320&amp;regtx,tranline,kacct,x,alltranline5,IN,x,x=950&amp;cr=293" xr:uid="{468D0A24-E12C-42AB-97CA-7A79829ACD7A}"/>
    <hyperlink ref="A324" r:id="rId321" display="https://9607261.app.netsuite.com/app/reporting/reportrunner.nl?fromreport=320&amp;regtx,tranline,kacct,x,alltranline5,IN,x,x=950&amp;cr=293" xr:uid="{0A10700B-EC76-4FF1-B88D-CD23515EC6D2}"/>
    <hyperlink ref="A325" r:id="rId322" display="https://9607261.app.netsuite.com/app/reporting/reportrunner.nl?fromreport=320&amp;regtx,tranline,kacct,x,alltranline5,IN,x,x=950&amp;cr=293" xr:uid="{B323CE4D-0497-4BE6-9AC9-B063336066DE}"/>
    <hyperlink ref="A326" r:id="rId323" display="https://9607261.app.netsuite.com/app/reporting/reportrunner.nl?fromreport=320&amp;regtx,tranline,kacct,x,alltranline5,IN,x,x=950&amp;cr=293" xr:uid="{C8A3881E-BACC-46AA-BE00-12DAA30B39F7}"/>
    <hyperlink ref="A327" r:id="rId324" display="https://9607261.app.netsuite.com/app/reporting/reportrunner.nl?fromreport=320&amp;regtx,tranline,kacct,x,alltranline5,IN,x,x=950&amp;cr=293" xr:uid="{FE922F9B-F2CB-4E16-883B-A10F19DE8E6E}"/>
    <hyperlink ref="A328" r:id="rId325" display="https://9607261.app.netsuite.com/app/reporting/reportrunner.nl?fromreport=320&amp;regtx,tranline,kacct,x,alltranline5,IN,x,x=950&amp;cr=293" xr:uid="{23FB1ACC-F166-44D7-BD64-17C181FCD479}"/>
    <hyperlink ref="A329" r:id="rId326" display="https://9607261.app.netsuite.com/app/reporting/reportrunner.nl?fromreport=320&amp;regtx,tranline,kacct,x,alltranline5,IN,x,x=950&amp;cr=293" xr:uid="{855F891C-ED80-45AD-B9A5-FE63781A0585}"/>
    <hyperlink ref="A330" r:id="rId327" display="https://9607261.app.netsuite.com/app/reporting/reportrunner.nl?fromreport=320&amp;regtx,tranline,kacct,x,alltranline5,IN,x,x=950&amp;cr=293" xr:uid="{4DE151F8-330A-449E-87B0-77CE80081BFF}"/>
    <hyperlink ref="A331" r:id="rId328" display="https://9607261.app.netsuite.com/app/reporting/reportrunner.nl?fromreport=320&amp;regtx,tranline,kacct,x,alltranline5,IN,x,x=950&amp;cr=293" xr:uid="{3B9E6DEC-8BA1-437A-8D39-71A0CC5DA5D2}"/>
    <hyperlink ref="A332" r:id="rId329" display="https://9607261.app.netsuite.com/app/reporting/reportrunner.nl?fromreport=320&amp;regtx,tranline,kacct,x,alltranline5,IN,x,x=950&amp;cr=293" xr:uid="{495969D0-DA5F-41D2-AC62-1601372DE3BC}"/>
    <hyperlink ref="A333" r:id="rId330" display="https://9607261.app.netsuite.com/app/reporting/reportrunner.nl?fromreport=320&amp;regtx,tranline,kacct,x,alltranline5,IN,x,x=950&amp;cr=293" xr:uid="{CDABD076-C6FB-4DB7-8E43-1DCDDA80B81B}"/>
    <hyperlink ref="A334" r:id="rId331" display="https://9607261.app.netsuite.com/app/reporting/reportrunner.nl?fromreport=320&amp;regtx,tranline,kacct,x,alltranline5,IN,x,x=950&amp;cr=293" xr:uid="{F1526AAE-E06B-4A2F-94A3-3AC269431EF5}"/>
    <hyperlink ref="A335" r:id="rId332" display="https://9607261.app.netsuite.com/app/reporting/reportrunner.nl?fromreport=320&amp;regtx,tranline,kacct,x,alltranline5,IN,x,x=950&amp;cr=293" xr:uid="{8935FE6C-0EF8-42D0-A334-959CF632ADCC}"/>
    <hyperlink ref="A336" r:id="rId333" display="https://9607261.app.netsuite.com/app/reporting/reportrunner.nl?fromreport=320&amp;regtx,tranline,kacct,x,alltranline5,IN,x,x=950&amp;cr=293" xr:uid="{D5E94AB8-F523-45EE-B49E-EC8D619C19E3}"/>
    <hyperlink ref="A337" r:id="rId334" display="https://9607261.app.netsuite.com/app/reporting/reportrunner.nl?fromreport=320&amp;regtx,tranline,kacct,x,alltranline5,IN,x,x=950&amp;cr=293" xr:uid="{93CC71BE-FB5E-42E7-9636-EB7C547B4FE7}"/>
    <hyperlink ref="A338" r:id="rId335" display="https://9607261.app.netsuite.com/app/reporting/reportrunner.nl?fromreport=320&amp;regtx,tranline,kacct,x,alltranline5,IN,x,x=950&amp;cr=293" xr:uid="{FA8FD13B-5721-4410-8B63-E1C802117896}"/>
    <hyperlink ref="A339" r:id="rId336" display="https://9607261.app.netsuite.com/app/reporting/reportrunner.nl?fromreport=320&amp;regtx,tranline,kacct,x,alltranline5,IN,x,x=950&amp;cr=293" xr:uid="{B8479C3D-9381-49C0-B988-2853D520E9AE}"/>
    <hyperlink ref="A340" r:id="rId337" display="https://9607261.app.netsuite.com/app/reporting/reportrunner.nl?fromreport=320&amp;regtx,tranline,kacct,x,alltranline5,IN,x,x=950&amp;cr=293" xr:uid="{85A6D779-EDCC-4A4C-8D28-2D8206193B4A}"/>
    <hyperlink ref="A341" r:id="rId338" display="https://9607261.app.netsuite.com/app/reporting/reportrunner.nl?fromreport=320&amp;regtx,tranline,kacct,x,alltranline5,IN,x,x=950&amp;cr=293" xr:uid="{983520DE-B0A6-4239-9D72-446BC4A8676E}"/>
    <hyperlink ref="A342" r:id="rId339" display="https://9607261.app.netsuite.com/app/reporting/reportrunner.nl?fromreport=320&amp;regtx,tranline,kacct,x,alltranline5,IN,x,x=950&amp;cr=293" xr:uid="{82E841DF-5691-44A7-A106-B723584F8152}"/>
    <hyperlink ref="A343" r:id="rId340" display="https://9607261.app.netsuite.com/app/reporting/reportrunner.nl?fromreport=320&amp;regtx,tranline,kacct,x,alltranline5,IN,x,x=950&amp;cr=293" xr:uid="{64402F01-F4FB-40DF-BC0D-4ABA4C2147B4}"/>
    <hyperlink ref="A344" r:id="rId341" display="https://9607261.app.netsuite.com/app/reporting/reportrunner.nl?fromreport=320&amp;regtx,tranline,kacct,x,alltranline5,IN,x,x=950&amp;cr=293" xr:uid="{D987DE98-3FBE-47D6-BAE5-1D548A4DEEF7}"/>
    <hyperlink ref="A345" r:id="rId342" display="https://9607261.app.netsuite.com/app/reporting/reportrunner.nl?fromreport=320&amp;regtx,tranline,kacct,x,alltranline5,IN,x,x=950&amp;cr=293" xr:uid="{802ADF4C-029F-4597-A6EF-B861E76F864B}"/>
    <hyperlink ref="A346" r:id="rId343" display="https://9607261.app.netsuite.com/app/reporting/reportrunner.nl?fromreport=320&amp;regtx,tranline,kacct,x,alltranline5,IN,x,x=950&amp;cr=293" xr:uid="{90ADE5D6-A049-48DD-8E5A-BD69A1173D1A}"/>
    <hyperlink ref="A347" r:id="rId344" display="https://9607261.app.netsuite.com/app/reporting/reportrunner.nl?fromreport=320&amp;regtx,tranline,kacct,x,alltranline5,IN,x,x=950&amp;cr=293" xr:uid="{91F4F9B8-C662-430C-A3B6-27E7051F4CF2}"/>
    <hyperlink ref="A348" r:id="rId345" display="https://9607261.app.netsuite.com/app/reporting/reportrunner.nl?fromreport=320&amp;regtx,tranline,kacct,x,alltranline5,IN,x,x=950&amp;cr=293" xr:uid="{44EA370C-7257-4C26-8706-4AB96311CE81}"/>
    <hyperlink ref="A349" r:id="rId346" display="https://9607261.app.netsuite.com/app/reporting/reportrunner.nl?fromreport=320&amp;regtx,tranline,kacct,x,alltranline5,IN,x,x=950&amp;cr=293" xr:uid="{1F51B403-7112-4669-88BA-817CB323F663}"/>
    <hyperlink ref="A350" r:id="rId347" display="https://9607261.app.netsuite.com/app/reporting/reportrunner.nl?fromreport=320&amp;regtx,tranline,kacct,x,alltranline5,IN,x,x=950&amp;cr=293" xr:uid="{B10DBD35-80C3-4B35-8F9D-DA4F44F9869B}"/>
    <hyperlink ref="A351" r:id="rId348" display="https://9607261.app.netsuite.com/app/reporting/reportrunner.nl?fromreport=320&amp;regtx,tranline,kacct,x,alltranline5,IN,x,x=950&amp;cr=293" xr:uid="{26676C30-2EEE-4F12-B64B-678C9568408E}"/>
    <hyperlink ref="A352" r:id="rId349" display="https://9607261.app.netsuite.com/app/reporting/reportrunner.nl?fromreport=320&amp;regtx,tranline,kacct,x,alltranline5,IN,x,x=950&amp;cr=293" xr:uid="{E1642304-AE13-490B-B4BD-CF3B8A60CCBA}"/>
    <hyperlink ref="A353" r:id="rId350" display="https://9607261.app.netsuite.com/app/reporting/reportrunner.nl?fromreport=320&amp;regtx,tranline,kacct,x,alltranline5,IN,x,x=950&amp;cr=293" xr:uid="{A00CDF9A-9E2B-434B-AE53-591918767CD4}"/>
    <hyperlink ref="A354" r:id="rId351" display="https://9607261.app.netsuite.com/app/reporting/reportrunner.nl?fromreport=320&amp;regtx,tranline,kacct,x,alltranline5,IN,x,x=950&amp;cr=293" xr:uid="{552030B4-BCD5-4FB0-9753-3CFC17D07040}"/>
    <hyperlink ref="A355" r:id="rId352" display="https://9607261.app.netsuite.com/app/reporting/reportrunner.nl?fromreport=320&amp;regtx,tranline,kacct,x,alltranline5,IN,x,x=950&amp;cr=293" xr:uid="{51588DF6-A603-47A7-9325-BF549B4CC122}"/>
    <hyperlink ref="A356" r:id="rId353" display="https://9607261.app.netsuite.com/app/reporting/reportrunner.nl?fromreport=320&amp;regtx,tranline,kacct,x,alltranline5,IN,x,x=950&amp;cr=293" xr:uid="{BC971B4E-C452-47E6-919D-C578E9FA1155}"/>
    <hyperlink ref="A357" r:id="rId354" display="https://9607261.app.netsuite.com/app/reporting/reportrunner.nl?fromreport=320&amp;regtx,tranline,kacct,x,alltranline5,IN,x,x=950&amp;cr=293" xr:uid="{61976CF9-A65F-443A-960F-49805904BD25}"/>
    <hyperlink ref="A358" r:id="rId355" display="https://9607261.app.netsuite.com/app/reporting/reportrunner.nl?fromreport=320&amp;regtx,tranline,kacct,x,alltranline5,IN,x,x=950&amp;cr=293" xr:uid="{6E516322-3205-4488-BB07-2BAB84BCF28E}"/>
    <hyperlink ref="A359" r:id="rId356" display="https://9607261.app.netsuite.com/app/reporting/reportrunner.nl?fromreport=320&amp;regtx,tranline,kacct,x,alltranline5,IN,x,x=950&amp;cr=293" xr:uid="{B7D2AC94-581D-4BE0-9B5C-1C9C834F1F92}"/>
    <hyperlink ref="A360" r:id="rId357" display="https://9607261.app.netsuite.com/app/reporting/reportrunner.nl?fromreport=320&amp;regtx,tranline,kacct,x,alltranline5,IN,x,x=950&amp;cr=293" xr:uid="{F54518A5-2DA8-4E39-9265-40A6B7DD2E76}"/>
    <hyperlink ref="A361" r:id="rId358" display="https://9607261.app.netsuite.com/app/reporting/reportrunner.nl?fromreport=320&amp;regtx,tranline,kacct,x,alltranline5,IN,x,x=950&amp;cr=293" xr:uid="{614DC06D-8360-4734-9209-095F8E19DEF1}"/>
    <hyperlink ref="A362" r:id="rId359" display="https://9607261.app.netsuite.com/app/reporting/reportrunner.nl?fromreport=320&amp;regtx,tranline,kacct,x,alltranline5,IN,x,x=950&amp;cr=293" xr:uid="{4177C0B6-DFD5-49BA-898F-BDD397ADE426}"/>
    <hyperlink ref="A363" r:id="rId360" display="https://9607261.app.netsuite.com/app/reporting/reportrunner.nl?fromreport=320&amp;regtx,tranline,kacct,x,alltranline5,IN,x,x=950&amp;cr=293" xr:uid="{1F8F7025-1472-4F16-9FBA-1E0044CA32A4}"/>
    <hyperlink ref="A364" r:id="rId361" display="https://9607261.app.netsuite.com/app/reporting/reportrunner.nl?fromreport=320&amp;regtx,tranline,kacct,x,alltranline5,IN,x,x=950&amp;cr=293" xr:uid="{CF9CAB72-F132-492D-9750-E4B5CA9B9130}"/>
    <hyperlink ref="A365" r:id="rId362" display="https://9607261.app.netsuite.com/app/reporting/reportrunner.nl?fromreport=320&amp;regtx,tranline,kacct,x,alltranline5,IN,x,x=950&amp;cr=293" xr:uid="{8E27B658-2A66-4E0D-B07B-056E52E58807}"/>
    <hyperlink ref="A366" r:id="rId363" display="https://9607261.app.netsuite.com/app/reporting/reportrunner.nl?fromreport=320&amp;regtx,tranline,kacct,x,alltranline5,IN,x,x=950&amp;cr=293" xr:uid="{33D556F4-A66A-4B45-9115-A027713243EA}"/>
    <hyperlink ref="A367" r:id="rId364" display="https://9607261.app.netsuite.com/app/reporting/reportrunner.nl?fromreport=320&amp;regtx,tranline,kacct,x,alltranline5,IN,x,x=950&amp;cr=293" xr:uid="{EC4E37DE-D678-47A5-99BF-60DEBC1484F8}"/>
    <hyperlink ref="A368" r:id="rId365" display="https://9607261.app.netsuite.com/app/reporting/reportrunner.nl?fromreport=320&amp;regtx,tranline,kacct,x,alltranline5,IN,x,x=950&amp;cr=293" xr:uid="{B81DF3E4-8D82-4BD9-81BE-2049B22225D6}"/>
    <hyperlink ref="A369" r:id="rId366" display="https://9607261.app.netsuite.com/app/reporting/reportrunner.nl?fromreport=320&amp;regtx,tranline,kacct,x,alltranline5,IN,x,x=950&amp;cr=293" xr:uid="{5879F2B1-9E44-40FA-AA54-49A3DED5B338}"/>
    <hyperlink ref="A370" r:id="rId367" display="https://9607261.app.netsuite.com/app/reporting/reportrunner.nl?fromreport=320&amp;regtx,tranline,kacct,x,alltranline5,IN,x,x=950&amp;cr=293" xr:uid="{568D55DD-BCE4-4F40-B448-CBBB024CE189}"/>
    <hyperlink ref="A371" r:id="rId368" display="https://9607261.app.netsuite.com/app/reporting/reportrunner.nl?fromreport=320&amp;regtx,tranline,kacct,x,alltranline5,IN,x,x=950&amp;cr=293" xr:uid="{B3B39188-90C9-4294-9E9F-04C09EE2BA99}"/>
    <hyperlink ref="A372" r:id="rId369" display="https://9607261.app.netsuite.com/app/reporting/reportrunner.nl?fromreport=320&amp;regtx,tranline,kacct,x,alltranline5,IN,x,x=950&amp;cr=293" xr:uid="{C17E2978-F67C-42CD-8C02-689F43C4D420}"/>
    <hyperlink ref="A373" r:id="rId370" display="https://9607261.app.netsuite.com/app/reporting/reportrunner.nl?fromreport=320&amp;regtx,tranline,kacct,x,alltranline5,IN,x,x=950&amp;cr=293" xr:uid="{1DA078D3-218A-4750-80B9-E5C8D5A72E92}"/>
    <hyperlink ref="A374" r:id="rId371" display="https://9607261.app.netsuite.com/app/reporting/reportrunner.nl?fromreport=320&amp;regtx,tranline,kacct,x,alltranline5,IN,x,x=950&amp;cr=293" xr:uid="{20C56C73-A467-4EF6-B5C2-9EC33EAA153A}"/>
    <hyperlink ref="A375" r:id="rId372" display="https://9607261.app.netsuite.com/app/reporting/reportrunner.nl?fromreport=320&amp;regtx,tranline,kacct,x,alltranline5,IN,x,x=950&amp;cr=293" xr:uid="{B4940FF0-6B29-40B4-AEE9-01D934F8145E}"/>
    <hyperlink ref="A376" r:id="rId373" display="https://9607261.app.netsuite.com/app/reporting/reportrunner.nl?fromreport=320&amp;regtx,tranline,kacct,x,alltranline5,IN,x,x=950&amp;cr=293" xr:uid="{7A4579EB-C0B4-4CDF-84B7-8A2240FD7A21}"/>
    <hyperlink ref="A377" r:id="rId374" display="https://9607261.app.netsuite.com/app/reporting/reportrunner.nl?fromreport=320&amp;regtx,tranline,kacct,x,alltranline5,IN,x,x=950&amp;cr=293" xr:uid="{0FEC3FB0-0F02-4334-A54D-401959716933}"/>
    <hyperlink ref="A378" r:id="rId375" display="https://9607261.app.netsuite.com/app/reporting/reportrunner.nl?fromreport=320&amp;regtx,tranline,kacct,x,alltranline5,IN,x,x=950&amp;cr=293" xr:uid="{0CD8035F-24FA-4E90-92DB-FD0108DBE785}"/>
    <hyperlink ref="A379" r:id="rId376" display="https://9607261.app.netsuite.com/app/reporting/reportrunner.nl?fromreport=320&amp;regtx,tranline,kacct,x,alltranline5,IN,x,x=950&amp;cr=293" xr:uid="{25394B8C-4683-4E06-A08B-8D13C89E02DA}"/>
    <hyperlink ref="A380" r:id="rId377" display="https://9607261.app.netsuite.com/app/reporting/reportrunner.nl?fromreport=320&amp;regtx,tranline,kacct,x,alltranline5,IN,x,x=950&amp;cr=293" xr:uid="{3B20DB1C-F2C3-461E-9912-0A6FE83559F3}"/>
    <hyperlink ref="A381" r:id="rId378" display="https://9607261.app.netsuite.com/app/reporting/reportrunner.nl?fromreport=320&amp;regtx,tranline,kacct,x,alltranline5,IN,x,x=950&amp;cr=293" xr:uid="{FAC36F88-C4FB-4CFD-986F-156CD72DE652}"/>
    <hyperlink ref="A382" r:id="rId379" display="https://9607261.app.netsuite.com/app/reporting/reportrunner.nl?fromreport=320&amp;regtx,tranline,kacct,x,alltranline5,IN,x,x=950&amp;cr=293" xr:uid="{355DF314-CE67-4A18-B0EA-0C2AA472F209}"/>
    <hyperlink ref="A383" r:id="rId380" display="https://9607261.app.netsuite.com/app/reporting/reportrunner.nl?fromreport=320&amp;regtx,tranline,kacct,x,alltranline5,IN,x,x=950&amp;cr=293" xr:uid="{631B5425-AD23-43A3-A826-D80C96E453FE}"/>
    <hyperlink ref="A384" r:id="rId381" display="https://9607261.app.netsuite.com/app/reporting/reportrunner.nl?fromreport=320&amp;regtx,tranline,kacct,x,alltranline5,IN,x,x=950&amp;cr=293" xr:uid="{28D83676-143C-4DBA-A747-22758917AF21}"/>
    <hyperlink ref="A385" r:id="rId382" display="https://9607261.app.netsuite.com/app/reporting/reportrunner.nl?fromreport=320&amp;regtx,tranline,kacct,x,alltranline5,IN,x,x=950&amp;cr=293" xr:uid="{3E3A3CDC-7944-4381-B01E-1E29268868CA}"/>
    <hyperlink ref="A386" r:id="rId383" display="https://9607261.app.netsuite.com/app/reporting/reportrunner.nl?fromreport=320&amp;regtx,tranline,kacct,x,alltranline5,IN,x,x=950&amp;cr=293" xr:uid="{64C583AB-2378-45E1-8DDB-ABE32A6BB3FD}"/>
    <hyperlink ref="A387" r:id="rId384" display="https://9607261.app.netsuite.com/app/reporting/reportrunner.nl?fromreport=320&amp;regtx,tranline,kacct,x,alltranline5,IN,x,x=950&amp;cr=293" xr:uid="{28856A8E-CE3F-4485-9603-4A51FDED6A0B}"/>
    <hyperlink ref="A388" r:id="rId385" display="https://9607261.app.netsuite.com/app/reporting/reportrunner.nl?fromreport=320&amp;regtx,tranline,kacct,x,alltranline5,IN,x,x=950&amp;cr=293" xr:uid="{893721DB-3BA3-4E9F-A33E-0E9A8C0553B0}"/>
    <hyperlink ref="A389" r:id="rId386" display="https://9607261.app.netsuite.com/app/reporting/reportrunner.nl?fromreport=320&amp;regtx,tranline,kacct,x,alltranline5,IN,x,x=950&amp;cr=293" xr:uid="{B0D27E79-C023-43B5-86D4-86E1B1C75527}"/>
    <hyperlink ref="A390" r:id="rId387" display="https://9607261.app.netsuite.com/app/reporting/reportrunner.nl?fromreport=320&amp;regtx,tranline,kacct,x,alltranline5,IN,x,x=950&amp;cr=293" xr:uid="{33BB25A6-0921-4325-89B5-B33164318BE9}"/>
    <hyperlink ref="A391" r:id="rId388" display="https://9607261.app.netsuite.com/app/reporting/reportrunner.nl?fromreport=320&amp;regtx,tranline,kacct,x,alltranline5,IN,x,x=950&amp;cr=293" xr:uid="{210771D4-FE29-477A-9CBF-4EE5A6F9B1E1}"/>
    <hyperlink ref="A392" r:id="rId389" display="https://9607261.app.netsuite.com/app/reporting/reportrunner.nl?fromreport=320&amp;regtx,tranline,kacct,x,alltranline5,IN,x,x=950&amp;cr=293" xr:uid="{E9FBF13E-7107-4E04-825F-E9B8DC0C7F6D}"/>
    <hyperlink ref="A393" r:id="rId390" display="https://9607261.app.netsuite.com/app/reporting/reportrunner.nl?fromreport=320&amp;regtx,tranline,kacct,x,alltranline5,IN,x,x=950&amp;cr=293" xr:uid="{0FEFC36F-C0F3-4423-850E-09CB9C58AAFA}"/>
    <hyperlink ref="A394" r:id="rId391" display="https://9607261.app.netsuite.com/app/reporting/reportrunner.nl?fromreport=320&amp;regtx,tranline,kacct,x,alltranline5,IN,x,x=950&amp;cr=293" xr:uid="{F0D2A9BD-BF7D-424A-AE9C-0852E3793944}"/>
    <hyperlink ref="A395" r:id="rId392" display="https://9607261.app.netsuite.com/app/reporting/reportrunner.nl?fromreport=320&amp;regtx,tranline,kacct,x,alltranline5,IN,x,x=950&amp;cr=293" xr:uid="{CF0B6F5F-0E1B-415B-AB5E-A8355A8D401C}"/>
    <hyperlink ref="A396" r:id="rId393" display="https://9607261.app.netsuite.com/app/reporting/reportrunner.nl?fromreport=320&amp;regtx,tranline,kacct,x,alltranline5,IN,x,x=950&amp;cr=293" xr:uid="{47DBE190-C8EA-4FD3-B0D8-C2DE0C258C1E}"/>
    <hyperlink ref="A397" r:id="rId394" display="https://9607261.app.netsuite.com/app/reporting/reportrunner.nl?fromreport=320&amp;regtx,tranline,kacct,x,alltranline5,IN,x,x=950&amp;cr=293" xr:uid="{F52CB4F0-AB88-4CB8-AAB1-64255670FA20}"/>
    <hyperlink ref="A398" r:id="rId395" display="https://9607261.app.netsuite.com/app/reporting/reportrunner.nl?fromreport=320&amp;regtx,tranline,kacct,x,alltranline5,IN,x,x=950&amp;cr=293" xr:uid="{0E5D77F5-2B6D-4830-9791-BE48886EAC38}"/>
    <hyperlink ref="A399" r:id="rId396" display="https://9607261.app.netsuite.com/app/reporting/reportrunner.nl?fromreport=320&amp;regtx,tranline,kacct,x,alltranline5,IN,x,x=950&amp;cr=293" xr:uid="{EE6CF477-522A-44B5-92FE-7383D18BCE07}"/>
    <hyperlink ref="A400" r:id="rId397" display="https://9607261.app.netsuite.com/app/reporting/reportrunner.nl?fromreport=320&amp;regtx,tranline,kacct,x,alltranline5,IN,x,x=950&amp;cr=293" xr:uid="{204535C1-2649-440A-A113-90B5D9275729}"/>
    <hyperlink ref="A401" r:id="rId398" display="https://9607261.app.netsuite.com/app/reporting/reportrunner.nl?fromreport=320&amp;regtx,tranline,kacct,x,alltranline5,IN,x,x=950&amp;cr=293" xr:uid="{55D2B337-87F2-4227-B507-CE8363634661}"/>
    <hyperlink ref="A402" r:id="rId399" display="https://9607261.app.netsuite.com/app/reporting/reportrunner.nl?fromreport=320&amp;regtx,tranline,kacct,x,alltranline5,IN,x,x=950&amp;cr=293" xr:uid="{BBC7DA03-E53E-44B1-8CEA-C2E6F6080716}"/>
    <hyperlink ref="A403" r:id="rId400" display="https://9607261.app.netsuite.com/app/reporting/reportrunner.nl?fromreport=320&amp;regtx,tranline,kacct,x,alltranline5,IN,x,x=950&amp;cr=293" xr:uid="{73B876E2-A927-4ED4-B7A7-64D9A75A4F5A}"/>
    <hyperlink ref="A404" r:id="rId401" display="https://9607261.app.netsuite.com/app/reporting/reportrunner.nl?fromreport=320&amp;regtx,tranline,kacct,x,alltranline5,IN,x,x=950&amp;cr=293" xr:uid="{669FD4BD-492E-44F6-A24B-0382AA323FE4}"/>
    <hyperlink ref="A405" r:id="rId402" display="https://9607261.app.netsuite.com/app/reporting/reportrunner.nl?fromreport=320&amp;regtx,tranline,kacct,x,alltranline5,IN,x,x=950&amp;cr=293" xr:uid="{5FAA9FEC-4EBF-43C3-ADF6-D76DBB1E25B2}"/>
    <hyperlink ref="A406" r:id="rId403" display="https://9607261.app.netsuite.com/app/reporting/reportrunner.nl?fromreport=320&amp;regtx,tranline,kacct,x,alltranline5,IN,x,x=950&amp;cr=293" xr:uid="{02CC962E-CA1B-4EFD-87B5-257DB3BC5046}"/>
    <hyperlink ref="A407" r:id="rId404" display="https://9607261.app.netsuite.com/app/reporting/reportrunner.nl?fromreport=320&amp;regtx,tranline,kacct,x,alltranline5,IN,x,x=950&amp;cr=293" xr:uid="{2362D6B9-120F-48F2-A4D1-3F44F2A222A0}"/>
    <hyperlink ref="A408" r:id="rId405" display="https://9607261.app.netsuite.com/app/reporting/reportrunner.nl?fromreport=320&amp;regtx,tranline,kacct,x,alltranline5,IN,x,x=950&amp;cr=293" xr:uid="{DF574911-3595-493B-8ED1-0D916EE9D8FA}"/>
    <hyperlink ref="A409" r:id="rId406" display="https://9607261.app.netsuite.com/app/reporting/reportrunner.nl?fromreport=320&amp;regtx,tranline,kacct,x,alltranline5,IN,x,x=950&amp;cr=293" xr:uid="{E6A0ECF0-82BC-417D-8BDD-66483FE7D837}"/>
    <hyperlink ref="A410" r:id="rId407" display="https://9607261.app.netsuite.com/app/reporting/reportrunner.nl?fromreport=320&amp;regtx,tranline,kacct,x,alltranline5,IN,x,x=950&amp;cr=293" xr:uid="{7FD04319-2912-4242-942D-30512F73A519}"/>
    <hyperlink ref="A411" r:id="rId408" display="https://9607261.app.netsuite.com/app/reporting/reportrunner.nl?fromreport=320&amp;regtx,tranline,kacct,x,alltranline5,IN,x,x=950&amp;cr=293" xr:uid="{800A8203-CF28-4584-A1F2-B2C5E2018D6F}"/>
    <hyperlink ref="A412" r:id="rId409" display="https://9607261.app.netsuite.com/app/reporting/reportrunner.nl?fromreport=320&amp;regtx,tranline,kacct,x,alltranline5,IN,x,x=950&amp;cr=293" xr:uid="{EF53D723-F29D-4055-AF74-A4245770354A}"/>
    <hyperlink ref="A413" r:id="rId410" display="https://9607261.app.netsuite.com/app/reporting/reportrunner.nl?fromreport=320&amp;regtx,tranline,kacct,x,alltranline5,IN,x,x=950&amp;cr=293" xr:uid="{84564EA3-ED33-4A37-9C5F-184EA3A445EA}"/>
    <hyperlink ref="A414" r:id="rId411" display="https://9607261.app.netsuite.com/app/reporting/reportrunner.nl?fromreport=320&amp;regtx,tranline,kacct,x,alltranline5,IN,x,x=950&amp;cr=293" xr:uid="{DE0D3D3A-68A8-47C2-87C1-A9B8F62B6357}"/>
    <hyperlink ref="A415" r:id="rId412" display="https://9607261.app.netsuite.com/app/reporting/reportrunner.nl?fromreport=320&amp;regtx,tranline,kacct,x,alltranline5,IN,x,x=950&amp;cr=293" xr:uid="{E11DBBF6-CA75-44CA-ABB1-10F9170CC530}"/>
    <hyperlink ref="A416" r:id="rId413" display="https://9607261.app.netsuite.com/app/reporting/reportrunner.nl?fromreport=320&amp;regtx,tranline,kacct,x,alltranline5,IN,x,x=950&amp;cr=293" xr:uid="{D1E180C7-550B-4AAF-9C13-6B3021A055B6}"/>
    <hyperlink ref="A417" r:id="rId414" display="https://9607261.app.netsuite.com/app/reporting/reportrunner.nl?fromreport=320&amp;regtx,tranline,kacct,x,alltranline5,IN,x,x=950&amp;cr=293" xr:uid="{C431C837-FAC3-481C-8BF9-1F06C9A0F3F1}"/>
    <hyperlink ref="A418" r:id="rId415" display="https://9607261.app.netsuite.com/app/reporting/reportrunner.nl?fromreport=320&amp;regtx,tranline,kacct,x,alltranline5,IN,x,x=950&amp;cr=293" xr:uid="{12427F87-69EA-47B2-9E90-A06E72D9424F}"/>
    <hyperlink ref="A419" r:id="rId416" display="https://9607261.app.netsuite.com/app/reporting/reportrunner.nl?fromreport=320&amp;regtx,tranline,kacct,x,alltranline5,IN,x,x=950&amp;cr=293" xr:uid="{41117A0C-B7C7-410B-A739-EB0685E201EE}"/>
    <hyperlink ref="A420" r:id="rId417" display="https://9607261.app.netsuite.com/app/reporting/reportrunner.nl?fromreport=320&amp;regtx,tranline,kacct,x,alltranline5,IN,x,x=950&amp;cr=293" xr:uid="{8C9FEDF8-D069-4127-8B01-8E865B6FB8D9}"/>
    <hyperlink ref="A421" r:id="rId418" display="https://9607261.app.netsuite.com/app/reporting/reportrunner.nl?fromreport=320&amp;regtx,tranline,kacct,x,alltranline5,IN,x,x=950&amp;cr=293" xr:uid="{4BB608DF-EFC7-4B28-BC8F-95A2B08FFC83}"/>
    <hyperlink ref="A422" r:id="rId419" display="https://9607261.app.netsuite.com/app/reporting/reportrunner.nl?fromreport=320&amp;regtx,tranline,kacct,x,alltranline5,IN,x,x=950&amp;cr=293" xr:uid="{0AA3DCFF-8FB7-41D2-A81E-4D2A36B90C94}"/>
    <hyperlink ref="A423" r:id="rId420" display="https://9607261.app.netsuite.com/app/reporting/reportrunner.nl?fromreport=320&amp;regtx,tranline,kacct,x,alltranline5,IN,x,x=950&amp;cr=293" xr:uid="{84B3BFF0-75B9-4F5F-8185-26243BDAA2D1}"/>
    <hyperlink ref="A424" r:id="rId421" display="https://9607261.app.netsuite.com/app/reporting/reportrunner.nl?fromreport=320&amp;regtx,tranline,kacct,x,alltranline5,IN,x,x=950&amp;cr=293" xr:uid="{28B92918-011A-4773-9E0D-BFBC704E9F5C}"/>
    <hyperlink ref="A425" r:id="rId422" display="https://9607261.app.netsuite.com/app/reporting/reportrunner.nl?fromreport=320&amp;regtx,tranline,kacct,x,alltranline5,IN,x,x=950&amp;cr=293" xr:uid="{B6487C72-F1C0-4361-BF35-9195B8559CD4}"/>
    <hyperlink ref="A426" r:id="rId423" display="https://9607261.app.netsuite.com/app/reporting/reportrunner.nl?fromreport=320&amp;regtx,tranline,kacct,x,alltranline5,IN,x,x=950&amp;cr=293" xr:uid="{F9EA1D53-653A-4FFD-B86B-70ABDFC00871}"/>
    <hyperlink ref="A427" r:id="rId424" display="https://9607261.app.netsuite.com/app/reporting/reportrunner.nl?fromreport=320&amp;regtx,tranline,kacct,x,alltranline5,IN,x,x=950&amp;cr=293" xr:uid="{7600E947-364B-46D0-AD4C-8313A3327973}"/>
    <hyperlink ref="A428" r:id="rId425" display="https://9607261.app.netsuite.com/app/reporting/reportrunner.nl?fromreport=320&amp;regtx,tranline,kacct,x,alltranline5,IN,x,x=950&amp;cr=293" xr:uid="{5DC6151C-1E08-414D-BCD0-3677EB090776}"/>
    <hyperlink ref="A429" r:id="rId426" display="https://9607261.app.netsuite.com/app/reporting/reportrunner.nl?fromreport=320&amp;regtx,tranline,kacct,x,alltranline5,IN,x,x=950&amp;cr=293" xr:uid="{4BF5ACE3-AB9B-4AA2-8ED8-B85A0F2553A9}"/>
    <hyperlink ref="A430" r:id="rId427" display="https://9607261.app.netsuite.com/app/reporting/reportrunner.nl?fromreport=320&amp;regtx,tranline,kacct,x,alltranline5,IN,x,x=950&amp;cr=293" xr:uid="{519BD7C5-B264-4EBB-A548-844339631F58}"/>
    <hyperlink ref="A431" r:id="rId428" display="https://9607261.app.netsuite.com/app/reporting/reportrunner.nl?fromreport=320&amp;regtx,tranline,kacct,x,alltranline5,IN,x,x=950&amp;cr=293" xr:uid="{4E81BFE8-D10B-45F4-AE72-70B688B05AF8}"/>
    <hyperlink ref="A432" r:id="rId429" display="https://9607261.app.netsuite.com/app/reporting/reportrunner.nl?fromreport=320&amp;regtx,tranline,kacct,x,alltranline5,IN,x,x=950&amp;cr=293" xr:uid="{BBB3A808-6D9E-409D-BB51-23AC80077A45}"/>
    <hyperlink ref="A433" r:id="rId430" display="https://9607261.app.netsuite.com/app/reporting/reportrunner.nl?fromreport=320&amp;regtx,tranline,kacct,x,alltranline5,IN,x,x=950&amp;cr=293" xr:uid="{5203ECC8-A10C-43E2-A383-33CADA8D75F9}"/>
    <hyperlink ref="A434" r:id="rId431" display="https://9607261.app.netsuite.com/app/reporting/reportrunner.nl?fromreport=320&amp;regtx,tranline,kacct,x,alltranline5,IN,x,x=950&amp;cr=293" xr:uid="{DD2E558E-F819-4CAF-9F07-A362A792FDA8}"/>
    <hyperlink ref="A435" r:id="rId432" display="https://9607261.app.netsuite.com/app/reporting/reportrunner.nl?fromreport=320&amp;regtx,tranline,kacct,x,alltranline5,IN,x,x=950&amp;cr=293" xr:uid="{6F748420-464F-4B46-9F40-490326AC3DAA}"/>
    <hyperlink ref="A436" r:id="rId433" display="https://9607261.app.netsuite.com/app/reporting/reportrunner.nl?fromreport=320&amp;regtx,tranline,kacct,x,alltranline5,IN,x,x=950&amp;cr=293" xr:uid="{F266781D-3A3C-416A-9F7A-826455F9AD42}"/>
    <hyperlink ref="A437" r:id="rId434" display="https://9607261.app.netsuite.com/app/reporting/reportrunner.nl?fromreport=320&amp;regtx,tranline,kacct,x,alltranline5,IN,x,x=950&amp;cr=293" xr:uid="{A19CC8B2-9647-4C62-AB17-BE6610A1DE54}"/>
    <hyperlink ref="A438" r:id="rId435" display="https://9607261.app.netsuite.com/app/reporting/reportrunner.nl?fromreport=320&amp;regtx,tranline,kacct,x,alltranline5,IN,x,x=950&amp;cr=293" xr:uid="{C09F5E9A-4D20-40E2-8142-2DABDF012269}"/>
    <hyperlink ref="A439" r:id="rId436" display="https://9607261.app.netsuite.com/app/reporting/reportrunner.nl?fromreport=320&amp;regtx,tranline,kacct,x,alltranline5,IN,x,x=950&amp;cr=293" xr:uid="{B04230D9-5D81-48C3-87F3-401E6FA0CE58}"/>
    <hyperlink ref="A440" r:id="rId437" display="https://9607261.app.netsuite.com/app/reporting/reportrunner.nl?fromreport=320&amp;regtx,tranline,kacct,x,alltranline5,IN,x,x=950&amp;cr=293" xr:uid="{60AF3159-669B-4EF2-AC57-05FF1BF8C93C}"/>
    <hyperlink ref="A441" r:id="rId438" display="https://9607261.app.netsuite.com/app/reporting/reportrunner.nl?fromreport=320&amp;regtx,tranline,kacct,x,alltranline5,IN,x,x=950&amp;cr=293" xr:uid="{784FF182-9E57-4739-8E26-5E298396F653}"/>
    <hyperlink ref="A442" r:id="rId439" display="https://9607261.app.netsuite.com/app/reporting/reportrunner.nl?fromreport=320&amp;regtx,tranline,kacct,x,alltranline5,IN,x,x=950&amp;cr=293" xr:uid="{78FC6CF6-7E58-4F0D-AF5B-9DA8ED1FD3F9}"/>
    <hyperlink ref="A443" r:id="rId440" display="https://9607261.app.netsuite.com/app/reporting/reportrunner.nl?fromreport=320&amp;regtx,tranline,kacct,x,alltranline5,IN,x,x=950&amp;cr=293" xr:uid="{26CD3EA7-B9D2-4DF2-BCBB-385A5CEE0F68}"/>
    <hyperlink ref="A444" r:id="rId441" display="https://9607261.app.netsuite.com/app/reporting/reportrunner.nl?fromreport=320&amp;regtx,tranline,kacct,x,alltranline5,IN,x,x=950&amp;cr=293" xr:uid="{801158E8-56D4-4FD3-AC3D-1E1A7A50FF2C}"/>
    <hyperlink ref="A445" r:id="rId442" display="https://9607261.app.netsuite.com/app/reporting/reportrunner.nl?fromreport=320&amp;regtx,tranline,kacct,x,alltranline5,IN,x,x=950&amp;cr=293" xr:uid="{7736B015-5D17-4106-81AD-3D042C9B0110}"/>
    <hyperlink ref="A446" r:id="rId443" display="https://9607261.app.netsuite.com/app/reporting/reportrunner.nl?fromreport=320&amp;regtx,tranline,kacct,x,alltranline5,IN,x,x=950&amp;cr=293" xr:uid="{D862646F-B47B-46AC-B627-5E0643E22734}"/>
    <hyperlink ref="A447" r:id="rId444" display="https://9607261.app.netsuite.com/app/reporting/reportrunner.nl?fromreport=320&amp;regtx,tranline,kacct,x,alltranline5,IN,x,x=950&amp;cr=293" xr:uid="{4BF742F7-088A-4B84-8879-BE1811345294}"/>
    <hyperlink ref="A448" r:id="rId445" display="https://9607261.app.netsuite.com/app/reporting/reportrunner.nl?fromreport=320&amp;regtx,tranline,kacct,x,alltranline5,IN,x,x=950&amp;cr=293" xr:uid="{E9155883-35A7-4E33-84AF-FA1A19EF438C}"/>
    <hyperlink ref="A449" r:id="rId446" display="https://9607261.app.netsuite.com/app/reporting/reportrunner.nl?fromreport=320&amp;regtx,tranline,kacct,x,alltranline5,IN,x,x=950&amp;cr=293" xr:uid="{E6B4084E-B248-4097-87E1-E0132251E0DE}"/>
    <hyperlink ref="A450" r:id="rId447" display="https://9607261.app.netsuite.com/app/reporting/reportrunner.nl?fromreport=320&amp;regtx,tranline,kacct,x,alltranline5,IN,x,x=950&amp;cr=293" xr:uid="{30B96D49-3F25-49B2-969D-C3D6F06B22F4}"/>
    <hyperlink ref="A451" r:id="rId448" display="https://9607261.app.netsuite.com/app/reporting/reportrunner.nl?fromreport=320&amp;regtx,tranline,kacct,x,alltranline5,IN,x,x=950&amp;cr=293" xr:uid="{94648910-07E5-400E-A256-1DA2225ADCF6}"/>
    <hyperlink ref="A452" r:id="rId449" display="https://9607261.app.netsuite.com/app/reporting/reportrunner.nl?fromreport=320&amp;regtx,tranline,kacct,x,alltranline5,IN,x,x=950&amp;cr=293" xr:uid="{3AD13A4E-0A17-4ED1-8436-11A698E99439}"/>
    <hyperlink ref="A453" r:id="rId450" display="https://9607261.app.netsuite.com/app/reporting/reportrunner.nl?fromreport=320&amp;regtx,tranline,kacct,x,alltranline5,IN,x,x=950&amp;cr=293" xr:uid="{D897635E-DAD6-4D05-8413-B670F7F85DB3}"/>
    <hyperlink ref="A454" r:id="rId451" display="https://9607261.app.netsuite.com/app/reporting/reportrunner.nl?fromreport=320&amp;regtx,tranline,kacct,x,alltranline5,IN,x,x=950&amp;cr=293" xr:uid="{FBB3528E-4B32-4D07-B270-76AD5287A056}"/>
    <hyperlink ref="A455" r:id="rId452" display="https://9607261.app.netsuite.com/app/reporting/reportrunner.nl?fromreport=320&amp;regtx,tranline,kacct,x,alltranline5,IN,x,x=950&amp;cr=293" xr:uid="{0DEF6232-A725-41DB-B8B4-3C15DE4DB5D8}"/>
    <hyperlink ref="A456" r:id="rId453" display="https://9607261.app.netsuite.com/app/reporting/reportrunner.nl?fromreport=320&amp;regtx,tranline,kacct,x,alltranline5,IN,x,x=950&amp;cr=293" xr:uid="{8CAC7C54-142C-4FCE-A593-27CA074E7E8D}"/>
    <hyperlink ref="A457" r:id="rId454" display="https://9607261.app.netsuite.com/app/reporting/reportrunner.nl?fromreport=320&amp;regtx,tranline,kacct,x,alltranline5,IN,x,x=950&amp;cr=293" xr:uid="{123252F3-3F43-420F-9CE8-FAE12D907234}"/>
    <hyperlink ref="A458" r:id="rId455" display="https://9607261.app.netsuite.com/app/reporting/reportrunner.nl?fromreport=320&amp;regtx,tranline,kacct,x,alltranline5,IN,x,x=950&amp;cr=293" xr:uid="{2567BEFC-B98D-4DFF-BD33-7C5D2E6EA2E9}"/>
    <hyperlink ref="A459" r:id="rId456" display="https://9607261.app.netsuite.com/app/reporting/reportrunner.nl?fromreport=320&amp;regtx,tranline,kacct,x,alltranline5,IN,x,x=950&amp;cr=293" xr:uid="{F858C7D9-41A8-4C61-AB2E-D6A518696AA6}"/>
    <hyperlink ref="A460" r:id="rId457" display="https://9607261.app.netsuite.com/app/reporting/reportrunner.nl?fromreport=320&amp;regtx,tranline,kacct,x,alltranline5,IN,x,x=950&amp;cr=293" xr:uid="{5C52D805-DA05-486B-AC37-05EE0AD978E5}"/>
    <hyperlink ref="A461" r:id="rId458" display="https://9607261.app.netsuite.com/app/reporting/reportrunner.nl?fromreport=320&amp;regtx,tranline,kacct,x,alltranline5,IN,x,x=950&amp;cr=293" xr:uid="{8753F837-FEF1-4BB9-BC72-0D3D60FDE593}"/>
    <hyperlink ref="A462" r:id="rId459" display="https://9607261.app.netsuite.com/app/reporting/reportrunner.nl?fromreport=320&amp;regtx,tranline,kacct,x,alltranline5,IN,x,x=950&amp;cr=293" xr:uid="{64AE7B7D-88C0-4A8E-8C9A-4D9B567499AA}"/>
    <hyperlink ref="A463" r:id="rId460" display="https://9607261.app.netsuite.com/app/reporting/reportrunner.nl?fromreport=320&amp;regtx,tranline,kacct,x,alltranline5,IN,x,x=950&amp;cr=293" xr:uid="{301C1CCA-59FD-4DAA-855C-C14860FF09F0}"/>
    <hyperlink ref="A464" r:id="rId461" display="https://9607261.app.netsuite.com/app/reporting/reportrunner.nl?fromreport=320&amp;regtx,tranline,kacct,x,alltranline5,IN,x,x=950&amp;cr=293" xr:uid="{73AC03FA-37AE-43F2-AB73-593D3B1BCEE5}"/>
    <hyperlink ref="A465" r:id="rId462" display="https://9607261.app.netsuite.com/app/reporting/reportrunner.nl?fromreport=320&amp;regtx,tranline,kacct,x,alltranline5,IN,x,x=950&amp;cr=293" xr:uid="{7BD0D770-B75A-4E13-B1E6-6DB746E19D5F}"/>
    <hyperlink ref="A466" r:id="rId463" display="https://9607261.app.netsuite.com/app/reporting/reportrunner.nl?fromreport=320&amp;regtx,tranline,kacct,x,alltranline5,IN,x,x=950&amp;cr=293" xr:uid="{40DAAA1B-6E88-484D-95AB-CC2FC3E09F51}"/>
    <hyperlink ref="A467" r:id="rId464" display="https://9607261.app.netsuite.com/app/reporting/reportrunner.nl?fromreport=320&amp;regtx,tranline,kacct,x,alltranline5,IN,x,x=950&amp;cr=293" xr:uid="{A36DE56E-BD2F-4F99-B5DC-EB8A479788FA}"/>
    <hyperlink ref="A468" r:id="rId465" display="https://9607261.app.netsuite.com/app/reporting/reportrunner.nl?fromreport=320&amp;regtx,tranline,kacct,x,alltranline5,IN,x,x=950&amp;cr=293" xr:uid="{1DC9B84A-4A74-415B-BF24-C89FB894C8BB}"/>
    <hyperlink ref="A469" r:id="rId466" display="https://9607261.app.netsuite.com/app/reporting/reportrunner.nl?fromreport=320&amp;regtx,tranline,kacct,x,alltranline5,IN,x,x=950&amp;cr=293" xr:uid="{00F9E737-94C3-47EC-A074-C8ED67AAD1E4}"/>
    <hyperlink ref="A470" r:id="rId467" display="https://9607261.app.netsuite.com/app/reporting/reportrunner.nl?fromreport=320&amp;regtx,tranline,kacct,x,alltranline5,IN,x,x=950&amp;cr=293" xr:uid="{D538DC1E-26BD-4397-98A7-722A31A01EB9}"/>
    <hyperlink ref="A471" r:id="rId468" display="https://9607261.app.netsuite.com/app/reporting/reportrunner.nl?fromreport=320&amp;regtx,tranline,kacct,x,alltranline5,IN,x,x=950&amp;cr=293" xr:uid="{3E02D588-8437-452C-8397-779B5B0F680E}"/>
    <hyperlink ref="A472" r:id="rId469" display="https://9607261.app.netsuite.com/app/reporting/reportrunner.nl?fromreport=320&amp;regtx,tranline,kacct,x,alltranline5,IN,x,x=950&amp;cr=293" xr:uid="{9F794307-DC30-4C6B-89CE-0F01953FF919}"/>
    <hyperlink ref="A473" r:id="rId470" display="https://9607261.app.netsuite.com/app/reporting/reportrunner.nl?fromreport=320&amp;regtx,tranline,kacct,x,alltranline5,IN,x,x=950&amp;cr=293" xr:uid="{2CFADF79-05B3-4D99-B0E4-2C38370505FB}"/>
    <hyperlink ref="A474" r:id="rId471" display="https://9607261.app.netsuite.com/app/reporting/reportrunner.nl?fromreport=320&amp;regtx,tranline,kacct,x,alltranline5,IN,x,x=950&amp;cr=293" xr:uid="{CCB2EFDA-D8EF-4516-91E9-109F6407CE88}"/>
    <hyperlink ref="A475" r:id="rId472" display="https://9607261.app.netsuite.com/app/reporting/reportrunner.nl?fromreport=320&amp;regtx,tranline,kacct,x,alltranline5,IN,x,x=950&amp;cr=293" xr:uid="{502EF058-932B-475A-B35B-077C6172FAD0}"/>
    <hyperlink ref="A476" r:id="rId473" display="https://9607261.app.netsuite.com/app/reporting/reportrunner.nl?fromreport=320&amp;regtx,tranline,kacct,x,alltranline5,IN,x,x=950&amp;cr=293" xr:uid="{3C42C9B0-1057-4D87-9C04-A819804D1924}"/>
    <hyperlink ref="A477" r:id="rId474" display="https://9607261.app.netsuite.com/app/reporting/reportrunner.nl?fromreport=320&amp;regtx,tranline,kacct,x,alltranline5,IN,x,x=950&amp;cr=293" xr:uid="{01EBBA65-1A41-476B-957F-F9EE9F3D3DFC}"/>
    <hyperlink ref="A478" r:id="rId475" display="https://9607261.app.netsuite.com/app/reporting/reportrunner.nl?fromreport=320&amp;regtx,tranline,kacct,x,alltranline5,IN,x,x=950&amp;cr=293" xr:uid="{FC5FA4F5-3CB8-49B6-8D48-631CAD1D1A05}"/>
    <hyperlink ref="A479" r:id="rId476" display="https://9607261.app.netsuite.com/app/reporting/reportrunner.nl?fromreport=320&amp;regtx,tranline,kacct,x,alltranline5,IN,x,x=950&amp;cr=293" xr:uid="{2610DEE7-ACE0-49FA-8310-D3447AF83D9F}"/>
    <hyperlink ref="A480" r:id="rId477" display="https://9607261.app.netsuite.com/app/reporting/reportrunner.nl?fromreport=320&amp;regtx,tranline,kacct,x,alltranline5,IN,x,x=950&amp;cr=293" xr:uid="{6081AE24-9985-4864-A5DB-E57DD6C66D13}"/>
    <hyperlink ref="A481" r:id="rId478" display="https://9607261.app.netsuite.com/app/reporting/reportrunner.nl?fromreport=320&amp;regtx,tranline,kacct,x,alltranline5,IN,x,x=950&amp;cr=293" xr:uid="{2B7D5401-285E-4F59-8E6F-A7B04FEA998A}"/>
    <hyperlink ref="A482" r:id="rId479" display="https://9607261.app.netsuite.com/app/reporting/reportrunner.nl?fromreport=320&amp;regtx,tranline,kacct,x,alltranline5,IN,x,x=950&amp;cr=293" xr:uid="{EC3ACECA-6FAE-4441-94A6-7F8575B7E6AE}"/>
    <hyperlink ref="A483" r:id="rId480" display="https://9607261.app.netsuite.com/app/reporting/reportrunner.nl?fromreport=320&amp;regtx,tranline,kacct,x,alltranline5,IN,x,x=950&amp;cr=293" xr:uid="{0A62D9C1-3D89-4F9F-98F8-13B467863669}"/>
    <hyperlink ref="A484" r:id="rId481" display="https://9607261.app.netsuite.com/app/reporting/reportrunner.nl?fromreport=320&amp;regtx,tranline,kacct,x,alltranline5,IN,x,x=950&amp;cr=293" xr:uid="{97AE0773-64BE-4148-8C74-C620FBA82BBD}"/>
    <hyperlink ref="A485" r:id="rId482" display="https://9607261.app.netsuite.com/app/reporting/reportrunner.nl?fromreport=320&amp;regtx,tranline,kacct,x,alltranline5,IN,x,x=950&amp;cr=293" xr:uid="{84E2813A-08AC-4BD6-9F9D-625EB373C744}"/>
    <hyperlink ref="A486" r:id="rId483" display="https://9607261.app.netsuite.com/app/reporting/reportrunner.nl?fromreport=320&amp;regtx,tranline,kacct,x,alltranline5,IN,x,x=950&amp;cr=293" xr:uid="{77B2083B-263C-4AAB-B017-ECD8A7337BFC}"/>
    <hyperlink ref="A487" r:id="rId484" display="https://9607261.app.netsuite.com/app/reporting/reportrunner.nl?fromreport=320&amp;regtx,tranline,kacct,x,alltranline5,IN,x,x=950&amp;cr=293" xr:uid="{9CF9E4A6-47DF-486C-A12F-34BD33BA645D}"/>
    <hyperlink ref="A488" r:id="rId485" display="https://9607261.app.netsuite.com/app/reporting/reportrunner.nl?fromreport=320&amp;regtx,tranline,kacct,x,alltranline5,IN,x,x=950&amp;cr=293" xr:uid="{EA194516-224F-4142-9BF5-BF4F7D62D4AF}"/>
    <hyperlink ref="A489" r:id="rId486" display="https://9607261.app.netsuite.com/app/reporting/reportrunner.nl?fromreport=320&amp;regtx,tranline,kacct,x,alltranline5,IN,x,x=950&amp;cr=293" xr:uid="{970965CB-4C25-417B-BF97-61DCEB101179}"/>
    <hyperlink ref="A490" r:id="rId487" display="https://9607261.app.netsuite.com/app/reporting/reportrunner.nl?fromreport=320&amp;regtx,tranline,kacct,x,alltranline5,IN,x,x=950&amp;cr=293" xr:uid="{42FEAC9D-18D0-432C-BF3B-7235B178B8A8}"/>
    <hyperlink ref="A491" r:id="rId488" display="https://9607261.app.netsuite.com/app/reporting/reportrunner.nl?fromreport=320&amp;regtx,tranline,kacct,x,alltranline5,IN,x,x=950&amp;cr=293" xr:uid="{BF6110FD-C7F4-4B00-AB1D-FE90CDA21C7C}"/>
    <hyperlink ref="A492" r:id="rId489" display="https://9607261.app.netsuite.com/app/reporting/reportrunner.nl?fromreport=320&amp;regtx,tranline,kacct,x,alltranline5,IN,x,x=950&amp;cr=293" xr:uid="{04C6B232-259A-4015-AF4C-D02A64939271}"/>
    <hyperlink ref="A493" r:id="rId490" display="https://9607261.app.netsuite.com/app/reporting/reportrunner.nl?fromreport=320&amp;regtx,tranline,kacct,x,alltranline5,IN,x,x=950&amp;cr=293" xr:uid="{E16F3A7F-A451-4061-9BFC-70121E40C828}"/>
    <hyperlink ref="A494" r:id="rId491" display="https://9607261.app.netsuite.com/app/reporting/reportrunner.nl?fromreport=320&amp;regtx,tranline,kacct,x,alltranline5,IN,x,x=950&amp;cr=293" xr:uid="{853B98C1-4FE0-46B5-A942-AD4A65D1BFC1}"/>
    <hyperlink ref="A495" r:id="rId492" display="https://9607261.app.netsuite.com/app/reporting/reportrunner.nl?fromreport=320&amp;regtx,tranline,kacct,x,alltranline5,IN,x,x=950&amp;cr=293" xr:uid="{AC335373-C5DD-4519-BF14-E67BFBEAA6F0}"/>
    <hyperlink ref="A496" r:id="rId493" display="https://9607261.app.netsuite.com/app/reporting/reportrunner.nl?fromreport=320&amp;regtx,tranline,kacct,x,alltranline5,IN,x,x=950&amp;cr=293" xr:uid="{9DD8A776-B1C8-4CA9-B527-B7BE82EADCE7}"/>
    <hyperlink ref="A497" r:id="rId494" display="https://9607261.app.netsuite.com/app/reporting/reportrunner.nl?fromreport=320&amp;regtx,tranline,kacct,x,alltranline5,IN,x,x=950&amp;cr=293" xr:uid="{00E1CF44-CAAD-4D36-8686-F6612D1DD6F7}"/>
    <hyperlink ref="A498" r:id="rId495" display="https://9607261.app.netsuite.com/app/reporting/reportrunner.nl?fromreport=320&amp;regtx,tranline,kacct,x,alltranline5,IN,x,x=950&amp;cr=293" xr:uid="{FFF7986F-6C74-4010-B98E-DCC90E8107A6}"/>
    <hyperlink ref="A499" r:id="rId496" display="https://9607261.app.netsuite.com/app/reporting/reportrunner.nl?fromreport=320&amp;regtx,tranline,kacct,x,alltranline5,IN,x,x=950&amp;cr=293" xr:uid="{FDB81828-32FF-4D47-B431-A09B9C53F5D8}"/>
    <hyperlink ref="A500" r:id="rId497" display="https://9607261.app.netsuite.com/app/reporting/reportrunner.nl?fromreport=320&amp;regtx,tranline,kacct,x,alltranline5,IN,x,x=950&amp;cr=293" xr:uid="{1374D89C-F8F6-48AC-A29C-A71DD16195F3}"/>
    <hyperlink ref="A501" r:id="rId498" display="https://9607261.app.netsuite.com/app/reporting/reportrunner.nl?fromreport=320&amp;regtx,tranline,kacct,x,alltranline5,IN,x,x=950&amp;cr=293" xr:uid="{397B2675-758C-4964-8BEE-EFAE534B8A3A}"/>
    <hyperlink ref="A502" r:id="rId499" display="https://9607261.app.netsuite.com/app/reporting/reportrunner.nl?fromreport=320&amp;regtx,tranline,kacct,x,alltranline5,IN,x,x=950&amp;cr=293" xr:uid="{6F8E391D-958E-47EF-8C3C-0E13534E679D}"/>
    <hyperlink ref="A503" r:id="rId500" display="https://9607261.app.netsuite.com/app/reporting/reportrunner.nl?fromreport=320&amp;regtx,tranline,kacct,x,alltranline5,IN,x,x=950&amp;cr=293" xr:uid="{87AD9A59-3DEF-4CFE-8CFE-25504BBDFD88}"/>
    <hyperlink ref="A504" r:id="rId501" display="https://9607261.app.netsuite.com/app/reporting/reportrunner.nl?fromreport=320&amp;regtx,tranline,kacct,x,alltranline5,IN,x,x=950&amp;cr=293" xr:uid="{DE7F58D6-21A9-4180-BD2F-2446EB9787D7}"/>
    <hyperlink ref="A505" r:id="rId502" display="https://9607261.app.netsuite.com/app/reporting/reportrunner.nl?fromreport=320&amp;regtx,tranline,kacct,x,alltranline5,IN,x,x=950&amp;cr=293" xr:uid="{9B53ED8C-6A7A-44DA-9D3F-68BF3410A89A}"/>
    <hyperlink ref="A506" r:id="rId503" display="https://9607261.app.netsuite.com/app/reporting/reportrunner.nl?fromreport=320&amp;regtx,tranline,kacct,x,alltranline5,IN,x,x=950&amp;cr=293" xr:uid="{0BFE141A-493A-4224-968F-E0927EBD4624}"/>
    <hyperlink ref="A507" r:id="rId504" display="https://9607261.app.netsuite.com/app/reporting/reportrunner.nl?fromreport=320&amp;regtx,tranline,kacct,x,alltranline5,IN,x,x=950&amp;cr=293" xr:uid="{D40D2642-C9A7-40A4-8045-6B94A504D7A0}"/>
    <hyperlink ref="A508" r:id="rId505" display="https://9607261.app.netsuite.com/app/reporting/reportrunner.nl?fromreport=320&amp;regtx,tranline,kacct,x,alltranline5,IN,x,x=950&amp;cr=293" xr:uid="{E1574DE5-307E-4742-8C3B-265A92B0BC3A}"/>
    <hyperlink ref="A509" r:id="rId506" display="https://9607261.app.netsuite.com/app/reporting/reportrunner.nl?fromreport=320&amp;regtx,tranline,kacct,x,alltranline5,IN,x,x=950&amp;cr=293" xr:uid="{74821BA9-F88B-46DF-A950-596438865458}"/>
    <hyperlink ref="A510" r:id="rId507" display="https://9607261.app.netsuite.com/app/reporting/reportrunner.nl?fromreport=320&amp;regtx,tranline,kacct,x,alltranline5,IN,x,x=950&amp;cr=293" xr:uid="{B6F68056-705C-43BD-8ED9-F6CA32E62909}"/>
    <hyperlink ref="A511" r:id="rId508" display="https://9607261.app.netsuite.com/app/reporting/reportrunner.nl?fromreport=320&amp;regtx,tranline,kacct,x,alltranline5,IN,x,x=950&amp;cr=293" xr:uid="{E8D323C0-652D-475E-BD62-AACC809C6C77}"/>
    <hyperlink ref="A512" r:id="rId509" display="https://9607261.app.netsuite.com/app/reporting/reportrunner.nl?fromreport=320&amp;regtx,tranline,kacct,x,alltranline5,IN,x,x=950&amp;cr=293" xr:uid="{753E6B18-61EC-46EF-93B7-B7196D8D31AE}"/>
    <hyperlink ref="A513" r:id="rId510" display="https://9607261.app.netsuite.com/app/reporting/reportrunner.nl?fromreport=320&amp;regtx,tranline,kacct,x,alltranline5,IN,x,x=950&amp;cr=293" xr:uid="{FB5EEB75-65E8-47D6-B104-35E79CAF1BD3}"/>
    <hyperlink ref="A514" r:id="rId511" display="https://9607261.app.netsuite.com/app/reporting/reportrunner.nl?fromreport=320&amp;regtx,tranline,kacct,x,alltranline5,IN,x,x=950&amp;cr=293" xr:uid="{8CC15FDC-B5B6-46DA-BBA9-96F93040206A}"/>
    <hyperlink ref="A515" r:id="rId512" display="https://9607261.app.netsuite.com/app/reporting/reportrunner.nl?fromreport=320&amp;regtx,tranline,kacct,x,alltranline5,IN,x,x=950&amp;cr=293" xr:uid="{32D1A013-A4E2-4E9A-818F-B6301C750AAD}"/>
    <hyperlink ref="A516" r:id="rId513" display="https://9607261.app.netsuite.com/app/reporting/reportrunner.nl?fromreport=320&amp;regtx,tranline,kacct,x,alltranline5,IN,x,x=950&amp;cr=293" xr:uid="{23220342-1FAF-42FD-9027-6B2DB03F4E25}"/>
    <hyperlink ref="A517" r:id="rId514" display="https://9607261.app.netsuite.com/app/reporting/reportrunner.nl?fromreport=320&amp;regtx,tranline,kacct,x,alltranline5,IN,x,x=950&amp;cr=293" xr:uid="{F65119C3-91A7-4216-A7E2-856776F17777}"/>
    <hyperlink ref="A518" r:id="rId515" display="https://9607261.app.netsuite.com/app/reporting/reportrunner.nl?fromreport=320&amp;regtx,tranline,kacct,x,alltranline5,IN,x,x=950&amp;cr=293" xr:uid="{2092A48D-7891-4A74-9508-F948E4FF2C08}"/>
    <hyperlink ref="A519" r:id="rId516" display="https://9607261.app.netsuite.com/app/reporting/reportrunner.nl?fromreport=320&amp;regtx,tranline,kacct,x,alltranline5,IN,x,x=950&amp;cr=293" xr:uid="{F16A56B0-32CC-4311-ADDE-5337CE77753D}"/>
    <hyperlink ref="A520" r:id="rId517" display="https://9607261.app.netsuite.com/app/reporting/reportrunner.nl?fromreport=320&amp;regtx,tranline,kacct,x,alltranline5,IN,x,x=950&amp;cr=293" xr:uid="{7BFD3AC2-9523-40AD-99BA-4A445BDA41C5}"/>
    <hyperlink ref="A521" r:id="rId518" display="https://9607261.app.netsuite.com/app/reporting/reportrunner.nl?fromreport=320&amp;regtx,tranline,kacct,x,alltranline5,IN,x,x=950&amp;cr=293" xr:uid="{743721DC-1AA3-4680-AAD9-FA66CF5C88C9}"/>
    <hyperlink ref="A522" r:id="rId519" display="https://9607261.app.netsuite.com/app/reporting/reportrunner.nl?fromreport=320&amp;regtx,tranline,kacct,x,alltranline5,IN,x,x=950&amp;cr=293" xr:uid="{53859EFD-5655-4A4E-99CA-D0A1A6F2449E}"/>
    <hyperlink ref="A523" r:id="rId520" display="https://9607261.app.netsuite.com/app/reporting/reportrunner.nl?fromreport=320&amp;regtx,tranline,kacct,x,alltranline5,IN,x,x=950&amp;cr=293" xr:uid="{FA2DF26B-E6E6-408F-B0EF-8FB47F1A2584}"/>
    <hyperlink ref="A524" r:id="rId521" display="https://9607261.app.netsuite.com/app/reporting/reportrunner.nl?fromreport=320&amp;regtx,tranline,kacct,x,alltranline5,IN,x,x=950&amp;cr=293" xr:uid="{FA06EF8D-DD0D-4D28-A024-3A335F3A032A}"/>
    <hyperlink ref="A525" r:id="rId522" display="https://9607261.app.netsuite.com/app/reporting/reportrunner.nl?fromreport=320&amp;regtx,tranline,kacct,x,alltranline5,IN,x,x=950&amp;cr=293" xr:uid="{8327F76A-B117-423D-A7C0-7E9C670A2FCF}"/>
    <hyperlink ref="A526" r:id="rId523" display="https://9607261.app.netsuite.com/app/reporting/reportrunner.nl?fromreport=320&amp;regtx,tranline,kacct,x,alltranline5,IN,x,x=950&amp;cr=293" xr:uid="{C642DFB4-5FE9-4BF3-9B2B-715EFDD65A56}"/>
    <hyperlink ref="A527" r:id="rId524" display="https://9607261.app.netsuite.com/app/reporting/reportrunner.nl?fromreport=320&amp;regtx,tranline,kacct,x,alltranline5,IN,x,x=950&amp;cr=293" xr:uid="{78FEE769-5C19-45B3-9578-D05FBAFE3FA1}"/>
    <hyperlink ref="A528" r:id="rId525" display="https://9607261.app.netsuite.com/app/reporting/reportrunner.nl?fromreport=320&amp;regtx,tranline,kacct,x,alltranline5,IN,x,x=950&amp;cr=293" xr:uid="{1F881FCF-2C23-4FED-A85E-2ED60683633B}"/>
    <hyperlink ref="A529" r:id="rId526" display="https://9607261.app.netsuite.com/app/reporting/reportrunner.nl?fromreport=320&amp;regtx,tranline,kacct,x,alltranline5,IN,x,x=950&amp;cr=293" xr:uid="{501D727B-0C00-46CA-AAE2-B079EABE807D}"/>
    <hyperlink ref="A530" r:id="rId527" display="https://9607261.app.netsuite.com/app/reporting/reportrunner.nl?fromreport=320&amp;regtx,tranline,kacct,x,alltranline5,IN,x,x=950&amp;cr=293" xr:uid="{85C8C149-B723-45FF-96BA-59C4C1CCF492}"/>
    <hyperlink ref="A531" r:id="rId528" display="https://9607261.app.netsuite.com/app/reporting/reportrunner.nl?fromreport=320&amp;regtx,tranline,kacct,x,alltranline5,IN,x,x=950&amp;cr=293" xr:uid="{E2750A0C-BEA6-4A67-B1E9-06B3D5AD6BD3}"/>
    <hyperlink ref="A532" r:id="rId529" display="https://9607261.app.netsuite.com/app/reporting/reportrunner.nl?fromreport=320&amp;regtx,tranline,kacct,x,alltranline5,IN,x,x=950&amp;cr=293" xr:uid="{B2FB9EFC-D9A7-4F35-82FC-FD8918BD3416}"/>
    <hyperlink ref="A533" r:id="rId530" display="https://9607261.app.netsuite.com/app/reporting/reportrunner.nl?fromreport=320&amp;regtx,tranline,kacct,x,alltranline5,IN,x,x=950&amp;cr=293" xr:uid="{24169CA8-7581-4DD4-BB08-88B066D3AF6A}"/>
    <hyperlink ref="A534" r:id="rId531" display="https://9607261.app.netsuite.com/app/reporting/reportrunner.nl?fromreport=320&amp;regtx,tranline,kacct,x,alltranline5,IN,x,x=950&amp;cr=293" xr:uid="{CB684857-F27B-4FF8-B452-882A943C31C4}"/>
    <hyperlink ref="A535" r:id="rId532" display="https://9607261.app.netsuite.com/app/reporting/reportrunner.nl?fromreport=320&amp;regtx,tranline,kacct,x,alltranline5,IN,x,x=950&amp;cr=293" xr:uid="{5714D13D-C983-48D5-BB4E-2B879E29CAF9}"/>
    <hyperlink ref="A536" r:id="rId533" display="https://9607261.app.netsuite.com/app/reporting/reportrunner.nl?fromreport=320&amp;regtx,tranline,kacct,x,alltranline5,IN,x,x=950&amp;cr=293" xr:uid="{FF3DC908-72A6-4D6F-87FF-6A46C68EEA3E}"/>
    <hyperlink ref="A537" r:id="rId534" display="https://9607261.app.netsuite.com/app/reporting/reportrunner.nl?fromreport=320&amp;regtx,tranline,kacct,x,alltranline5,IN,x,x=950&amp;cr=293" xr:uid="{ED0F8E39-8D43-4684-BD4C-678DBE396322}"/>
    <hyperlink ref="A538" r:id="rId535" display="https://9607261.app.netsuite.com/app/reporting/reportrunner.nl?fromreport=320&amp;regtx,tranline,kacct,x,alltranline5,IN,x,x=950&amp;cr=293" xr:uid="{F39D631E-2BB1-4F14-B4A2-301AF61BB74B}"/>
    <hyperlink ref="A539" r:id="rId536" display="https://9607261.app.netsuite.com/app/reporting/reportrunner.nl?fromreport=320&amp;regtx,tranline,kacct,x,alltranline5,IN,x,x=950&amp;cr=293" xr:uid="{4B5D9E31-9117-4A5C-B422-B3CA3F19AA11}"/>
    <hyperlink ref="A540" r:id="rId537" display="https://9607261.app.netsuite.com/app/reporting/reportrunner.nl?fromreport=320&amp;regtx,tranline,kacct,x,alltranline5,IN,x,x=950&amp;cr=293" xr:uid="{13484168-DCA4-4E9D-B190-1D890B2709B4}"/>
    <hyperlink ref="A541" r:id="rId538" display="https://9607261.app.netsuite.com/app/reporting/reportrunner.nl?fromreport=320&amp;regtx,tranline,kacct,x,alltranline5,IN,x,x=950&amp;cr=293" xr:uid="{4E912496-27E6-48AA-B79C-10A097C69BEC}"/>
    <hyperlink ref="A542" r:id="rId539" display="https://9607261.app.netsuite.com/app/reporting/reportrunner.nl?fromreport=320&amp;regtx,tranline,kacct,x,alltranline5,IN,x,x=950&amp;cr=293" xr:uid="{50D61BA9-8857-43B3-A768-546A249845AF}"/>
    <hyperlink ref="A543" r:id="rId540" display="https://9607261.app.netsuite.com/app/reporting/reportrunner.nl?fromreport=320&amp;regtx,tranline,kacct,x,alltranline5,IN,x,x=950&amp;cr=293" xr:uid="{67730C98-849D-486D-84A3-05EF2944EE86}"/>
    <hyperlink ref="A544" r:id="rId541" display="https://9607261.app.netsuite.com/app/reporting/reportrunner.nl?fromreport=320&amp;regtx,tranline,kacct,x,alltranline5,IN,x,x=950&amp;cr=293" xr:uid="{F0466B0F-8A82-438E-B947-28D680B5ADEA}"/>
    <hyperlink ref="A545" r:id="rId542" display="https://9607261.app.netsuite.com/app/reporting/reportrunner.nl?fromreport=320&amp;regtx,tranline,kacct,x,alltranline5,IN,x,x=950&amp;cr=293" xr:uid="{841BE5D6-D561-415B-9E92-17A98C97D22D}"/>
    <hyperlink ref="A546" r:id="rId543" display="https://9607261.app.netsuite.com/app/reporting/reportrunner.nl?fromreport=320&amp;regtx,tranline,kacct,x,alltranline5,IN,x,x=950&amp;cr=293" xr:uid="{A20C50D7-A09F-4F78-AEDE-70815CE18D7D}"/>
    <hyperlink ref="A547" r:id="rId544" display="https://9607261.app.netsuite.com/app/reporting/reportrunner.nl?fromreport=320&amp;regtx,tranline,kacct,x,alltranline5,IN,x,x=950&amp;cr=293" xr:uid="{F6D33757-CB0F-429E-8B79-358795BE79F3}"/>
    <hyperlink ref="A548" r:id="rId545" display="https://9607261.app.netsuite.com/app/reporting/reportrunner.nl?fromreport=320&amp;regtx,tranline,kacct,x,alltranline5,IN,x,x=950&amp;cr=293" xr:uid="{FF61A4A6-63E8-46E9-B962-43CFB67BF720}"/>
    <hyperlink ref="A549" r:id="rId546" display="https://9607261.app.netsuite.com/app/reporting/reportrunner.nl?fromreport=320&amp;regtx,tranline,kacct,x,alltranline5,IN,x,x=950&amp;cr=293" xr:uid="{88E5E0DF-1F91-47CD-82A8-EE6A1987FD0D}"/>
    <hyperlink ref="A550" r:id="rId547" display="https://9607261.app.netsuite.com/app/reporting/reportrunner.nl?fromreport=320&amp;regtx,tranline,kacct,x,alltranline5,IN,x,x=950&amp;cr=293" xr:uid="{79540D63-CF35-46F4-BF14-2665F924AEC9}"/>
    <hyperlink ref="A551" r:id="rId548" display="https://9607261.app.netsuite.com/app/reporting/reportrunner.nl?fromreport=320&amp;regtx,tranline,kacct,x,alltranline5,IN,x,x=950&amp;cr=293" xr:uid="{64AE6899-8FC7-44A3-8750-FA866A2DEBA8}"/>
    <hyperlink ref="A552" r:id="rId549" display="https://9607261.app.netsuite.com/app/reporting/reportrunner.nl?fromreport=320&amp;regtx,tranline,kacct,x,alltranline5,IN,x,x=950&amp;cr=293" xr:uid="{E93DED2D-821E-435B-BD8B-A06EA668D696}"/>
    <hyperlink ref="A553" r:id="rId550" display="https://9607261.app.netsuite.com/app/reporting/reportrunner.nl?fromreport=320&amp;regtx,tranline,kacct,x,alltranline5,IN,x,x=950&amp;cr=293" xr:uid="{35589EFF-D5D0-4315-924A-3549814C84FE}"/>
    <hyperlink ref="A554" r:id="rId551" display="https://9607261.app.netsuite.com/app/reporting/reportrunner.nl?fromreport=320&amp;regtx,tranline,kacct,x,alltranline5,IN,x,x=950&amp;cr=293" xr:uid="{7F894986-30AF-425E-BE40-FD1FAE5B151D}"/>
    <hyperlink ref="A555" r:id="rId552" display="https://9607261.app.netsuite.com/app/reporting/reportrunner.nl?fromreport=320&amp;regtx,tranline,kacct,x,alltranline5,IN,x,x=950&amp;cr=293" xr:uid="{37A95CBC-DA5F-4EE3-84BB-14EFB4FC6592}"/>
    <hyperlink ref="A556" r:id="rId553" display="https://9607261.app.netsuite.com/app/reporting/reportrunner.nl?fromreport=320&amp;regtx,tranline,kacct,x,alltranline5,IN,x,x=950&amp;cr=293" xr:uid="{385DF72F-A479-4744-870A-91248A54A1B6}"/>
    <hyperlink ref="A557" r:id="rId554" display="https://9607261.app.netsuite.com/app/reporting/reportrunner.nl?fromreport=320&amp;regtx,tranline,kacct,x,alltranline5,IN,x,x=950&amp;cr=293" xr:uid="{996CDCDC-F22B-42FE-AD69-A42A219D339C}"/>
    <hyperlink ref="A558" r:id="rId555" display="https://9607261.app.netsuite.com/app/reporting/reportrunner.nl?fromreport=320&amp;regtx,tranline,kacct,x,alltranline5,IN,x,x=950&amp;cr=293" xr:uid="{C09F4888-8F4A-42AC-8298-7FB463E93A9A}"/>
    <hyperlink ref="A559" r:id="rId556" display="https://9607261.app.netsuite.com/app/reporting/reportrunner.nl?fromreport=320&amp;regtx,tranline,kacct,x,alltranline5,IN,x,x=950&amp;cr=293" xr:uid="{AD138CA6-A0DC-41A7-BB74-E15BF52AFD70}"/>
    <hyperlink ref="A560" r:id="rId557" display="https://9607261.app.netsuite.com/app/reporting/reportrunner.nl?fromreport=320&amp;regtx,tranline,kacct,x,alltranline5,IN,x,x=950&amp;cr=293" xr:uid="{C6855D47-A194-437A-A6E4-055300C646CC}"/>
    <hyperlink ref="A561" r:id="rId558" display="https://9607261.app.netsuite.com/app/reporting/reportrunner.nl?fromreport=320&amp;regtx,tranline,kacct,x,alltranline5,IN,x,x=950&amp;cr=293" xr:uid="{19CE8991-C7BB-4CEB-A219-819215859445}"/>
    <hyperlink ref="A562" r:id="rId559" display="https://9607261.app.netsuite.com/app/reporting/reportrunner.nl?fromreport=320&amp;regtx,tranline,kacct,x,alltranline5,IN,x,x=950&amp;cr=293" xr:uid="{BA2FB2CB-03EC-489A-BA9B-F2A43EEAB1B6}"/>
    <hyperlink ref="A563" r:id="rId560" display="https://9607261.app.netsuite.com/app/reporting/reportrunner.nl?fromreport=320&amp;regtx,tranline,kacct,x,alltranline5,IN,x,x=950&amp;cr=293" xr:uid="{94557606-82DE-4860-BB35-4DDBCB16FF47}"/>
    <hyperlink ref="A564" r:id="rId561" display="https://9607261.app.netsuite.com/app/reporting/reportrunner.nl?fromreport=320&amp;regtx,tranline,kacct,x,alltranline5,IN,x,x=950&amp;cr=293" xr:uid="{31C8B164-4B6F-4A46-A109-DA326A70D76B}"/>
    <hyperlink ref="A565" r:id="rId562" display="https://9607261.app.netsuite.com/app/reporting/reportrunner.nl?fromreport=320&amp;regtx,tranline,kacct,x,alltranline5,IN,x,x=950&amp;cr=293" xr:uid="{83DD70CB-5AEB-43DC-8608-B0A8DD7760C8}"/>
    <hyperlink ref="A566" r:id="rId563" display="https://9607261.app.netsuite.com/app/reporting/reportrunner.nl?fromreport=320&amp;regtx,tranline,kacct,x,alltranline5,IN,x,x=950&amp;cr=293" xr:uid="{61165AC9-1AF9-411C-ABE4-F353AA6CFB09}"/>
    <hyperlink ref="A567" r:id="rId564" display="https://9607261.app.netsuite.com/app/reporting/reportrunner.nl?fromreport=320&amp;regtx,tranline,kacct,x,alltranline5,IN,x,x=950&amp;cr=293" xr:uid="{461E3B06-7E5A-4270-A45B-631A8FEDB7F7}"/>
    <hyperlink ref="A568" r:id="rId565" display="https://9607261.app.netsuite.com/app/reporting/reportrunner.nl?fromreport=320&amp;regtx,tranline,kacct,x,alltranline5,IN,x,x=950&amp;cr=293" xr:uid="{9E6E6494-B6B2-4D18-AFBF-D962DF60B01A}"/>
    <hyperlink ref="A569" r:id="rId566" display="https://9607261.app.netsuite.com/app/reporting/reportrunner.nl?fromreport=320&amp;regtx,tranline,kacct,x,alltranline5,IN,x,x=950&amp;cr=293" xr:uid="{ACE25A24-7535-4793-932E-43A2323BE595}"/>
    <hyperlink ref="A570" r:id="rId567" display="https://9607261.app.netsuite.com/app/reporting/reportrunner.nl?fromreport=320&amp;regtx,tranline,kacct,x,alltranline5,IN,x,x=950&amp;cr=293" xr:uid="{EF1D5ADA-CF82-4854-8429-16DFF4A87B52}"/>
    <hyperlink ref="A571" r:id="rId568" display="https://9607261.app.netsuite.com/app/reporting/reportrunner.nl?fromreport=320&amp;regtx,tranline,kacct,x,alltranline5,IN,x,x=950&amp;cr=293" xr:uid="{BD3C49A7-C464-4605-94F4-9D457FE15088}"/>
    <hyperlink ref="A572" r:id="rId569" display="https://9607261.app.netsuite.com/app/reporting/reportrunner.nl?fromreport=320&amp;regtx,tranline,kacct,x,alltranline5,IN,x,x=950&amp;cr=293" xr:uid="{9D0947A6-9764-4133-9028-C23D41B3853C}"/>
    <hyperlink ref="A573" r:id="rId570" display="https://9607261.app.netsuite.com/app/reporting/reportrunner.nl?fromreport=320&amp;regtx,tranline,kacct,x,alltranline5,IN,x,x=950&amp;cr=293" xr:uid="{3D4323F7-B9C7-4C0E-859C-54DFF1CC11F5}"/>
    <hyperlink ref="A574" r:id="rId571" display="https://9607261.app.netsuite.com/app/reporting/reportrunner.nl?fromreport=320&amp;regtx,tranline,kacct,x,alltranline5,IN,x,x=950&amp;cr=293" xr:uid="{D30ED1E4-F9B6-4C14-B51B-95C3ED7C32D9}"/>
    <hyperlink ref="A575" r:id="rId572" display="https://9607261.app.netsuite.com/app/reporting/reportrunner.nl?fromreport=320&amp;regtx,tranline,kacct,x,alltranline5,IN,x,x=950&amp;cr=293" xr:uid="{84C60423-71FE-4956-AE6C-DA7FE0B868E4}"/>
    <hyperlink ref="A576" r:id="rId573" display="https://9607261.app.netsuite.com/app/reporting/reportrunner.nl?fromreport=320&amp;regtx,tranline,kacct,x,alltranline5,IN,x,x=950&amp;cr=293" xr:uid="{256766E1-15C0-4C0A-AD41-B11039ABDA8F}"/>
    <hyperlink ref="A577" r:id="rId574" display="https://9607261.app.netsuite.com/app/reporting/reportrunner.nl?fromreport=320&amp;regtx,tranline,kacct,x,alltranline5,IN,x,x=950&amp;cr=293" xr:uid="{0271295E-C455-43EB-954C-F62AF774D5CC}"/>
    <hyperlink ref="A578" r:id="rId575" display="https://9607261.app.netsuite.com/app/reporting/reportrunner.nl?fromreport=320&amp;regtx,tranline,kacct,x,alltranline5,IN,x,x=950&amp;cr=293" xr:uid="{16CE9F66-36DC-477A-A79C-90A40A437F21}"/>
    <hyperlink ref="A579" r:id="rId576" display="https://9607261.app.netsuite.com/app/reporting/reportrunner.nl?fromreport=320&amp;regtx,tranline,kacct,x,alltranline5,IN,x,x=950&amp;cr=293" xr:uid="{2C1B38A7-30D1-4BB4-B8DC-22BC3F3905EC}"/>
    <hyperlink ref="A580" r:id="rId577" display="https://9607261.app.netsuite.com/app/reporting/reportrunner.nl?fromreport=320&amp;regtx,tranline,kacct,x,alltranline5,IN,x,x=950&amp;cr=293" xr:uid="{C4B7C053-992F-48CA-9AF1-3D53E7713638}"/>
    <hyperlink ref="A581" r:id="rId578" display="https://9607261.app.netsuite.com/app/reporting/reportrunner.nl?fromreport=320&amp;regtx,tranline,kacct,x,alltranline5,IN,x,x=950&amp;cr=293" xr:uid="{2A2244A8-90BF-4191-BED7-4BB4D23CE4BE}"/>
    <hyperlink ref="A582" r:id="rId579" display="https://9607261.app.netsuite.com/app/reporting/reportrunner.nl?fromreport=320&amp;regtx,tranline,kacct,x,alltranline5,IN,x,x=950&amp;cr=293" xr:uid="{D46E85DC-57F9-46E2-89C2-0EF3F95B84CB}"/>
    <hyperlink ref="A583" r:id="rId580" display="https://9607261.app.netsuite.com/app/reporting/reportrunner.nl?fromreport=320&amp;regtx,tranline,kacct,x,alltranline5,IN,x,x=950&amp;cr=293" xr:uid="{E327BABB-9C96-4D20-98B1-7A15D0C5EDEE}"/>
    <hyperlink ref="A584" r:id="rId581" display="https://9607261.app.netsuite.com/app/reporting/reportrunner.nl?fromreport=320&amp;regtx,tranline,kacct,x,alltranline5,IN,x,x=950&amp;cr=293" xr:uid="{F5D64A61-96EF-4E46-AEBB-9D40D0FE547B}"/>
    <hyperlink ref="A585" r:id="rId582" display="https://9607261.app.netsuite.com/app/reporting/reportrunner.nl?fromreport=320&amp;regtx,tranline,kacct,x,alltranline5,IN,x,x=950&amp;cr=293" xr:uid="{FB04E87C-E582-4E82-A513-954ACDE7906F}"/>
    <hyperlink ref="A586" r:id="rId583" display="https://9607261.app.netsuite.com/app/reporting/reportrunner.nl?fromreport=320&amp;regtx,tranline,kacct,x,alltranline5,IN,x,x=950&amp;cr=293" xr:uid="{F13529EB-AC83-426C-B7FD-5A6D16E14498}"/>
    <hyperlink ref="A587" r:id="rId584" display="https://9607261.app.netsuite.com/app/reporting/reportrunner.nl?fromreport=320&amp;regtx,tranline,kacct,x,alltranline5,IN,x,x=950&amp;cr=293" xr:uid="{E28A98DE-0C29-4E29-948F-71DB855BD73A}"/>
    <hyperlink ref="A588" r:id="rId585" display="https://9607261.app.netsuite.com/app/reporting/reportrunner.nl?fromreport=320&amp;regtx,tranline,kacct,x,alltranline5,IN,x,x=950&amp;cr=293" xr:uid="{278058E0-BA84-4E44-977F-0EFDF739EA79}"/>
    <hyperlink ref="A589" r:id="rId586" display="https://9607261.app.netsuite.com/app/reporting/reportrunner.nl?fromreport=320&amp;regtx,tranline,kacct,x,alltranline5,IN,x,x=950&amp;cr=293" xr:uid="{65292D57-9CEE-438E-9E8C-552A765DDBB6}"/>
    <hyperlink ref="A590" r:id="rId587" display="https://9607261.app.netsuite.com/app/reporting/reportrunner.nl?fromreport=320&amp;regtx,tranline,kacct,x,alltranline5,IN,x,x=950&amp;cr=293" xr:uid="{2C48FA68-E7DF-4AAC-8575-674DC2DA26DD}"/>
    <hyperlink ref="A591" r:id="rId588" display="https://9607261.app.netsuite.com/app/reporting/reportrunner.nl?fromreport=320&amp;regtx,tranline,kacct,x,alltranline5,IN,x,x=950&amp;cr=293" xr:uid="{0907B50F-DE09-4BCB-8A8E-60824BE59C92}"/>
    <hyperlink ref="A592" r:id="rId589" display="https://9607261.app.netsuite.com/app/reporting/reportrunner.nl?fromreport=320&amp;regtx,tranline,kacct,x,alltranline5,IN,x,x=950&amp;cr=293" xr:uid="{5DCC7475-B6CC-41FE-AF41-C8F63ABEDE61}"/>
    <hyperlink ref="A593" r:id="rId590" display="https://9607261.app.netsuite.com/app/reporting/reportrunner.nl?fromreport=320&amp;regtx,tranline,kacct,x,alltranline5,IN,x,x=950&amp;cr=293" xr:uid="{410DCA3B-F819-465D-BE66-C10D15AFDC7E}"/>
    <hyperlink ref="A594" r:id="rId591" display="https://9607261.app.netsuite.com/app/reporting/reportrunner.nl?fromreport=320&amp;regtx,tranline,kacct,x,alltranline5,IN,x,x=950&amp;cr=293" xr:uid="{FC4199FE-AAA0-4BD5-AA9D-B1D93577B345}"/>
    <hyperlink ref="A595" r:id="rId592" display="https://9607261.app.netsuite.com/app/reporting/reportrunner.nl?fromreport=320&amp;regtx,tranline,kacct,x,alltranline5,IN,x,x=950&amp;cr=293" xr:uid="{75F74CE3-35DC-4E12-A9E6-CA18BD2999CF}"/>
    <hyperlink ref="A596" r:id="rId593" display="https://9607261.app.netsuite.com/app/reporting/reportrunner.nl?fromreport=320&amp;regtx,tranline,kacct,x,alltranline5,IN,x,x=950&amp;cr=293" xr:uid="{703B9139-A251-45E7-89AF-F1421E9E9029}"/>
    <hyperlink ref="A597" r:id="rId594" display="https://9607261.app.netsuite.com/app/reporting/reportrunner.nl?fromreport=320&amp;regtx,tranline,kacct,x,alltranline5,IN,x,x=950&amp;cr=293" xr:uid="{46B6A80D-B574-40BA-8865-3B3B6C2958BF}"/>
    <hyperlink ref="A598" r:id="rId595" display="https://9607261.app.netsuite.com/app/reporting/reportrunner.nl?fromreport=320&amp;regtx,tranline,kacct,x,alltranline5,IN,x,x=950&amp;cr=293" xr:uid="{2E35C228-D08A-42A2-A762-ADFA29DFBA05}"/>
    <hyperlink ref="A599" r:id="rId596" display="https://9607261.app.netsuite.com/app/reporting/reportrunner.nl?fromreport=320&amp;regtx,tranline,kacct,x,alltranline5,IN,x,x=950&amp;cr=293" xr:uid="{B691E7F7-841C-471D-8809-AB6FA6E4A847}"/>
    <hyperlink ref="A600" r:id="rId597" display="https://9607261.app.netsuite.com/app/reporting/reportrunner.nl?fromreport=320&amp;regtx,tranline,kacct,x,alltranline5,IN,x,x=950&amp;cr=293" xr:uid="{E976DFF2-3719-4176-AB7C-F72B0B3389CD}"/>
    <hyperlink ref="A601" r:id="rId598" display="https://9607261.app.netsuite.com/app/reporting/reportrunner.nl?fromreport=320&amp;regtx,tranline,kacct,x,alltranline5,IN,x,x=950&amp;cr=293" xr:uid="{D79D1619-1E00-46AB-9905-9925F0FD6D42}"/>
    <hyperlink ref="A602" r:id="rId599" display="https://9607261.app.netsuite.com/app/reporting/reportrunner.nl?fromreport=320&amp;regtx,tranline,kacct,x,alltranline5,IN,x,x=950&amp;cr=293" xr:uid="{3C13C2F1-1FA7-426C-8CEE-A3CB2D367182}"/>
    <hyperlink ref="A603" r:id="rId600" display="https://9607261.app.netsuite.com/app/reporting/reportrunner.nl?fromreport=320&amp;regtx,tranline,kacct,x,alltranline5,IN,x,x=950&amp;cr=293" xr:uid="{8F5115C1-B78F-4DAE-BCD0-173DF1053F19}"/>
    <hyperlink ref="A604" r:id="rId601" display="https://9607261.app.netsuite.com/app/reporting/reportrunner.nl?fromreport=320&amp;regtx,tranline,kacct,x,alltranline5,IN,x,x=950&amp;cr=293" xr:uid="{0AA8B973-DB79-4D18-9C5D-55AFD15F8767}"/>
    <hyperlink ref="A605" r:id="rId602" display="https://9607261.app.netsuite.com/app/reporting/reportrunner.nl?fromreport=320&amp;regtx,tranline,kacct,x,alltranline5,IN,x,x=950&amp;cr=293" xr:uid="{0ED7253F-02A4-4D50-B179-A3A4DD348069}"/>
    <hyperlink ref="A606" r:id="rId603" display="https://9607261.app.netsuite.com/app/reporting/reportrunner.nl?fromreport=320&amp;regtx,tranline,kacct,x,alltranline5,IN,x,x=950&amp;cr=293" xr:uid="{773580D7-09AB-4AB6-972B-58543388650B}"/>
    <hyperlink ref="A607" r:id="rId604" display="https://9607261.app.netsuite.com/app/reporting/reportrunner.nl?fromreport=320&amp;regtx,tranline,kacct,x,alltranline5,IN,x,x=950&amp;cr=293" xr:uid="{80741809-3A2F-4BD1-9684-D81C67A87F67}"/>
    <hyperlink ref="A608" r:id="rId605" display="https://9607261.app.netsuite.com/app/reporting/reportrunner.nl?fromreport=320&amp;regtx,tranline,kacct,x,alltranline5,IN,x,x=950&amp;cr=293" xr:uid="{6FB68996-F461-4FE3-B7D7-7E5A21DE14D7}"/>
    <hyperlink ref="A609" r:id="rId606" display="https://9607261.app.netsuite.com/app/reporting/reportrunner.nl?fromreport=320&amp;regtx,tranline,kacct,x,alltranline5,IN,x,x=950&amp;cr=293" xr:uid="{B9183F54-22AA-4527-8D4D-91AB431377F9}"/>
    <hyperlink ref="A610" r:id="rId607" display="https://9607261.app.netsuite.com/app/reporting/reportrunner.nl?fromreport=320&amp;regtx,tranline,kacct,x,alltranline5,IN,x,x=950&amp;cr=293" xr:uid="{5910D12E-48D9-4495-8609-9095E8360B4E}"/>
    <hyperlink ref="A611" r:id="rId608" display="https://9607261.app.netsuite.com/app/reporting/reportrunner.nl?fromreport=320&amp;regtx,tranline,kacct,x,alltranline5,IN,x,x=950&amp;cr=293" xr:uid="{A16B8E8D-E937-4175-8A97-0C7026FBAE2C}"/>
    <hyperlink ref="A612" r:id="rId609" display="https://9607261.app.netsuite.com/app/reporting/reportrunner.nl?fromreport=320&amp;regtx,tranline,kacct,x,alltranline5,IN,x,x=950&amp;cr=293" xr:uid="{B153DA79-3824-4630-ADDB-F62DA1951203}"/>
    <hyperlink ref="A613" r:id="rId610" display="https://9607261.app.netsuite.com/app/reporting/reportrunner.nl?fromreport=320&amp;regtx,tranline,kacct,x,alltranline5,IN,x,x=950&amp;cr=293" xr:uid="{766EB7A5-BD50-4E46-9767-B52B72D9B188}"/>
    <hyperlink ref="A614" r:id="rId611" display="https://9607261.app.netsuite.com/app/reporting/reportrunner.nl?fromreport=320&amp;regtx,tranline,kacct,x,alltranline5,IN,x,x=950&amp;cr=293" xr:uid="{55210706-36BA-4C64-A658-999D220AA2C3}"/>
    <hyperlink ref="A615" r:id="rId612" display="https://9607261.app.netsuite.com/app/reporting/reportrunner.nl?fromreport=320&amp;regtx,tranline,kacct,x,alltranline5,IN,x,x=950&amp;cr=293" xr:uid="{6513B712-4E06-4151-826A-A89FD0164865}"/>
    <hyperlink ref="A616" r:id="rId613" display="https://9607261.app.netsuite.com/app/reporting/reportrunner.nl?fromreport=320&amp;regtx,tranline,kacct,x,alltranline5,IN,x,x=950&amp;cr=293" xr:uid="{03AB12C9-E432-4DD7-BC3A-B085ADFD8D86}"/>
    <hyperlink ref="A617" r:id="rId614" display="https://9607261.app.netsuite.com/app/reporting/reportrunner.nl?fromreport=320&amp;regtx,tranline,kacct,x,alltranline5,IN,x,x=950&amp;cr=293" xr:uid="{86A4C681-45E6-4D4E-B65A-4F84A1E515B5}"/>
    <hyperlink ref="A618" r:id="rId615" display="https://9607261.app.netsuite.com/app/reporting/reportrunner.nl?fromreport=320&amp;regtx,tranline,kacct,x,alltranline5,IN,x,x=950&amp;cr=293" xr:uid="{367EDF74-1873-4E2E-A932-4A3F35ED6E68}"/>
    <hyperlink ref="A619" r:id="rId616" display="https://9607261.app.netsuite.com/app/reporting/reportrunner.nl?fromreport=320&amp;regtx,tranline,kacct,x,alltranline5,IN,x,x=950&amp;cr=293" xr:uid="{A830384C-DC7F-416F-A385-E82A28343DD9}"/>
    <hyperlink ref="A620" r:id="rId617" display="https://9607261.app.netsuite.com/app/reporting/reportrunner.nl?fromreport=320&amp;regtx,tranline,kacct,x,alltranline5,IN,x,x=950&amp;cr=293" xr:uid="{8A9835E3-8E20-4C39-ABAE-ADF02B1BAD4E}"/>
    <hyperlink ref="A621" r:id="rId618" display="https://9607261.app.netsuite.com/app/reporting/reportrunner.nl?fromreport=320&amp;regtx,tranline,kacct,x,alltranline5,IN,x,x=950&amp;cr=293" xr:uid="{C54C0FE6-D43A-4971-99FF-0B4698E7B63D}"/>
    <hyperlink ref="A622" r:id="rId619" display="https://9607261.app.netsuite.com/app/reporting/reportrunner.nl?fromreport=320&amp;regtx,tranline,kacct,x,alltranline5,IN,x,x=950&amp;cr=293" xr:uid="{A78B8EEC-9DF0-4BEC-81AF-7FA453067EDC}"/>
    <hyperlink ref="A623" r:id="rId620" display="https://9607261.app.netsuite.com/app/reporting/reportrunner.nl?fromreport=320&amp;regtx,tranline,kacct,x,alltranline5,IN,x,x=950&amp;cr=293" xr:uid="{BA592F58-01A8-4366-96B6-890CC34FF7BC}"/>
    <hyperlink ref="A624" r:id="rId621" display="https://9607261.app.netsuite.com/app/reporting/reportrunner.nl?fromreport=320&amp;regtx,tranline,kacct,x,alltranline5,IN,x,x=950&amp;cr=293" xr:uid="{97629E35-4530-45E9-85CC-A18DD342A667}"/>
    <hyperlink ref="A625" r:id="rId622" display="https://9607261.app.netsuite.com/app/reporting/reportrunner.nl?fromreport=320&amp;regtx,tranline,kacct,x,alltranline5,IN,x,x=950&amp;cr=293" xr:uid="{33BC23C7-BE01-4D34-9B83-FE05D00EFCAE}"/>
    <hyperlink ref="A626" r:id="rId623" display="https://9607261.app.netsuite.com/app/reporting/reportrunner.nl?fromreport=320&amp;regtx,tranline,kacct,x,alltranline5,IN,x,x=950&amp;cr=293" xr:uid="{20097166-37A0-4B6C-995B-E272122285ED}"/>
    <hyperlink ref="A627" r:id="rId624" display="https://9607261.app.netsuite.com/app/reporting/reportrunner.nl?fromreport=320&amp;regtx,tranline,kacct,x,alltranline5,IN,x,x=950&amp;cr=293" xr:uid="{2E7894DF-BB0A-4D59-95A0-8B6AEA3E18C6}"/>
    <hyperlink ref="A628" r:id="rId625" display="https://9607261.app.netsuite.com/app/reporting/reportrunner.nl?fromreport=320&amp;regtx,tranline,kacct,x,alltranline5,IN,x,x=950&amp;cr=293" xr:uid="{339BEBD7-6384-43BE-B2CD-4887ACC93494}"/>
    <hyperlink ref="A629" r:id="rId626" display="https://9607261.app.netsuite.com/app/reporting/reportrunner.nl?fromreport=320&amp;regtx,tranline,kacct,x,alltranline5,IN,x,x=950&amp;cr=293" xr:uid="{D214C173-CB74-4588-90DA-900B2CCDF086}"/>
    <hyperlink ref="A630" r:id="rId627" display="https://9607261.app.netsuite.com/app/reporting/reportrunner.nl?fromreport=320&amp;regtx,tranline,kacct,x,alltranline5,IN,x,x=950&amp;cr=293" xr:uid="{EA2C3CCF-1A3B-4F33-B71B-CB6DF1B8E37A}"/>
    <hyperlink ref="A631" r:id="rId628" display="https://9607261.app.netsuite.com/app/reporting/reportrunner.nl?fromreport=320&amp;regtx,tranline,kacct,x,alltranline5,IN,x,x=950&amp;cr=293" xr:uid="{1488960B-622B-47DA-93F3-6CA799B60C98}"/>
    <hyperlink ref="A632" r:id="rId629" display="https://9607261.app.netsuite.com/app/reporting/reportrunner.nl?fromreport=320&amp;regtx,tranline,kacct,x,alltranline5,IN,x,x=950&amp;cr=293" xr:uid="{41F463DF-281D-4DF3-87E0-C5CD7CC28EB2}"/>
    <hyperlink ref="A633" r:id="rId630" display="https://9607261.app.netsuite.com/app/reporting/reportrunner.nl?fromreport=320&amp;regtx,tranline,kacct,x,alltranline5,IN,x,x=950&amp;cr=293" xr:uid="{BE3658A1-BA1C-47F8-99A9-E28759DF1628}"/>
    <hyperlink ref="A634" r:id="rId631" display="https://9607261.app.netsuite.com/app/reporting/reportrunner.nl?fromreport=320&amp;regtx,tranline,kacct,x,alltranline5,IN,x,x=950&amp;cr=293" xr:uid="{90D831A3-3D03-46C2-91D3-714596B51D04}"/>
    <hyperlink ref="A635" r:id="rId632" display="https://9607261.app.netsuite.com/app/reporting/reportrunner.nl?fromreport=320&amp;regtx,tranline,kacct,x,alltranline5,IN,x,x=950&amp;cr=293" xr:uid="{1859B7DE-E394-4F99-92B5-0D6EBC7CF5DF}"/>
    <hyperlink ref="A636" r:id="rId633" display="https://9607261.app.netsuite.com/app/reporting/reportrunner.nl?fromreport=320&amp;regtx,tranline,kacct,x,alltranline5,IN,x,x=950&amp;cr=293" xr:uid="{C48B6BD8-C860-4358-BA3D-3B7139C1BF40}"/>
    <hyperlink ref="A637" r:id="rId634" display="https://9607261.app.netsuite.com/app/reporting/reportrunner.nl?fromreport=320&amp;regtx,tranline,kacct,x,alltranline5,IN,x,x=950&amp;cr=293" xr:uid="{7971DBD0-4380-411B-91A8-21E69F09978D}"/>
    <hyperlink ref="A638" r:id="rId635" display="https://9607261.app.netsuite.com/app/reporting/reportrunner.nl?fromreport=320&amp;regtx,tranline,kacct,x,alltranline5,IN,x,x=950&amp;cr=293" xr:uid="{53D9256F-6175-4319-965A-9888B6692119}"/>
    <hyperlink ref="A639" r:id="rId636" display="https://9607261.app.netsuite.com/app/reporting/reportrunner.nl?fromreport=320&amp;regtx,tranline,kacct,x,alltranline5,IN,x,x=950&amp;cr=293" xr:uid="{A6C2548F-C810-419E-807B-7F31A8FC0432}"/>
    <hyperlink ref="A640" r:id="rId637" display="https://9607261.app.netsuite.com/app/reporting/reportrunner.nl?fromreport=320&amp;regtx,tranline,kacct,x,alltranline5,IN,x,x=950&amp;cr=293" xr:uid="{F8213B62-E2B9-4B05-B6E3-B0C1104FFDE9}"/>
    <hyperlink ref="A641" r:id="rId638" display="https://9607261.app.netsuite.com/app/reporting/reportrunner.nl?fromreport=320&amp;regtx,tranline,kacct,x,alltranline5,IN,x,x=950&amp;cr=293" xr:uid="{2BDC3AC6-63B1-4DF2-9B3C-241D5834815C}"/>
    <hyperlink ref="A642" r:id="rId639" display="https://9607261.app.netsuite.com/app/reporting/reportrunner.nl?fromreport=320&amp;regtx,tranline,kacct,x,alltranline5,IN,x,x=950&amp;cr=293" xr:uid="{645056A2-4AE7-4B7C-A9F3-04701D2993D2}"/>
    <hyperlink ref="A643" r:id="rId640" display="https://9607261.app.netsuite.com/app/reporting/reportrunner.nl?fromreport=320&amp;regtx,tranline,kacct,x,alltranline5,IN,x,x=950&amp;cr=293" xr:uid="{F992D943-4192-41F5-82D0-26C7F9437F67}"/>
    <hyperlink ref="A644" r:id="rId641" display="https://9607261.app.netsuite.com/app/reporting/reportrunner.nl?fromreport=320&amp;regtx,tranline,kacct,x,alltranline5,IN,x,x=950&amp;cr=293" xr:uid="{C0F2033C-60EE-4390-B17E-BDA1D1AB502C}"/>
    <hyperlink ref="A645" r:id="rId642" display="https://9607261.app.netsuite.com/app/reporting/reportrunner.nl?fromreport=320&amp;regtx,tranline,kacct,x,alltranline5,IN,x,x=950&amp;cr=293" xr:uid="{488934CB-9BC5-451A-861F-554D999A72CD}"/>
    <hyperlink ref="A646" r:id="rId643" display="https://9607261.app.netsuite.com/app/reporting/reportrunner.nl?fromreport=320&amp;regtx,tranline,kacct,x,alltranline5,IN,x,x=950&amp;cr=293" xr:uid="{A5D74554-BA84-49E9-9EE2-A3996FF3E3CE}"/>
    <hyperlink ref="A647" r:id="rId644" display="https://9607261.app.netsuite.com/app/reporting/reportrunner.nl?fromreport=320&amp;regtx,tranline,kacct,x,alltranline5,IN,x,x=950&amp;cr=293" xr:uid="{65C92406-725F-41A0-AAC5-D13E7BAE5D80}"/>
    <hyperlink ref="A648" r:id="rId645" display="https://9607261.app.netsuite.com/app/reporting/reportrunner.nl?fromreport=320&amp;regtx,tranline,kacct,x,alltranline5,IN,x,x=950&amp;cr=293" xr:uid="{BDA0583B-F3D7-4F92-B5E2-67A6D4F450C0}"/>
    <hyperlink ref="A649" r:id="rId646" display="https://9607261.app.netsuite.com/app/reporting/reportrunner.nl?fromreport=320&amp;regtx,tranline,kacct,x,alltranline5,IN,x,x=950&amp;cr=293" xr:uid="{2280C314-5F8B-4E20-9450-1C42106ACBB3}"/>
    <hyperlink ref="A650" r:id="rId647" display="https://9607261.app.netsuite.com/app/reporting/reportrunner.nl?fromreport=320&amp;regtx,tranline,kacct,x,alltranline5,IN,x,x=950&amp;cr=293" xr:uid="{F59BDDF6-5F05-44FC-91A6-55C6DBE41129}"/>
    <hyperlink ref="A651" r:id="rId648" display="https://9607261.app.netsuite.com/app/reporting/reportrunner.nl?fromreport=320&amp;regtx,tranline,kacct,x,alltranline5,IN,x,x=950&amp;cr=293" xr:uid="{55DD165A-1598-4184-974E-47581B2C6DC7}"/>
    <hyperlink ref="A652" r:id="rId649" display="https://9607261.app.netsuite.com/app/reporting/reportrunner.nl?fromreport=320&amp;regtx,tranline,kacct,x,alltranline5,IN,x,x=950&amp;cr=293" xr:uid="{FFD2867B-6662-42BB-A12E-56EC21D3435D}"/>
    <hyperlink ref="A653" r:id="rId650" display="https://9607261.app.netsuite.com/app/reporting/reportrunner.nl?fromreport=320&amp;regtx,tranline,kacct,x,alltranline5,IN,x,x=950&amp;cr=293" xr:uid="{0F81856B-5D75-442B-984E-6FF77841ABB0}"/>
    <hyperlink ref="A654" r:id="rId651" display="https://9607261.app.netsuite.com/app/reporting/reportrunner.nl?fromreport=320&amp;regtx,tranline,kacct,x,alltranline5,IN,x,x=950&amp;cr=293" xr:uid="{109E4D89-24A1-4297-8187-41714E0410A4}"/>
    <hyperlink ref="A655" r:id="rId652" display="https://9607261.app.netsuite.com/app/reporting/reportrunner.nl?fromreport=320&amp;regtx,tranline,kacct,x,alltranline5,IN,x,x=950&amp;cr=293" xr:uid="{439906A9-26C2-41CA-B045-B0BCC5DF9433}"/>
    <hyperlink ref="A656" r:id="rId653" display="https://9607261.app.netsuite.com/app/reporting/reportrunner.nl?fromreport=320&amp;regtx,tranline,kacct,x,alltranline5,IN,x,x=950&amp;cr=293" xr:uid="{878677C6-6098-4DB9-B643-D2DBACC3224F}"/>
    <hyperlink ref="A657" r:id="rId654" display="https://9607261.app.netsuite.com/app/reporting/reportrunner.nl?fromreport=320&amp;regtx,tranline,kacct,x,alltranline5,IN,x,x=950&amp;cr=293" xr:uid="{B4419744-A84F-4861-ADFC-74B8C0BFC4AA}"/>
    <hyperlink ref="A658" r:id="rId655" display="https://9607261.app.netsuite.com/app/reporting/reportrunner.nl?fromreport=320&amp;regtx,tranline,kacct,x,alltranline5,IN,x,x=950&amp;cr=293" xr:uid="{C0EA95A8-BB74-4AF1-A460-3B1DEA5FF772}"/>
    <hyperlink ref="A659" r:id="rId656" display="https://9607261.app.netsuite.com/app/reporting/reportrunner.nl?fromreport=320&amp;regtx,tranline,kacct,x,alltranline5,IN,x,x=950&amp;cr=293" xr:uid="{C0A09E4F-6E46-4BED-996E-41FACEA84F65}"/>
    <hyperlink ref="A660" r:id="rId657" display="https://9607261.app.netsuite.com/app/reporting/reportrunner.nl?fromreport=320&amp;regtx,tranline,kacct,x,alltranline5,IN,x,x=950&amp;cr=293" xr:uid="{0907F879-AC39-475F-ADE9-B2D558672A10}"/>
    <hyperlink ref="A661" r:id="rId658" display="https://9607261.app.netsuite.com/app/reporting/reportrunner.nl?fromreport=320&amp;regtx,tranline,kacct,x,alltranline5,IN,x,x=950&amp;cr=293" xr:uid="{650F547A-253A-4F46-8C65-0C1EDB53656C}"/>
    <hyperlink ref="A662" r:id="rId659" display="https://9607261.app.netsuite.com/app/reporting/reportrunner.nl?fromreport=320&amp;regtx,tranline,kacct,x,alltranline5,IN,x,x=950&amp;cr=293" xr:uid="{E991E6EA-9255-4078-9986-A4AE760B5DB8}"/>
    <hyperlink ref="A663" r:id="rId660" display="https://9607261.app.netsuite.com/app/reporting/reportrunner.nl?fromreport=320&amp;regtx,tranline,kacct,x,alltranline5,IN,x,x=950&amp;cr=293" xr:uid="{2CB38D86-0D1D-4073-BD85-1A03DF171FB4}"/>
    <hyperlink ref="A664" r:id="rId661" display="https://9607261.app.netsuite.com/app/reporting/reportrunner.nl?fromreport=320&amp;regtx,tranline,kacct,x,alltranline5,IN,x,x=950&amp;cr=293" xr:uid="{284FBEF4-C592-4D31-8F12-5CA31B10A60C}"/>
    <hyperlink ref="A665" r:id="rId662" display="https://9607261.app.netsuite.com/app/reporting/reportrunner.nl?fromreport=320&amp;regtx,tranline,kacct,x,alltranline5,IN,x,x=950&amp;cr=293" xr:uid="{472CCC60-1B0E-4973-A15F-56BEEE643CB4}"/>
    <hyperlink ref="A666" r:id="rId663" display="https://9607261.app.netsuite.com/app/reporting/reportrunner.nl?fromreport=320&amp;regtx,tranline,kacct,x,alltranline5,IN,x,x=950&amp;cr=293" xr:uid="{4D777EFD-EBE5-4C35-98CB-8F2E9FDEFF83}"/>
    <hyperlink ref="A667" r:id="rId664" display="https://9607261.app.netsuite.com/app/reporting/reportrunner.nl?fromreport=320&amp;regtx,tranline,kacct,x,alltranline5,IN,x,x=950&amp;cr=293" xr:uid="{9D1EA85E-ADA6-42A0-8ED8-A0781767ED28}"/>
    <hyperlink ref="A668" r:id="rId665" display="https://9607261.app.netsuite.com/app/reporting/reportrunner.nl?fromreport=320&amp;regtx,tranline,kacct,x,alltranline5,IN,x,x=950&amp;cr=293" xr:uid="{3316C661-B0E0-4432-9AE3-9ADDA540DE5E}"/>
    <hyperlink ref="A669" r:id="rId666" display="https://9607261.app.netsuite.com/app/reporting/reportrunner.nl?fromreport=320&amp;regtx,tranline,kacct,x,alltranline5,IN,x,x=950&amp;cr=293" xr:uid="{93892677-0FD1-4298-9A5C-5B92CA496B42}"/>
    <hyperlink ref="A670" r:id="rId667" display="https://9607261.app.netsuite.com/app/reporting/reportrunner.nl?fromreport=320&amp;regtx,tranline,kacct,x,alltranline5,IN,x,x=950&amp;cr=293" xr:uid="{A22E45FE-8212-4172-9B1A-790D69065648}"/>
    <hyperlink ref="A671" r:id="rId668" display="https://9607261.app.netsuite.com/app/reporting/reportrunner.nl?fromreport=320&amp;regtx,tranline,kacct,x,alltranline5,IN,x,x=950&amp;cr=293" xr:uid="{E7F920C6-2E3F-4C06-A1AA-D32A8D269B49}"/>
    <hyperlink ref="A672" r:id="rId669" display="https://9607261.app.netsuite.com/app/reporting/reportrunner.nl?fromreport=320&amp;regtx,tranline,kacct,x,alltranline5,IN,x,x=950&amp;cr=293" xr:uid="{CD003108-1D31-4AB8-A7AF-7988F8589C54}"/>
    <hyperlink ref="A673" r:id="rId670" display="https://9607261.app.netsuite.com/app/reporting/reportrunner.nl?fromreport=320&amp;regtx,tranline,kacct,x,alltranline5,IN,x,x=950&amp;cr=293" xr:uid="{6CACB6B7-8CF3-4073-B29F-AD678613B480}"/>
    <hyperlink ref="A674" r:id="rId671" display="https://9607261.app.netsuite.com/app/reporting/reportrunner.nl?fromreport=320&amp;regtx,tranline,kacct,x,alltranline5,IN,x,x=950&amp;cr=293" xr:uid="{EC71786C-0803-4B55-A87A-82AE89517251}"/>
    <hyperlink ref="A675" r:id="rId672" display="https://9607261.app.netsuite.com/app/reporting/reportrunner.nl?fromreport=320&amp;regtx,tranline,kacct,x,alltranline5,IN,x,x=950&amp;cr=293" xr:uid="{0E3BF63E-5213-4D63-BCDA-0F7256C017AF}"/>
    <hyperlink ref="A676" r:id="rId673" display="https://9607261.app.netsuite.com/app/reporting/reportrunner.nl?fromreport=320&amp;regtx,tranline,kacct,x,alltranline5,IN,x,x=950&amp;cr=293" xr:uid="{441B2C36-5E08-4F80-8284-52F8099F3A5E}"/>
    <hyperlink ref="A677" r:id="rId674" display="https://9607261.app.netsuite.com/app/reporting/reportrunner.nl?fromreport=320&amp;regtx,tranline,kacct,x,alltranline5,IN,x,x=950&amp;cr=293" xr:uid="{B2E52DC0-41EE-4C09-AD6B-BF983FB3B5CA}"/>
    <hyperlink ref="A678" r:id="rId675" display="https://9607261.app.netsuite.com/app/reporting/reportrunner.nl?fromreport=320&amp;regtx,tranline,kacct,x,alltranline5,IN,x,x=950&amp;cr=293" xr:uid="{37392A3C-30F3-43E0-9319-00B7B3220B00}"/>
    <hyperlink ref="A679" r:id="rId676" display="https://9607261.app.netsuite.com/app/reporting/reportrunner.nl?fromreport=320&amp;regtx,tranline,kacct,x,alltranline5,IN,x,x=950&amp;cr=293" xr:uid="{3A52F003-398C-46AC-A7D3-90B25BD20B23}"/>
    <hyperlink ref="A680" r:id="rId677" display="https://9607261.app.netsuite.com/app/reporting/reportrunner.nl?fromreport=320&amp;regtx,tranline,kacct,x,alltranline5,IN,x,x=950&amp;cr=293" xr:uid="{D4380BCC-7C9C-41F1-99AE-54A19660F0B5}"/>
    <hyperlink ref="A681" r:id="rId678" display="https://9607261.app.netsuite.com/app/reporting/reportrunner.nl?fromreport=320&amp;regtx,tranline,kacct,x,alltranline5,IN,x,x=950&amp;cr=293" xr:uid="{F13DBF69-16D7-41B6-88DF-A18296642313}"/>
    <hyperlink ref="A682" r:id="rId679" display="https://9607261.app.netsuite.com/app/reporting/reportrunner.nl?fromreport=320&amp;regtx,tranline,kacct,x,alltranline5,IN,x,x=950&amp;cr=293" xr:uid="{8DA52D56-F706-458A-90B3-13124ED42096}"/>
    <hyperlink ref="A683" r:id="rId680" display="https://9607261.app.netsuite.com/app/reporting/reportrunner.nl?fromreport=320&amp;regtx,tranline,kacct,x,alltranline5,IN,x,x=950&amp;cr=293" xr:uid="{A3233816-E1DA-4261-ACD4-FBF464F6EB2C}"/>
    <hyperlink ref="A684" r:id="rId681" display="https://9607261.app.netsuite.com/app/reporting/reportrunner.nl?fromreport=320&amp;regtx,tranline,kacct,x,alltranline5,IN,x,x=950&amp;cr=293" xr:uid="{BEC4032C-5BC5-4CB3-929E-480371F359BB}"/>
    <hyperlink ref="A685" r:id="rId682" display="https://9607261.app.netsuite.com/app/reporting/reportrunner.nl?fromreport=320&amp;regtx,tranline,kacct,x,alltranline5,IN,x,x=950&amp;cr=293" xr:uid="{3DD577BA-DB48-4913-93D6-7C94EA68A672}"/>
    <hyperlink ref="A686" r:id="rId683" display="https://9607261.app.netsuite.com/app/reporting/reportrunner.nl?fromreport=320&amp;regtx,tranline,kacct,x,alltranline5,IN,x,x=950&amp;cr=293" xr:uid="{CA5F8DA8-4F48-42CE-BB23-AB048B58D89A}"/>
    <hyperlink ref="A687" r:id="rId684" display="https://9607261.app.netsuite.com/app/reporting/reportrunner.nl?fromreport=320&amp;regtx,tranline,kacct,x,alltranline5,IN,x,x=950&amp;cr=293" xr:uid="{AB4F8EA6-034E-4B14-ACC2-5E6CDB32DAC8}"/>
    <hyperlink ref="A688" r:id="rId685" display="https://9607261.app.netsuite.com/app/reporting/reportrunner.nl?fromreport=320&amp;regtx,tranline,kacct,x,alltranline5,IN,x,x=950&amp;cr=293" xr:uid="{47160153-E34B-489E-84B3-C14681C574FF}"/>
    <hyperlink ref="A689" r:id="rId686" display="https://9607261.app.netsuite.com/app/reporting/reportrunner.nl?fromreport=320&amp;regtx,tranline,kacct,x,alltranline5,IN,x,x=950&amp;cr=293" xr:uid="{A2BFC7D6-0E4D-4531-AEBD-4209907ED5D7}"/>
    <hyperlink ref="A690" r:id="rId687" display="https://9607261.app.netsuite.com/app/reporting/reportrunner.nl?fromreport=320&amp;regtx,tranline,kacct,x,alltranline5,IN,x,x=950&amp;cr=293" xr:uid="{EF9B4249-D34C-4526-8AC9-28EC0732B124}"/>
    <hyperlink ref="A691" r:id="rId688" display="https://9607261.app.netsuite.com/app/reporting/reportrunner.nl?fromreport=320&amp;regtx,tranline,kacct,x,alltranline5,IN,x,x=950&amp;cr=293" xr:uid="{27446FCD-505F-4B08-88A0-921E5432E6AD}"/>
    <hyperlink ref="A692" r:id="rId689" display="https://9607261.app.netsuite.com/app/reporting/reportrunner.nl?fromreport=320&amp;regtx,tranline,kacct,x,alltranline5,IN,x,x=950&amp;cr=293" xr:uid="{9628FF53-4B9C-4016-8A64-8F35A5620E06}"/>
    <hyperlink ref="A693" r:id="rId690" display="https://9607261.app.netsuite.com/app/reporting/reportrunner.nl?fromreport=320&amp;regtx,tranline,kacct,x,alltranline5,IN,x,x=950&amp;cr=293" xr:uid="{05590CC9-2E8F-4BC8-B23C-9293217A1108}"/>
    <hyperlink ref="A694" r:id="rId691" display="https://9607261.app.netsuite.com/app/reporting/reportrunner.nl?fromreport=320&amp;regtx,tranline,kacct,x,alltranline5,IN,x,x=950&amp;cr=293" xr:uid="{87AB1D5F-E9F5-4A07-A1AB-6149523F2566}"/>
    <hyperlink ref="A695" r:id="rId692" display="https://9607261.app.netsuite.com/app/reporting/reportrunner.nl?fromreport=320&amp;regtx,tranline,kacct,x,alltranline5,IN,x,x=950&amp;cr=293" xr:uid="{EA099F89-764E-422E-845D-9435C5A0C497}"/>
    <hyperlink ref="A696" r:id="rId693" display="https://9607261.app.netsuite.com/app/reporting/reportrunner.nl?fromreport=320&amp;regtx,tranline,kacct,x,alltranline5,IN,x,x=950&amp;cr=293" xr:uid="{9928D184-C681-4A2F-AADB-B94A69C517EC}"/>
    <hyperlink ref="A697" r:id="rId694" display="https://9607261.app.netsuite.com/app/reporting/reportrunner.nl?fromreport=320&amp;regtx,tranline,kacct,x,alltranline5,IN,x,x=950&amp;cr=293" xr:uid="{701DB2AB-AAD9-41BC-9663-A1E63ABD0604}"/>
    <hyperlink ref="A698" r:id="rId695" display="https://9607261.app.netsuite.com/app/reporting/reportrunner.nl?fromreport=320&amp;regtx,tranline,kacct,x,alltranline5,IN,x,x=950&amp;cr=293" xr:uid="{50826550-EABA-41C9-AC99-161F3805290F}"/>
    <hyperlink ref="A699" r:id="rId696" display="https://9607261.app.netsuite.com/app/reporting/reportrunner.nl?fromreport=320&amp;regtx,tranline,kacct,x,alltranline5,IN,x,x=950&amp;cr=293" xr:uid="{BA076401-6A9A-4658-AB86-64171C77393B}"/>
    <hyperlink ref="A700" r:id="rId697" display="https://9607261.app.netsuite.com/app/reporting/reportrunner.nl?fromreport=320&amp;regtx,tranline,kacct,x,alltranline5,IN,x,x=950&amp;cr=293" xr:uid="{C0879337-E6FD-43C3-93F7-1252DD390158}"/>
    <hyperlink ref="A701" r:id="rId698" display="https://9607261.app.netsuite.com/app/reporting/reportrunner.nl?fromreport=320&amp;regtx,tranline,kacct,x,alltranline5,IN,x,x=950&amp;cr=293" xr:uid="{A6A9F847-D937-4671-817F-D72EA5C24727}"/>
    <hyperlink ref="A702" r:id="rId699" display="https://9607261.app.netsuite.com/app/reporting/reportrunner.nl?fromreport=320&amp;regtx,tranline,kacct,x,alltranline5,IN,x,x=950&amp;cr=293" xr:uid="{67E94BF6-3A4A-452F-9387-386A496D57CF}"/>
    <hyperlink ref="A703" r:id="rId700" display="https://9607261.app.netsuite.com/app/reporting/reportrunner.nl?fromreport=320&amp;regtx,tranline,kacct,x,alltranline5,IN,x,x=950&amp;cr=293" xr:uid="{0D9E4AA6-F3F4-47CE-B79D-D376C14D974E}"/>
    <hyperlink ref="A704" r:id="rId701" display="https://9607261.app.netsuite.com/app/reporting/reportrunner.nl?fromreport=320&amp;regtx,tranline,kacct,x,alltranline5,IN,x,x=950&amp;cr=293" xr:uid="{FCA0C14C-A18D-4C1A-9EC4-23A9FE06D012}"/>
    <hyperlink ref="A705" r:id="rId702" display="https://9607261.app.netsuite.com/app/reporting/reportrunner.nl?fromreport=320&amp;regtx,tranline,kacct,x,alltranline5,IN,x,x=950&amp;cr=293" xr:uid="{F4217086-AD43-4710-84ED-47AB02A217FA}"/>
    <hyperlink ref="A706" r:id="rId703" display="https://9607261.app.netsuite.com/app/reporting/reportrunner.nl?fromreport=320&amp;regtx,tranline,kacct,x,alltranline5,IN,x,x=950&amp;cr=293" xr:uid="{99C59977-774D-452D-9C2B-9A68DED79CCC}"/>
    <hyperlink ref="A707" r:id="rId704" display="https://9607261.app.netsuite.com/app/reporting/reportrunner.nl?fromreport=320&amp;regtx,tranline,kacct,x,alltranline5,IN,x,x=950&amp;cr=293" xr:uid="{61868BFF-D661-4B94-A702-E52428CE460E}"/>
    <hyperlink ref="A708" r:id="rId705" display="https://9607261.app.netsuite.com/app/reporting/reportrunner.nl?fromreport=320&amp;regtx,tranline,kacct,x,alltranline5,IN,x,x=950&amp;cr=293" xr:uid="{327F91AB-1001-40AA-AB4E-CE9DCCA4AE96}"/>
    <hyperlink ref="A709" r:id="rId706" display="https://9607261.app.netsuite.com/app/reporting/reportrunner.nl?fromreport=320&amp;regtx,tranline,kacct,x,alltranline5,IN,x,x=950&amp;cr=293" xr:uid="{166E313D-897E-42D9-8D03-D3D51A6AEF90}"/>
    <hyperlink ref="A710" r:id="rId707" display="https://9607261.app.netsuite.com/app/reporting/reportrunner.nl?fromreport=320&amp;regtx,tranline,kacct,x,alltranline5,IN,x,x=950&amp;cr=293" xr:uid="{67C9BA7D-7622-4776-8754-F4A0559A650F}"/>
    <hyperlink ref="A711" r:id="rId708" display="https://9607261.app.netsuite.com/app/reporting/reportrunner.nl?fromreport=320&amp;regtx,tranline,kacct,x,alltranline5,IN,x,x=950&amp;cr=293" xr:uid="{7195CF94-B525-4B13-A5F6-E87114C73CBB}"/>
    <hyperlink ref="A712" r:id="rId709" display="https://9607261.app.netsuite.com/app/reporting/reportrunner.nl?fromreport=320&amp;regtx,tranline,kacct,x,alltranline5,IN,x,x=950&amp;cr=293" xr:uid="{A1593EFA-A38D-41FB-9E5F-5182E8B339B7}"/>
    <hyperlink ref="A713" r:id="rId710" display="https://9607261.app.netsuite.com/app/reporting/reportrunner.nl?fromreport=320&amp;regtx,tranline,kacct,x,alltranline5,IN,x,x=950&amp;cr=293" xr:uid="{0D1EBDB1-41F6-4ED6-AFD1-8EC8141ECF0A}"/>
    <hyperlink ref="A714" r:id="rId711" display="https://9607261.app.netsuite.com/app/reporting/reportrunner.nl?fromreport=320&amp;regtx,tranline,kacct,x,alltranline5,IN,x,x=950&amp;cr=293" xr:uid="{552BD257-E2FE-426C-8C6E-0F6A63AA632C}"/>
    <hyperlink ref="A715" r:id="rId712" display="https://9607261.app.netsuite.com/app/reporting/reportrunner.nl?fromreport=320&amp;regtx,tranline,kacct,x,alltranline5,IN,x,x=950&amp;cr=293" xr:uid="{F4362FBC-F003-409F-8074-CF5E09ACED5F}"/>
    <hyperlink ref="A716" r:id="rId713" display="https://9607261.app.netsuite.com/app/reporting/reportrunner.nl?fromreport=320&amp;regtx,tranline,kacct,x,alltranline5,IN,x,x=950&amp;cr=293" xr:uid="{6730DDAE-C882-4275-BFAE-E966C7B04DB2}"/>
    <hyperlink ref="A717" r:id="rId714" display="https://9607261.app.netsuite.com/app/reporting/reportrunner.nl?fromreport=320&amp;regtx,tranline,kacct,x,alltranline5,IN,x,x=950&amp;cr=293" xr:uid="{784397D4-CB04-4523-8FD2-5F6987C463AA}"/>
    <hyperlink ref="A718" r:id="rId715" display="https://9607261.app.netsuite.com/app/reporting/reportrunner.nl?fromreport=320&amp;regtx,tranline,kacct,x,alltranline5,IN,x,x=950&amp;cr=293" xr:uid="{FA2BCDEC-F431-43A6-AEE4-047147249ACE}"/>
    <hyperlink ref="A719" r:id="rId716" display="https://9607261.app.netsuite.com/app/reporting/reportrunner.nl?fromreport=320&amp;regtx,tranline,kacct,x,alltranline5,IN,x,x=950&amp;cr=293" xr:uid="{E7FA57DD-8775-40FC-9564-7D6840922956}"/>
    <hyperlink ref="A720" r:id="rId717" display="https://9607261.app.netsuite.com/app/reporting/reportrunner.nl?fromreport=320&amp;regtx,tranline,kacct,x,alltranline5,IN,x,x=950&amp;cr=293" xr:uid="{C3BBDF19-9C9E-485F-9E05-5169938C2763}"/>
    <hyperlink ref="A721" r:id="rId718" display="https://9607261.app.netsuite.com/app/reporting/reportrunner.nl?fromreport=320&amp;regtx,tranline,kacct,x,alltranline5,IN,x,x=950&amp;cr=293" xr:uid="{9E62DBC2-543D-4776-B53A-8D1E8F14D8A3}"/>
    <hyperlink ref="A722" r:id="rId719" display="https://9607261.app.netsuite.com/app/reporting/reportrunner.nl?fromreport=320&amp;regtx,tranline,kacct,x,alltranline5,IN,x,x=950&amp;cr=293" xr:uid="{2CCC4A03-08C2-4054-AE30-C9E5AA85C70E}"/>
    <hyperlink ref="A723" r:id="rId720" display="https://9607261.app.netsuite.com/app/reporting/reportrunner.nl?fromreport=320&amp;regtx,tranline,kacct,x,alltranline5,IN,x,x=950&amp;cr=293" xr:uid="{9CE33B90-1B87-44C6-8BBB-1C34DBBFF142}"/>
    <hyperlink ref="A724" r:id="rId721" display="https://9607261.app.netsuite.com/app/reporting/reportrunner.nl?fromreport=320&amp;regtx,tranline,kacct,x,alltranline5,IN,x,x=950&amp;cr=293" xr:uid="{037105A1-4B7B-497F-83FD-E0552B0ED916}"/>
    <hyperlink ref="A725" r:id="rId722" display="https://9607261.app.netsuite.com/app/reporting/reportrunner.nl?fromreport=320&amp;regtx,tranline,kacct,x,alltranline5,IN,x,x=950&amp;cr=293" xr:uid="{4F5AE4DC-693D-4FE5-A8E4-E0DE638E6976}"/>
    <hyperlink ref="A726" r:id="rId723" display="https://9607261.app.netsuite.com/app/reporting/reportrunner.nl?fromreport=320&amp;regtx,tranline,kacct,x,alltranline5,IN,x,x=950&amp;cr=293" xr:uid="{A5B74D23-FFA3-42F9-9464-87AEC422132A}"/>
    <hyperlink ref="A727" r:id="rId724" display="https://9607261.app.netsuite.com/app/reporting/reportrunner.nl?fromreport=320&amp;regtx,tranline,kacct,x,alltranline5,IN,x,x=950&amp;cr=293" xr:uid="{60BCD368-1ACC-4C3B-97A9-0A043B45037A}"/>
    <hyperlink ref="A728" r:id="rId725" display="https://9607261.app.netsuite.com/app/reporting/reportrunner.nl?fromreport=320&amp;regtx,tranline,kacct,x,alltranline5,IN,x,x=950&amp;cr=293" xr:uid="{B663E584-2F3D-4585-96DD-AA7703ABA406}"/>
    <hyperlink ref="A729" r:id="rId726" display="https://9607261.app.netsuite.com/app/reporting/reportrunner.nl?fromreport=320&amp;regtx,tranline,kacct,x,alltranline5,IN,x,x=950&amp;cr=293" xr:uid="{649896E9-8162-439B-B136-B800DB81FFBF}"/>
    <hyperlink ref="A730" r:id="rId727" display="https://9607261.app.netsuite.com/app/reporting/reportrunner.nl?fromreport=320&amp;regtx,tranline,kacct,x,alltranline5,IN,x,x=950&amp;cr=293" xr:uid="{1882F6B6-BC03-4201-91D7-A609D5B1F78E}"/>
    <hyperlink ref="A731" r:id="rId728" display="https://9607261.app.netsuite.com/app/reporting/reportrunner.nl?fromreport=320&amp;regtx,tranline,kacct,x,alltranline5,IN,x,x=950&amp;cr=293" xr:uid="{50223BD6-15E8-4144-927D-55C5C36317BF}"/>
    <hyperlink ref="A732" r:id="rId729" display="https://9607261.app.netsuite.com/app/reporting/reportrunner.nl?fromreport=320&amp;regtx,tranline,kacct,x,alltranline5,IN,x,x=950&amp;cr=293" xr:uid="{FCA7B45B-B6DC-46B5-9037-2D0C4D7E3D0D}"/>
    <hyperlink ref="A733" r:id="rId730" display="https://9607261.app.netsuite.com/app/reporting/reportrunner.nl?fromreport=320&amp;regtx,tranline,kacct,x,alltranline5,IN,x,x=950&amp;cr=293" xr:uid="{530608AE-0059-4780-99CE-1CAF10FFC278}"/>
    <hyperlink ref="A734" r:id="rId731" display="https://9607261.app.netsuite.com/app/reporting/reportrunner.nl?fromreport=320&amp;regtx,tranline,kacct,x,alltranline5,IN,x,x=950&amp;cr=293" xr:uid="{8A06E9BC-2C89-4689-92CA-C20D50CCF82C}"/>
    <hyperlink ref="A735" r:id="rId732" display="https://9607261.app.netsuite.com/app/reporting/reportrunner.nl?fromreport=320&amp;regtx,tranline,kacct,x,alltranline5,IN,x,x=950&amp;cr=293" xr:uid="{C8A3E276-7F48-455C-BDC7-72048FE16095}"/>
    <hyperlink ref="A736" r:id="rId733" display="https://9607261.app.netsuite.com/app/reporting/reportrunner.nl?fromreport=320&amp;regtx,tranline,kacct,x,alltranline5,IN,x,x=950&amp;cr=293" xr:uid="{0ADD82DE-66DC-4967-BD31-F012F6B8F6C3}"/>
    <hyperlink ref="A737" r:id="rId734" display="https://9607261.app.netsuite.com/app/reporting/reportrunner.nl?fromreport=320&amp;regtx,tranline,kacct,x,alltranline5,IN,x,x=950&amp;cr=293" xr:uid="{24AC1898-5DE5-4C00-B99A-04B202C1C01A}"/>
    <hyperlink ref="A738" r:id="rId735" display="https://9607261.app.netsuite.com/app/reporting/reportrunner.nl?fromreport=320&amp;regtx,tranline,kacct,x,alltranline5,IN,x,x=950&amp;cr=293" xr:uid="{A28B6992-1A8E-4CC1-84FA-39001F7100EF}"/>
    <hyperlink ref="A739" r:id="rId736" display="https://9607261.app.netsuite.com/app/reporting/reportrunner.nl?fromreport=320&amp;regtx,tranline,kacct,x,alltranline5,IN,x,x=950&amp;cr=293" xr:uid="{838509EA-78B0-43D3-82A1-5E7B20E58EB3}"/>
    <hyperlink ref="A740" r:id="rId737" display="https://9607261.app.netsuite.com/app/reporting/reportrunner.nl?fromreport=320&amp;regtx,tranline,kacct,x,alltranline5,IN,x,x=950&amp;cr=293" xr:uid="{493333D0-C80D-4405-970F-8298F9853FD4}"/>
    <hyperlink ref="A741" r:id="rId738" display="https://9607261.app.netsuite.com/app/reporting/reportrunner.nl?fromreport=320&amp;regtx,tranline,kacct,x,alltranline5,IN,x,x=950&amp;cr=293" xr:uid="{BDC292AC-B400-40F9-BE20-290608BA19F7}"/>
    <hyperlink ref="A742" r:id="rId739" display="https://9607261.app.netsuite.com/app/reporting/reportrunner.nl?fromreport=320&amp;regtx,tranline,kacct,x,alltranline5,IN,x,x=950&amp;cr=293" xr:uid="{57EF8DCB-A1E4-4BB5-86E9-28721AD7C256}"/>
    <hyperlink ref="A743" r:id="rId740" display="https://9607261.app.netsuite.com/app/reporting/reportrunner.nl?fromreport=320&amp;regtx,tranline,kacct,x,alltranline5,IN,x,x=950&amp;cr=293" xr:uid="{087B1B56-866F-4908-B454-B0A6D9B8B5EF}"/>
    <hyperlink ref="A744" r:id="rId741" display="https://9607261.app.netsuite.com/app/reporting/reportrunner.nl?fromreport=320&amp;regtx,tranline,kacct,x,alltranline5,IN,x,x=950&amp;cr=293" xr:uid="{3D0F4A79-B475-415B-9902-CD0BF352D7FE}"/>
    <hyperlink ref="A745" r:id="rId742" display="https://9607261.app.netsuite.com/app/reporting/reportrunner.nl?fromreport=320&amp;regtx,tranline,kacct,x,alltranline5,IN,x,x=950&amp;cr=293" xr:uid="{20AEE44A-4104-4168-B60D-7E9F37C95891}"/>
    <hyperlink ref="A746" r:id="rId743" display="https://9607261.app.netsuite.com/app/reporting/reportrunner.nl?fromreport=320&amp;regtx,tranline,kacct,x,alltranline5,IN,x,x=950&amp;cr=293" xr:uid="{DDA1700C-7516-49E0-84CB-33DDF419D881}"/>
    <hyperlink ref="A747" r:id="rId744" display="https://9607261.app.netsuite.com/app/reporting/reportrunner.nl?fromreport=320&amp;regtx,tranline,kacct,x,alltranline5,IN,x,x=950&amp;cr=293" xr:uid="{2F374D96-BC89-4453-B07D-FC0C2CAE1E36}"/>
    <hyperlink ref="A748" r:id="rId745" display="https://9607261.app.netsuite.com/app/reporting/reportrunner.nl?fromreport=320&amp;regtx,tranline,kacct,x,alltranline5,IN,x,x=950&amp;cr=293" xr:uid="{BE97CC5B-0003-4052-B70B-18EDDDA4CB03}"/>
    <hyperlink ref="A749" r:id="rId746" display="https://9607261.app.netsuite.com/app/reporting/reportrunner.nl?fromreport=320&amp;regtx,tranline,kacct,x,alltranline5,IN,x,x=950&amp;cr=293" xr:uid="{51DEB42E-5C77-4A53-9BA4-0FE2DAC3770F}"/>
    <hyperlink ref="A750" r:id="rId747" display="https://9607261.app.netsuite.com/app/reporting/reportrunner.nl?fromreport=320&amp;regtx,tranline,kacct,x,alltranline5,IN,x,x=950&amp;cr=293" xr:uid="{F82C9E45-7218-49D6-BBEF-E25842FC13AB}"/>
    <hyperlink ref="A751" r:id="rId748" display="https://9607261.app.netsuite.com/app/reporting/reportrunner.nl?fromreport=320&amp;regtx,tranline,kacct,x,alltranline5,IN,x,x=950&amp;cr=293" xr:uid="{851B0889-0620-4A8C-9B46-2ACE3197171A}"/>
    <hyperlink ref="A752" r:id="rId749" display="https://9607261.app.netsuite.com/app/reporting/reportrunner.nl?fromreport=320&amp;regtx,tranline,kacct,x,alltranline5,IN,x,x=950&amp;cr=293" xr:uid="{FFE82562-ECEB-413A-B538-BDBC19207467}"/>
    <hyperlink ref="A753" r:id="rId750" display="https://9607261.app.netsuite.com/app/reporting/reportrunner.nl?fromreport=320&amp;regtx,tranline,kacct,x,alltranline5,IN,x,x=950&amp;cr=293" xr:uid="{17E208B7-A4FD-4533-8CD6-C365E8421B5A}"/>
    <hyperlink ref="A754" r:id="rId751" display="https://9607261.app.netsuite.com/app/reporting/reportrunner.nl?fromreport=320&amp;regtx,tranline,kacct,x,alltranline5,IN,x,x=950&amp;cr=293" xr:uid="{833C7791-806C-4447-8B51-2972032A1C67}"/>
    <hyperlink ref="A755" r:id="rId752" display="https://9607261.app.netsuite.com/app/reporting/reportrunner.nl?fromreport=320&amp;regtx,tranline,kacct,x,alltranline5,IN,x,x=950&amp;cr=293" xr:uid="{4A288949-E9A5-4B51-A39A-495988E6EDDD}"/>
    <hyperlink ref="A756" r:id="rId753" display="https://9607261.app.netsuite.com/app/reporting/reportrunner.nl?fromreport=320&amp;regtx,tranline,kacct,x,alltranline5,IN,x,x=950&amp;cr=293" xr:uid="{BCE680A5-1FE5-486F-9DE5-56354808920A}"/>
    <hyperlink ref="A757" r:id="rId754" display="https://9607261.app.netsuite.com/app/reporting/reportrunner.nl?fromreport=320&amp;regtx,tranline,kacct,x,alltranline5,IN,x,x=950&amp;cr=293" xr:uid="{BE0FB631-D679-4160-AA6B-1409504AF3E4}"/>
    <hyperlink ref="A758" r:id="rId755" display="https://9607261.app.netsuite.com/app/reporting/reportrunner.nl?fromreport=320&amp;regtx,tranline,kacct,x,alltranline5,IN,x,x=950&amp;cr=293" xr:uid="{F6CA0097-2E69-4B1B-BB56-0649F4ABD5F8}"/>
    <hyperlink ref="A759" r:id="rId756" display="https://9607261.app.netsuite.com/app/reporting/reportrunner.nl?fromreport=320&amp;regtx,tranline,kacct,x,alltranline5,IN,x,x=950&amp;cr=293" xr:uid="{53B443B2-1236-4E7E-B161-DD7F732C4483}"/>
    <hyperlink ref="A760" r:id="rId757" display="https://9607261.app.netsuite.com/app/reporting/reportrunner.nl?fromreport=320&amp;regtx,tranline,kacct,x,alltranline5,IN,x,x=950&amp;cr=293" xr:uid="{B5F985F9-630D-4390-935C-D23F82BDE9D7}"/>
    <hyperlink ref="A761" r:id="rId758" display="https://9607261.app.netsuite.com/app/reporting/reportrunner.nl?fromreport=320&amp;regtx,tranline,kacct,x,alltranline5,IN,x,x=950&amp;cr=293" xr:uid="{6C240588-C8D2-4427-9E33-378EFEB7311C}"/>
    <hyperlink ref="A762" r:id="rId759" display="https://9607261.app.netsuite.com/app/reporting/reportrunner.nl?fromreport=320&amp;regtx,tranline,kacct,x,alltranline5,IN,x,x=950&amp;cr=293" xr:uid="{DD51798B-B32A-49FB-ADC3-2FF580D3F267}"/>
    <hyperlink ref="A763" r:id="rId760" display="https://9607261.app.netsuite.com/app/reporting/reportrunner.nl?fromreport=320&amp;regtx,tranline,kacct,x,alltranline5,IN,x,x=950&amp;cr=293" xr:uid="{8224F109-547E-4D35-8EF8-2BF8668291FE}"/>
    <hyperlink ref="A764" r:id="rId761" display="https://9607261.app.netsuite.com/app/reporting/reportrunner.nl?fromreport=320&amp;regtx,tranline,kacct,x,alltranline5,IN,x,x=950&amp;cr=293" xr:uid="{99E1DA31-1D9A-45DC-9680-89D0B6906578}"/>
    <hyperlink ref="A765" r:id="rId762" display="https://9607261.app.netsuite.com/app/reporting/reportrunner.nl?fromreport=320&amp;regtx,tranline,kacct,x,alltranline5,IN,x,x=950&amp;cr=293" xr:uid="{1F38D6B9-E7DF-4B4F-8E1E-9230E46322A0}"/>
    <hyperlink ref="A766" r:id="rId763" display="https://9607261.app.netsuite.com/app/reporting/reportrunner.nl?fromreport=320&amp;regtx,tranline,kacct,x,alltranline5,IN,x,x=950&amp;cr=293" xr:uid="{4C4FB4E5-3D96-4C37-BE7D-BD870B703BEF}"/>
    <hyperlink ref="A767" r:id="rId764" display="https://9607261.app.netsuite.com/app/reporting/reportrunner.nl?fromreport=320&amp;regtx,tranline,kacct,x,alltranline5,IN,x,x=950&amp;cr=293" xr:uid="{59B23043-BE23-43B1-8C18-73F35F162E00}"/>
    <hyperlink ref="A768" r:id="rId765" display="https://9607261.app.netsuite.com/app/reporting/reportrunner.nl?fromreport=320&amp;regtx,tranline,kacct,x,alltranline5,IN,x,x=950&amp;cr=293" xr:uid="{2D025D4C-7F69-4E9D-9E56-43BA67B7E4B8}"/>
    <hyperlink ref="A769" r:id="rId766" display="https://9607261.app.netsuite.com/app/reporting/reportrunner.nl?fromreport=320&amp;regtx,tranline,kacct,x,alltranline5,IN,x,x=950&amp;cr=293" xr:uid="{62DA1BEC-3349-403F-877B-CE1A134B1F51}"/>
    <hyperlink ref="A770" r:id="rId767" display="https://9607261.app.netsuite.com/app/reporting/reportrunner.nl?fromreport=320&amp;regtx,tranline,kacct,x,alltranline5,IN,x,x=950&amp;cr=293" xr:uid="{AA876FCA-B1EF-4CF0-924B-9E92CDC4AF21}"/>
    <hyperlink ref="A771" r:id="rId768" display="https://9607261.app.netsuite.com/app/reporting/reportrunner.nl?fromreport=320&amp;regtx,tranline,kacct,x,alltranline5,IN,x,x=950&amp;cr=293" xr:uid="{32E36656-2AB6-46E7-88F1-561CAC3163F9}"/>
    <hyperlink ref="A772" r:id="rId769" display="https://9607261.app.netsuite.com/app/reporting/reportrunner.nl?fromreport=320&amp;regtx,tranline,kacct,x,alltranline5,IN,x,x=950&amp;cr=293" xr:uid="{2E49F3A5-C35D-4741-AD89-39CE227124B3}"/>
    <hyperlink ref="A773" r:id="rId770" display="https://9607261.app.netsuite.com/app/reporting/reportrunner.nl?fromreport=320&amp;regtx,tranline,kacct,x,alltranline5,IN,x,x=950&amp;cr=293" xr:uid="{0BB8C61E-43CE-4A0C-88BB-4A166469DBEA}"/>
    <hyperlink ref="A774" r:id="rId771" display="https://9607261.app.netsuite.com/app/reporting/reportrunner.nl?fromreport=320&amp;regtx,tranline,kacct,x,alltranline5,IN,x,x=950&amp;cr=293" xr:uid="{BCF220C3-898E-4BB5-A1D0-4870077F36A8}"/>
    <hyperlink ref="A775" r:id="rId772" display="https://9607261.app.netsuite.com/app/reporting/reportrunner.nl?fromreport=320&amp;regtx,tranline,kacct,x,alltranline5,IN,x,x=950&amp;cr=293" xr:uid="{9BC9E3E9-15E4-4440-93F8-E9DD385EBE33}"/>
    <hyperlink ref="A776" r:id="rId773" display="https://9607261.app.netsuite.com/app/reporting/reportrunner.nl?fromreport=320&amp;regtx,tranline,kacct,x,alltranline5,IN,x,x=950&amp;cr=293" xr:uid="{87FAFA59-069B-4994-B349-97FEDBDCCDFC}"/>
    <hyperlink ref="A777" r:id="rId774" display="https://9607261.app.netsuite.com/app/reporting/reportrunner.nl?fromreport=320&amp;regtx,tranline,kacct,x,alltranline5,IN,x,x=950&amp;cr=293" xr:uid="{4554430C-6DFC-4B8E-8E24-E09E37F5F697}"/>
    <hyperlink ref="A778" r:id="rId775" display="https://9607261.app.netsuite.com/app/reporting/reportrunner.nl?fromreport=320&amp;regtx,tranline,kacct,x,alltranline5,IN,x,x=950&amp;cr=293" xr:uid="{33692AF8-366E-481E-BB55-A1D167706685}"/>
    <hyperlink ref="A779" r:id="rId776" display="https://9607261.app.netsuite.com/app/reporting/reportrunner.nl?fromreport=320&amp;regtx,tranline,kacct,x,alltranline5,IN,x,x=950&amp;cr=293" xr:uid="{054252B8-53DE-4A32-B2AF-FAD26B0F8CA3}"/>
    <hyperlink ref="A780" r:id="rId777" display="https://9607261.app.netsuite.com/app/reporting/reportrunner.nl?fromreport=320&amp;regtx,tranline,kacct,x,alltranline5,IN,x,x=950&amp;cr=293" xr:uid="{9CF6CF2F-E388-4DB7-A00C-DF8F73AA0814}"/>
    <hyperlink ref="A781" r:id="rId778" display="https://9607261.app.netsuite.com/app/reporting/reportrunner.nl?fromreport=320&amp;regtx,tranline,kacct,x,alltranline5,IN,x,x=950&amp;cr=293" xr:uid="{D9BBC110-558A-41EF-9026-B71B4D3EBBB7}"/>
    <hyperlink ref="A782" r:id="rId779" display="https://9607261.app.netsuite.com/app/reporting/reportrunner.nl?fromreport=320&amp;regtx,tranline,kacct,x,alltranline5,IN,x,x=950&amp;cr=293" xr:uid="{8A0FCBAC-AE21-4C20-A2A7-AF89612C48AF}"/>
    <hyperlink ref="A783" r:id="rId780" display="https://9607261.app.netsuite.com/app/reporting/reportrunner.nl?fromreport=320&amp;regtx,tranline,kacct,x,alltranline5,IN,x,x=950&amp;cr=293" xr:uid="{AE890CAA-EDA8-438C-8B79-DDB5EB2F448C}"/>
    <hyperlink ref="A784" r:id="rId781" display="https://9607261.app.netsuite.com/app/reporting/reportrunner.nl?fromreport=320&amp;regtx,tranline,kacct,x,alltranline5,IN,x,x=950&amp;cr=293" xr:uid="{641AC2CB-5D92-4A3A-989D-88EFCB6AB853}"/>
    <hyperlink ref="A785" r:id="rId782" display="https://9607261.app.netsuite.com/app/reporting/reportrunner.nl?fromreport=320&amp;regtx,tranline,kacct,x,alltranline5,IN,x,x=950&amp;cr=293" xr:uid="{D2370AF0-009E-4980-A2A0-1588F50A98FA}"/>
    <hyperlink ref="A786" r:id="rId783" display="https://9607261.app.netsuite.com/app/reporting/reportrunner.nl?fromreport=320&amp;regtx,tranline,kacct,x,alltranline5,IN,x,x=950&amp;cr=293" xr:uid="{66D90F17-5742-4770-A1E0-564D3608AB0F}"/>
    <hyperlink ref="A787" r:id="rId784" display="https://9607261.app.netsuite.com/app/reporting/reportrunner.nl?fromreport=320&amp;regtx,tranline,kacct,x,alltranline5,IN,x,x=950&amp;cr=293" xr:uid="{EB5565D1-2CEA-4471-B02E-5D03D08DF030}"/>
    <hyperlink ref="A788" r:id="rId785" display="https://9607261.app.netsuite.com/app/reporting/reportrunner.nl?fromreport=320&amp;regtx,tranline,kacct,x,alltranline5,IN,x,x=950&amp;cr=293" xr:uid="{E69A707A-4AC2-413A-AE68-97D867DF8F3B}"/>
    <hyperlink ref="A789" r:id="rId786" display="https://9607261.app.netsuite.com/app/reporting/reportrunner.nl?fromreport=320&amp;regtx,tranline,kacct,x,alltranline5,IN,x,x=950&amp;cr=293" xr:uid="{9A73D691-BA34-4F2B-9D45-695903EF770F}"/>
    <hyperlink ref="A790" r:id="rId787" display="https://9607261.app.netsuite.com/app/reporting/reportrunner.nl?fromreport=320&amp;regtx,tranline,kacct,x,alltranline5,IN,x,x=950&amp;cr=293" xr:uid="{76C5A2AC-85FA-4A38-8656-2E323ED35F5C}"/>
    <hyperlink ref="A791" r:id="rId788" display="https://9607261.app.netsuite.com/app/reporting/reportrunner.nl?fromreport=320&amp;regtx,tranline,kacct,x,alltranline5,IN,x,x=950&amp;cr=293" xr:uid="{A38FBE7C-DEFC-42D5-9E3C-09A6BF19E14C}"/>
    <hyperlink ref="A792" r:id="rId789" display="https://9607261.app.netsuite.com/app/reporting/reportrunner.nl?fromreport=320&amp;regtx,tranline,kacct,x,alltranline5,IN,x,x=950&amp;cr=293" xr:uid="{14E26CF2-DAD5-43D8-B7AD-C0FC3FFAFB38}"/>
    <hyperlink ref="A793" r:id="rId790" display="https://9607261.app.netsuite.com/app/reporting/reportrunner.nl?fromreport=320&amp;regtx,tranline,kacct,x,alltranline5,IN,x,x=950&amp;cr=293" xr:uid="{696090D4-24BA-4DA2-BA19-E5A90C833168}"/>
    <hyperlink ref="A794" r:id="rId791" display="https://9607261.app.netsuite.com/app/reporting/reportrunner.nl?fromreport=320&amp;regtx,tranline,kacct,x,alltranline5,IN,x,x=950&amp;cr=293" xr:uid="{ED8D4DB4-7A6F-4D89-BADE-FAEE048EC5BD}"/>
    <hyperlink ref="A795" r:id="rId792" display="https://9607261.app.netsuite.com/app/reporting/reportrunner.nl?fromreport=320&amp;regtx,tranline,kacct,x,alltranline5,IN,x,x=950&amp;cr=293" xr:uid="{5D217451-2B20-43C8-8EA1-E10A13D9A45E}"/>
    <hyperlink ref="A796" r:id="rId793" display="https://9607261.app.netsuite.com/app/reporting/reportrunner.nl?fromreport=320&amp;regtx,tranline,kacct,x,alltranline5,IN,x,x=950&amp;cr=293" xr:uid="{93852A41-7C5D-4AA8-B6BF-60031110FF88}"/>
    <hyperlink ref="A797" r:id="rId794" display="https://9607261.app.netsuite.com/app/reporting/reportrunner.nl?fromreport=320&amp;regtx,tranline,kacct,x,alltranline5,IN,x,x=950&amp;cr=293" xr:uid="{AE4E425F-D7E0-4D6C-83D0-DA4C32293CF1}"/>
    <hyperlink ref="A798" r:id="rId795" display="https://9607261.app.netsuite.com/app/reporting/reportrunner.nl?fromreport=320&amp;regtx,tranline,kacct,x,alltranline5,IN,x,x=950&amp;cr=293" xr:uid="{A6DA72E3-837E-4AA9-B129-7BDA95419B09}"/>
    <hyperlink ref="A799" r:id="rId796" display="https://9607261.app.netsuite.com/app/reporting/reportrunner.nl?fromreport=320&amp;regtx,tranline,kacct,x,alltranline5,IN,x,x=950&amp;cr=293" xr:uid="{B2942225-63E9-421F-85AD-F0EC0F249B22}"/>
    <hyperlink ref="A800" r:id="rId797" display="https://9607261.app.netsuite.com/app/reporting/reportrunner.nl?fromreport=320&amp;regtx,tranline,kacct,x,alltranline5,IN,x,x=950&amp;cr=293" xr:uid="{0C53A44A-2073-4DED-930A-DD191A874938}"/>
    <hyperlink ref="A801" r:id="rId798" display="https://9607261.app.netsuite.com/app/reporting/reportrunner.nl?fromreport=320&amp;regtx,tranline,kacct,x,alltranline5,IN,x,x=950&amp;cr=293" xr:uid="{163820D9-9B90-41E6-8AF6-29C985D973CC}"/>
    <hyperlink ref="A802" r:id="rId799" display="https://9607261.app.netsuite.com/app/reporting/reportrunner.nl?fromreport=320&amp;regtx,tranline,kacct,x,alltranline5,IN,x,x=950&amp;cr=293" xr:uid="{45365105-71F5-4C77-AA0F-967C5DD3B4FA}"/>
    <hyperlink ref="A803" r:id="rId800" display="https://9607261.app.netsuite.com/app/reporting/reportrunner.nl?fromreport=320&amp;regtx,tranline,kacct,x,alltranline5,IN,x,x=950&amp;cr=293" xr:uid="{DEAF925E-84A3-4F62-A2DA-04578270204E}"/>
    <hyperlink ref="A804" r:id="rId801" display="https://9607261.app.netsuite.com/app/reporting/reportrunner.nl?fromreport=320&amp;regtx,tranline,kacct,x,alltranline5,IN,x,x=950&amp;cr=293" xr:uid="{F6B1DF2D-B23B-49CA-AFE6-08300808A2C2}"/>
    <hyperlink ref="A805" r:id="rId802" display="https://9607261.app.netsuite.com/app/reporting/reportrunner.nl?fromreport=320&amp;regtx,tranline,kacct,x,alltranline5,IN,x,x=950&amp;cr=293" xr:uid="{40BED458-C89E-4B8E-A771-9CE80B3EE5D4}"/>
    <hyperlink ref="A806" r:id="rId803" display="https://9607261.app.netsuite.com/app/reporting/reportrunner.nl?fromreport=320&amp;regtx,tranline,kacct,x,alltranline5,IN,x,x=950&amp;cr=293" xr:uid="{52DAC118-C903-4D90-A84C-7F88360BBE68}"/>
    <hyperlink ref="A807" r:id="rId804" display="https://9607261.app.netsuite.com/app/reporting/reportrunner.nl?fromreport=320&amp;regtx,tranline,kacct,x,alltranline5,IN,x,x=950&amp;cr=293" xr:uid="{260DA5FC-2908-4E46-96DB-A14095B561B5}"/>
    <hyperlink ref="A808" r:id="rId805" display="https://9607261.app.netsuite.com/app/reporting/reportrunner.nl?fromreport=320&amp;regtx,tranline,kacct,x,alltranline5,IN,x,x=950&amp;cr=293" xr:uid="{6CC2D0B8-8678-421E-9D36-2BDAFB5D4497}"/>
    <hyperlink ref="A809" r:id="rId806" display="https://9607261.app.netsuite.com/app/reporting/reportrunner.nl?fromreport=320&amp;regtx,tranline,kacct,x,alltranline5,IN,x,x=950&amp;cr=293" xr:uid="{932859D8-25F4-4121-9F71-B24C10D6FE0D}"/>
    <hyperlink ref="A810" r:id="rId807" display="https://9607261.app.netsuite.com/app/reporting/reportrunner.nl?fromreport=320&amp;regtx,tranline,kacct,x,alltranline5,IN,x,x=950&amp;cr=293" xr:uid="{B1A40432-F5F8-4AF9-9993-898B335E6726}"/>
    <hyperlink ref="A811" r:id="rId808" display="https://9607261.app.netsuite.com/app/reporting/reportrunner.nl?fromreport=320&amp;regtx,tranline,kacct,x,alltranline5,IN,x,x=950&amp;cr=293" xr:uid="{AA2C294D-050E-45F2-AD41-7423E3ECFE43}"/>
    <hyperlink ref="A812" r:id="rId809" display="https://9607261.app.netsuite.com/app/reporting/reportrunner.nl?fromreport=320&amp;regtx,tranline,kacct,x,alltranline5,IN,x,x=950&amp;cr=293" xr:uid="{1FA0DFF9-3A49-4D27-9CEE-52B299543292}"/>
    <hyperlink ref="A813" r:id="rId810" display="https://9607261.app.netsuite.com/app/reporting/reportrunner.nl?fromreport=320&amp;regtx,tranline,kacct,x,alltranline5,IN,x,x=950&amp;cr=293" xr:uid="{FE0670E1-2D01-41C9-8602-8B0394C97D41}"/>
    <hyperlink ref="A814" r:id="rId811" display="https://9607261.app.netsuite.com/app/reporting/reportrunner.nl?fromreport=320&amp;regtx,tranline,kacct,x,alltranline5,IN,x,x=950&amp;cr=293" xr:uid="{AB4705E7-1305-4FEF-8B31-210C808F969B}"/>
    <hyperlink ref="A815" r:id="rId812" display="https://9607261.app.netsuite.com/app/reporting/reportrunner.nl?fromreport=320&amp;regtx,tranline,kacct,x,alltranline5,IN,x,x=950&amp;cr=293" xr:uid="{E526B8A2-7837-498C-A603-B64911BBADB4}"/>
    <hyperlink ref="A816" r:id="rId813" display="https://9607261.app.netsuite.com/app/reporting/reportrunner.nl?fromreport=320&amp;regtx,tranline,kacct,x,alltranline5,IN,x,x=950&amp;cr=293" xr:uid="{03D2B1CC-6653-46D3-8B2A-5FB59EC9A44C}"/>
    <hyperlink ref="A817" r:id="rId814" display="https://9607261.app.netsuite.com/app/reporting/reportrunner.nl?fromreport=320&amp;regtx,tranline,kacct,x,alltranline5,IN,x,x=950&amp;cr=293" xr:uid="{C30CF5C4-6BC0-4C5D-895C-E99EBA6EA7B3}"/>
    <hyperlink ref="A818" r:id="rId815" display="https://9607261.app.netsuite.com/app/reporting/reportrunner.nl?fromreport=320&amp;regtx,tranline,kacct,x,alltranline5,IN,x,x=950&amp;cr=293" xr:uid="{24BD89CE-316A-4323-A0AF-5143B7E54506}"/>
    <hyperlink ref="A819" r:id="rId816" display="https://9607261.app.netsuite.com/app/reporting/reportrunner.nl?fromreport=320&amp;regtx,tranline,kacct,x,alltranline5,IN,x,x=950&amp;cr=293" xr:uid="{AE4E892F-3E98-4C36-B9B8-8036AE6D68A4}"/>
    <hyperlink ref="A820" r:id="rId817" display="https://9607261.app.netsuite.com/app/reporting/reportrunner.nl?fromreport=320&amp;regtx,tranline,kacct,x,alltranline5,IN,x,x=950&amp;cr=293" xr:uid="{D59990A7-C52D-48BD-9079-3012C34BF53C}"/>
    <hyperlink ref="A821" r:id="rId818" display="https://9607261.app.netsuite.com/app/reporting/reportrunner.nl?fromreport=320&amp;regtx,tranline,kacct,x,alltranline5,IN,x,x=950&amp;cr=293" xr:uid="{10A27056-9AB9-4D25-A414-D17F10130679}"/>
    <hyperlink ref="A822" r:id="rId819" display="https://9607261.app.netsuite.com/app/reporting/reportrunner.nl?fromreport=320&amp;regtx,tranline,kacct,x,alltranline5,IN,x,x=950&amp;cr=293" xr:uid="{92EA4EC7-7FEB-4082-9FAB-F6B4EA12C49D}"/>
    <hyperlink ref="A823" r:id="rId820" display="https://9607261.app.netsuite.com/app/reporting/reportrunner.nl?fromreport=320&amp;regtx,tranline,kacct,x,alltranline5,IN,x,x=950&amp;cr=293" xr:uid="{11457389-D101-4980-A031-AD78CE29557D}"/>
    <hyperlink ref="A824" r:id="rId821" display="https://9607261.app.netsuite.com/app/reporting/reportrunner.nl?fromreport=320&amp;regtx,tranline,kacct,x,alltranline5,IN,x,x=950&amp;cr=293" xr:uid="{69ABE09F-E5D0-4F45-8D32-8697976213D5}"/>
    <hyperlink ref="A825" r:id="rId822" display="https://9607261.app.netsuite.com/app/reporting/reportrunner.nl?fromreport=320&amp;regtx,tranline,kacct,x,alltranline5,IN,x,x=950&amp;cr=293" xr:uid="{E261B18C-6C16-4EA4-B13F-8AEBC696B674}"/>
    <hyperlink ref="A826" r:id="rId823" display="https://9607261.app.netsuite.com/app/reporting/reportrunner.nl?fromreport=320&amp;regtx,tranline,kacct,x,alltranline5,IN,x,x=950&amp;cr=293" xr:uid="{4563A87B-4739-4796-AD1D-764CC9D7C311}"/>
    <hyperlink ref="A827" r:id="rId824" display="https://9607261.app.netsuite.com/app/reporting/reportrunner.nl?fromreport=320&amp;regtx,tranline,kacct,x,alltranline5,IN,x,x=950&amp;cr=293" xr:uid="{7BA769F9-7613-430D-BC37-CD988AB26B85}"/>
    <hyperlink ref="A828" r:id="rId825" display="https://9607261.app.netsuite.com/app/reporting/reportrunner.nl?fromreport=320&amp;regtx,tranline,kacct,x,alltranline5,IN,x,x=950&amp;cr=293" xr:uid="{858721F2-128F-4856-A1D3-50AB98A2E194}"/>
    <hyperlink ref="A829" r:id="rId826" display="https://9607261.app.netsuite.com/app/reporting/reportrunner.nl?fromreport=320&amp;regtx,tranline,kacct,x,alltranline5,IN,x,x=950&amp;cr=293" xr:uid="{48F681BA-4D1B-43C2-AC82-659335A196BA}"/>
    <hyperlink ref="A830" r:id="rId827" display="https://9607261.app.netsuite.com/app/reporting/reportrunner.nl?fromreport=320&amp;regtx,tranline,kacct,x,alltranline5,IN,x,x=950&amp;cr=293" xr:uid="{6901785F-B74F-4D4D-B509-00B3A8F3FF24}"/>
    <hyperlink ref="A831" r:id="rId828" display="https://9607261.app.netsuite.com/app/reporting/reportrunner.nl?fromreport=320&amp;regtx,tranline,kacct,x,alltranline5,IN,x,x=950&amp;cr=293" xr:uid="{14C5EB1C-C3E3-4800-BAE9-2C339A36D288}"/>
    <hyperlink ref="A832" r:id="rId829" display="https://9607261.app.netsuite.com/app/reporting/reportrunner.nl?fromreport=320&amp;regtx,tranline,kacct,x,alltranline5,IN,x,x=950&amp;cr=293" xr:uid="{5C9B7323-B911-41CA-8AE2-8E98079E9EC3}"/>
    <hyperlink ref="A833" r:id="rId830" display="https://9607261.app.netsuite.com/app/reporting/reportrunner.nl?fromreport=320&amp;regtx,tranline,kacct,x,alltranline5,IN,x,x=950&amp;cr=293" xr:uid="{D41F1C7E-BDF0-4F17-BA6B-6E032C965876}"/>
    <hyperlink ref="A834" r:id="rId831" display="https://9607261.app.netsuite.com/app/reporting/reportrunner.nl?fromreport=320&amp;regtx,tranline,kacct,x,alltranline5,IN,x,x=950&amp;cr=293" xr:uid="{D07EBC0C-A42D-4E8C-BC5C-4CB85C8AC837}"/>
    <hyperlink ref="A835" r:id="rId832" display="https://9607261.app.netsuite.com/app/reporting/reportrunner.nl?fromreport=320&amp;regtx,tranline,kacct,x,alltranline5,IN,x,x=950&amp;cr=293" xr:uid="{4FA5C4D7-CA5D-4681-8100-071503407A63}"/>
    <hyperlink ref="A836" r:id="rId833" display="https://9607261.app.netsuite.com/app/reporting/reportrunner.nl?fromreport=320&amp;regtx,tranline,kacct,x,alltranline5,IN,x,x=950&amp;cr=293" xr:uid="{64CC36D4-EE31-4A65-961B-57EA57A280C5}"/>
    <hyperlink ref="A837" r:id="rId834" display="https://9607261.app.netsuite.com/app/reporting/reportrunner.nl?fromreport=320&amp;regtx,tranline,kacct,x,alltranline5,IN,x,x=950&amp;cr=293" xr:uid="{9F9AC83E-46AF-4031-B097-7370DE24888D}"/>
    <hyperlink ref="A838" r:id="rId835" display="https://9607261.app.netsuite.com/app/reporting/reportrunner.nl?fromreport=320&amp;regtx,tranline,kacct,x,alltranline5,IN,x,x=950&amp;cr=293" xr:uid="{604051A3-F167-4A6E-B88D-BECD6436A549}"/>
    <hyperlink ref="A839" r:id="rId836" display="https://9607261.app.netsuite.com/app/reporting/reportrunner.nl?fromreport=320&amp;regtx,tranline,kacct,x,alltranline5,IN,x,x=950&amp;cr=293" xr:uid="{25802EDE-EE0F-4EF8-A93B-8BE397AD4075}"/>
    <hyperlink ref="A840" r:id="rId837" display="https://9607261.app.netsuite.com/app/reporting/reportrunner.nl?fromreport=320&amp;regtx,tranline,kacct,x,alltranline5,IN,x,x=950&amp;cr=293" xr:uid="{2CDD4CE3-9C05-4BEB-BB26-6E3EE01E55C6}"/>
    <hyperlink ref="A841" r:id="rId838" display="https://9607261.app.netsuite.com/app/reporting/reportrunner.nl?fromreport=320&amp;regtx,tranline,kacct,x,alltranline5,IN,x,x=950&amp;cr=293" xr:uid="{57A51D6C-74DE-4876-9641-0B83247144F9}"/>
    <hyperlink ref="A842" r:id="rId839" display="https://9607261.app.netsuite.com/app/reporting/reportrunner.nl?fromreport=320&amp;regtx,tranline,kacct,x,alltranline5,IN,x,x=950&amp;cr=293" xr:uid="{6D63E34C-9FB5-4A46-9685-9FF2108598FE}"/>
    <hyperlink ref="A843" r:id="rId840" display="https://9607261.app.netsuite.com/app/reporting/reportrunner.nl?fromreport=320&amp;regtx,tranline,kacct,x,alltranline5,IN,x,x=950&amp;cr=293" xr:uid="{150665D0-0AAD-4769-A1A5-FD475E039057}"/>
    <hyperlink ref="A844" r:id="rId841" display="https://9607261.app.netsuite.com/app/reporting/reportrunner.nl?fromreport=320&amp;regtx,tranline,kacct,x,alltranline5,IN,x,x=950&amp;cr=293" xr:uid="{BCF64C4F-01C1-4C5C-ABDA-1A51278625F8}"/>
    <hyperlink ref="A845" r:id="rId842" display="https://9607261.app.netsuite.com/app/reporting/reportrunner.nl?fromreport=320&amp;regtx,tranline,kacct,x,alltranline5,IN,x,x=950&amp;cr=293" xr:uid="{E595D86E-DF9B-42FF-8793-19D5C5131743}"/>
    <hyperlink ref="A846" r:id="rId843" display="https://9607261.app.netsuite.com/app/reporting/reportrunner.nl?fromreport=320&amp;regtx,tranline,kacct,x,alltranline5,IN,x,x=950&amp;cr=293" xr:uid="{168865FB-33C0-4D9F-A797-1B609C30B0B4}"/>
    <hyperlink ref="A847" r:id="rId844" display="https://9607261.app.netsuite.com/app/reporting/reportrunner.nl?fromreport=320&amp;regtx,tranline,kacct,x,alltranline5,IN,x,x=950&amp;cr=293" xr:uid="{51D91135-8093-4DBF-8E62-EA5EB2C2FBE3}"/>
    <hyperlink ref="A848" r:id="rId845" display="https://9607261.app.netsuite.com/app/reporting/reportrunner.nl?fromreport=320&amp;regtx,tranline,kacct,x,alltranline5,IN,x,x=950&amp;cr=293" xr:uid="{E2D4B6A9-8672-4D7F-A5C1-11EF1C0EC301}"/>
    <hyperlink ref="A849" r:id="rId846" display="https://9607261.app.netsuite.com/app/reporting/reportrunner.nl?fromreport=320&amp;regtx,tranline,kacct,x,alltranline5,IN,x,x=950&amp;cr=293" xr:uid="{5319A314-9876-40FE-87C5-BB1D3E47DB2C}"/>
    <hyperlink ref="A850" r:id="rId847" display="https://9607261.app.netsuite.com/app/reporting/reportrunner.nl?fromreport=320&amp;regtx,tranline,kacct,x,alltranline5,IN,x,x=950&amp;cr=293" xr:uid="{C9A49E2B-B7D0-4830-A603-3C4479666F44}"/>
    <hyperlink ref="A851" r:id="rId848" display="https://9607261.app.netsuite.com/app/reporting/reportrunner.nl?fromreport=320&amp;regtx,tranline,kacct,x,alltranline5,IN,x,x=950&amp;cr=293" xr:uid="{081B09D1-F756-476C-817F-5B6FBF1622DF}"/>
    <hyperlink ref="A852" r:id="rId849" display="https://9607261.app.netsuite.com/app/reporting/reportrunner.nl?fromreport=320&amp;regtx,tranline,kacct,x,alltranline5,IN,x,x=950&amp;cr=293" xr:uid="{DF66613A-43ED-4FCE-AD52-82C75DC20C49}"/>
    <hyperlink ref="A853" r:id="rId850" display="https://9607261.app.netsuite.com/app/reporting/reportrunner.nl?fromreport=320&amp;regtx,tranline,kacct,x,alltranline5,IN,x,x=950&amp;cr=293" xr:uid="{8950B2E8-B413-4B42-85FB-F72362DCC190}"/>
    <hyperlink ref="A854" r:id="rId851" display="https://9607261.app.netsuite.com/app/reporting/reportrunner.nl?fromreport=320&amp;regtx,tranline,kacct,x,alltranline5,IN,x,x=950&amp;cr=293" xr:uid="{5EA6A629-9C18-4282-8F28-1ABF55F6D349}"/>
    <hyperlink ref="A855" r:id="rId852" display="https://9607261.app.netsuite.com/app/reporting/reportrunner.nl?fromreport=320&amp;regtx,tranline,kacct,x,alltranline5,IN,x,x=950&amp;cr=293" xr:uid="{1F9FF05F-11D8-4932-A448-09FC6CCC1429}"/>
    <hyperlink ref="A856" r:id="rId853" display="https://9607261.app.netsuite.com/app/reporting/reportrunner.nl?fromreport=320&amp;regtx,tranline,kacct,x,alltranline5,IN,x,x=950&amp;cr=293" xr:uid="{E4D55794-3F6A-47CA-9709-98C22DEE400D}"/>
    <hyperlink ref="A857" r:id="rId854" display="https://9607261.app.netsuite.com/app/reporting/reportrunner.nl?fromreport=320&amp;regtx,tranline,kacct,x,alltranline5,IN,x,x=950&amp;cr=293" xr:uid="{C1945A04-5C2F-4F19-A84B-CA85CD399A63}"/>
    <hyperlink ref="A858" r:id="rId855" display="https://9607261.app.netsuite.com/app/reporting/reportrunner.nl?fromreport=320&amp;regtx,tranline,kacct,x,alltranline5,IN,x,x=950&amp;cr=293" xr:uid="{B1C82581-816C-43F0-A3D8-95EE500CB6EB}"/>
    <hyperlink ref="A859" r:id="rId856" display="https://9607261.app.netsuite.com/app/reporting/reportrunner.nl?fromreport=320&amp;regtx,tranline,kacct,x,alltranline5,IN,x,x=950&amp;cr=293" xr:uid="{3E1B552E-C687-474C-9ADB-DF9B0D28023C}"/>
    <hyperlink ref="A860" r:id="rId857" display="https://9607261.app.netsuite.com/app/reporting/reportrunner.nl?fromreport=320&amp;regtx,tranline,kacct,x,alltranline5,IN,x,x=950&amp;cr=293" xr:uid="{7CEB6B79-574F-47A3-9CB3-F2F54252AFE6}"/>
    <hyperlink ref="A861" r:id="rId858" display="https://9607261.app.netsuite.com/app/reporting/reportrunner.nl?fromreport=320&amp;regtx,tranline,kacct,x,alltranline5,IN,x,x=950&amp;cr=293" xr:uid="{6A48FC8B-7195-4E23-88B2-1670FC975363}"/>
    <hyperlink ref="A862" r:id="rId859" display="https://9607261.app.netsuite.com/app/reporting/reportrunner.nl?fromreport=320&amp;regtx,tranline,kacct,x,alltranline5,IN,x,x=950&amp;cr=293" xr:uid="{AAA22EB2-ADA6-4A31-A46C-9B22505DB19E}"/>
    <hyperlink ref="A863" r:id="rId860" display="https://9607261.app.netsuite.com/app/reporting/reportrunner.nl?fromreport=320&amp;regtx,tranline,kacct,x,alltranline5,IN,x,x=950&amp;cr=293" xr:uid="{C88EA1DF-5AFD-4DCF-A4D5-9B07B800D59E}"/>
    <hyperlink ref="A864" r:id="rId861" display="https://9607261.app.netsuite.com/app/reporting/reportrunner.nl?fromreport=320&amp;regtx,tranline,kacct,x,alltranline5,IN,x,x=950&amp;cr=293" xr:uid="{7F553ECB-952B-45AC-8988-2B737D817789}"/>
    <hyperlink ref="A865" r:id="rId862" display="https://9607261.app.netsuite.com/app/reporting/reportrunner.nl?fromreport=320&amp;regtx,tranline,kacct,x,alltranline5,IN,x,x=950&amp;cr=293" xr:uid="{CD0E547A-B865-4544-9D78-40046539CB18}"/>
    <hyperlink ref="A866" r:id="rId863" display="https://9607261.app.netsuite.com/app/reporting/reportrunner.nl?fromreport=320&amp;regtx,tranline,kacct,x,alltranline5,IN,x,x=950&amp;cr=293" xr:uid="{C76BB7D8-B3FA-42E9-A129-CD8CFCC8EF70}"/>
    <hyperlink ref="A867" r:id="rId864" display="https://9607261.app.netsuite.com/app/reporting/reportrunner.nl?fromreport=320&amp;regtx,tranline,kacct,x,alltranline5,IN,x,x=950&amp;cr=293" xr:uid="{229EAD70-495D-4981-BF2E-0ADCA2825E76}"/>
    <hyperlink ref="A868" r:id="rId865" display="https://9607261.app.netsuite.com/app/reporting/reportrunner.nl?fromreport=320&amp;regtx,tranline,kacct,x,alltranline5,IN,x,x=950&amp;cr=293" xr:uid="{6C7C4ED0-1802-4592-8F77-2900C7782CC8}"/>
    <hyperlink ref="A869" r:id="rId866" display="https://9607261.app.netsuite.com/app/reporting/reportrunner.nl?fromreport=320&amp;regtx,tranline,kacct,x,alltranline5,IN,x,x=950&amp;cr=293" xr:uid="{DAEBC8B3-8175-40BA-8519-39A95F62441E}"/>
    <hyperlink ref="A870" r:id="rId867" display="https://9607261.app.netsuite.com/app/reporting/reportrunner.nl?fromreport=320&amp;regtx,tranline,kacct,x,alltranline5,IN,x,x=950&amp;cr=293" xr:uid="{6BBAAB49-1321-4B40-B8CA-3DF584A3DA88}"/>
    <hyperlink ref="A871" r:id="rId868" display="https://9607261.app.netsuite.com/app/reporting/reportrunner.nl?fromreport=320&amp;regtx,tranline,kacct,x,alltranline5,IN,x,x=950&amp;cr=293" xr:uid="{0EC29BD8-A464-4848-9F37-8F2B80EF82A8}"/>
    <hyperlink ref="A872" r:id="rId869" display="https://9607261.app.netsuite.com/app/reporting/reportrunner.nl?fromreport=320&amp;regtx,tranline,kacct,x,alltranline5,IN,x,x=950&amp;cr=293" xr:uid="{6609D703-5AA2-45D6-8664-3E11CFC84984}"/>
    <hyperlink ref="A873" r:id="rId870" display="https://9607261.app.netsuite.com/app/reporting/reportrunner.nl?fromreport=320&amp;regtx,tranline,kacct,x,alltranline5,IN,x,x=950&amp;cr=293" xr:uid="{362E8AFF-D941-4925-A1FA-0C46715CAE1B}"/>
    <hyperlink ref="A874" r:id="rId871" display="https://9607261.app.netsuite.com/app/reporting/reportrunner.nl?fromreport=320&amp;regtx,tranline,kacct,x,alltranline5,IN,x,x=950&amp;cr=293" xr:uid="{10A766B7-9DB0-406F-8BD8-90105E1418D0}"/>
    <hyperlink ref="A875" r:id="rId872" display="https://9607261.app.netsuite.com/app/reporting/reportrunner.nl?fromreport=320&amp;regtx,tranline,kacct,x,alltranline5,IN,x,x=950&amp;cr=293" xr:uid="{2E8A9E48-21C6-4808-BC44-F46B6CDEC810}"/>
    <hyperlink ref="A876" r:id="rId873" display="https://9607261.app.netsuite.com/app/reporting/reportrunner.nl?fromreport=320&amp;regtx,tranline,kacct,x,alltranline5,IN,x,x=950&amp;cr=293" xr:uid="{17C35810-6FF6-478B-AA76-018CD2E9E438}"/>
    <hyperlink ref="A877" r:id="rId874" display="https://9607261.app.netsuite.com/app/reporting/reportrunner.nl?fromreport=320&amp;regtx,tranline,kacct,x,alltranline5,IN,x,x=950&amp;cr=293" xr:uid="{8688D267-3147-4835-8770-F716018BABC5}"/>
    <hyperlink ref="A878" r:id="rId875" display="https://9607261.app.netsuite.com/app/reporting/reportrunner.nl?fromreport=320&amp;regtx,tranline,kacct,x,alltranline5,IN,x,x=950&amp;cr=293" xr:uid="{383EB1DC-9A3F-4D4E-9236-FF516B8BDE60}"/>
    <hyperlink ref="A879" r:id="rId876" display="https://9607261.app.netsuite.com/app/reporting/reportrunner.nl?fromreport=320&amp;regtx,tranline,kacct,x,alltranline5,IN,x,x=950&amp;cr=293" xr:uid="{1E684B8E-FDB0-44F4-A33F-FB7BBACF52C2}"/>
    <hyperlink ref="A880" r:id="rId877" display="https://9607261.app.netsuite.com/app/reporting/reportrunner.nl?fromreport=320&amp;regtx,tranline,kacct,x,alltranline5,IN,x,x=950&amp;cr=293" xr:uid="{F1728A88-FFA2-4235-A9E4-7DCA5C811E4A}"/>
    <hyperlink ref="A881" r:id="rId878" display="https://9607261.app.netsuite.com/app/reporting/reportrunner.nl?fromreport=320&amp;regtx,tranline,kacct,x,alltranline5,IN,x,x=950&amp;cr=293" xr:uid="{CB2026F9-B261-4A0B-9DBD-F0606C12942E}"/>
    <hyperlink ref="A882" r:id="rId879" display="https://9607261.app.netsuite.com/app/reporting/reportrunner.nl?fromreport=320&amp;regtx,tranline,kacct,x,alltranline5,IN,x,x=950&amp;cr=293" xr:uid="{F253C8E4-66CC-4724-940A-77A2D5FCFDEA}"/>
    <hyperlink ref="A883" r:id="rId880" display="https://9607261.app.netsuite.com/app/reporting/reportrunner.nl?fromreport=320&amp;regtx,tranline,kacct,x,alltranline5,IN,x,x=950&amp;cr=293" xr:uid="{02374B73-E769-40C2-98A3-AE4FAA831D65}"/>
    <hyperlink ref="A884" r:id="rId881" display="https://9607261.app.netsuite.com/app/reporting/reportrunner.nl?fromreport=320&amp;regtx,tranline,kacct,x,alltranline5,IN,x,x=950&amp;cr=293" xr:uid="{CF2C9E92-034D-4112-A939-54BA97D971E1}"/>
    <hyperlink ref="A885" r:id="rId882" display="https://9607261.app.netsuite.com/app/reporting/reportrunner.nl?fromreport=320&amp;regtx,tranline,kacct,x,alltranline5,IN,x,x=950&amp;cr=293" xr:uid="{1B965BE3-755B-4592-A4B2-262E34220C90}"/>
    <hyperlink ref="A886" r:id="rId883" display="https://9607261.app.netsuite.com/app/reporting/reportrunner.nl?fromreport=320&amp;regtx,tranline,kacct,x,alltranline5,IN,x,x=950&amp;cr=293" xr:uid="{C81FA5C0-7CF4-4E5D-962D-A6EA6D475147}"/>
    <hyperlink ref="A887" r:id="rId884" display="https://9607261.app.netsuite.com/app/reporting/reportrunner.nl?fromreport=320&amp;regtx,tranline,kacct,x,alltranline5,IN,x,x=950&amp;cr=293" xr:uid="{34C9C5D5-66C9-4370-AD3C-B4F35A6FCD77}"/>
    <hyperlink ref="A888" r:id="rId885" display="https://9607261.app.netsuite.com/app/reporting/reportrunner.nl?fromreport=320&amp;regtx,tranline,kacct,x,alltranline5,IN,x,x=950&amp;cr=293" xr:uid="{F619983D-616A-4CE6-82B9-75A47B5878A7}"/>
    <hyperlink ref="A889" r:id="rId886" display="https://9607261.app.netsuite.com/app/reporting/reportrunner.nl?fromreport=320&amp;regtx,tranline,kacct,x,alltranline5,IN,x,x=950&amp;cr=293" xr:uid="{22FBC955-A5A0-4A25-AA24-54546D714EE9}"/>
    <hyperlink ref="A890" r:id="rId887" display="https://9607261.app.netsuite.com/app/reporting/reportrunner.nl?fromreport=320&amp;regtx,tranline,kacct,x,alltranline5,IN,x,x=950&amp;cr=293" xr:uid="{EFC30BAD-CE8C-48DB-9B29-F2DF99D40A91}"/>
    <hyperlink ref="A891" r:id="rId888" display="https://9607261.app.netsuite.com/app/reporting/reportrunner.nl?fromreport=320&amp;regtx,tranline,kacct,x,alltranline5,IN,x,x=950&amp;cr=293" xr:uid="{1A861218-D001-454C-A5B7-1DA5EE621D31}"/>
    <hyperlink ref="A892" r:id="rId889" display="https://9607261.app.netsuite.com/app/reporting/reportrunner.nl?fromreport=320&amp;regtx,tranline,kacct,x,alltranline5,IN,x,x=950&amp;cr=293" xr:uid="{8A23B2C0-FE7C-4BC2-A0A7-F942F9D8E42A}"/>
    <hyperlink ref="A893" r:id="rId890" display="https://9607261.app.netsuite.com/app/reporting/reportrunner.nl?fromreport=320&amp;regtx,tranline,kacct,x,alltranline5,IN,x,x=950&amp;cr=293" xr:uid="{B5A711FE-BBC7-44B2-B8D5-F280E874357C}"/>
    <hyperlink ref="A894" r:id="rId891" display="https://9607261.app.netsuite.com/app/reporting/reportrunner.nl?fromreport=320&amp;regtx,tranline,kacct,x,alltranline5,IN,x,x=950&amp;cr=293" xr:uid="{BF14DCC1-C57B-41EF-B3F6-8CE589F66ADC}"/>
    <hyperlink ref="A895" r:id="rId892" display="https://9607261.app.netsuite.com/app/reporting/reportrunner.nl?fromreport=320&amp;regtx,tranline,kacct,x,alltranline5,IN,x,x=950&amp;cr=293" xr:uid="{D159B12F-285A-470D-96F7-8FB017CC3250}"/>
    <hyperlink ref="A896" r:id="rId893" display="https://9607261.app.netsuite.com/app/reporting/reportrunner.nl?fromreport=320&amp;regtx,tranline,kacct,x,alltranline5,IN,x,x=950&amp;cr=293" xr:uid="{0F63E7BA-F41E-4874-8474-865B6A0C7738}"/>
    <hyperlink ref="A897" r:id="rId894" display="https://9607261.app.netsuite.com/app/reporting/reportrunner.nl?fromreport=320&amp;regtx,tranline,kacct,x,alltranline5,IN,x,x=950&amp;cr=293" xr:uid="{8D11AF7F-2617-4E2D-8B91-DE4D5CC6874E}"/>
    <hyperlink ref="A898" r:id="rId895" display="https://9607261.app.netsuite.com/app/reporting/reportrunner.nl?fromreport=320&amp;regtx,tranline,kacct,x,alltranline5,IN,x,x=950&amp;cr=293" xr:uid="{FB33132F-D19C-4D25-9F0C-EBC7BBE0D89E}"/>
    <hyperlink ref="A899" r:id="rId896" display="https://9607261.app.netsuite.com/app/reporting/reportrunner.nl?fromreport=320&amp;regtx,tranline,kacct,x,alltranline5,IN,x,x=950&amp;cr=293" xr:uid="{96024124-BA91-4B2B-87C3-A3295D7724C3}"/>
    <hyperlink ref="A900" r:id="rId897" display="https://9607261.app.netsuite.com/app/reporting/reportrunner.nl?fromreport=320&amp;regtx,tranline,kacct,x,alltranline5,IN,x,x=950&amp;cr=293" xr:uid="{DBE0A401-90CD-4123-80C7-858B0D393E3B}"/>
    <hyperlink ref="A901" r:id="rId898" display="https://9607261.app.netsuite.com/app/reporting/reportrunner.nl?fromreport=320&amp;regtx,tranline,kacct,x,alltranline5,IN,x,x=950&amp;cr=293" xr:uid="{5E64580C-0802-4665-9366-77799325C8AB}"/>
    <hyperlink ref="A902" r:id="rId899" display="https://9607261.app.netsuite.com/app/reporting/reportrunner.nl?fromreport=320&amp;regtx,tranline,kacct,x,alltranline5,IN,x,x=950&amp;cr=293" xr:uid="{71FED191-1515-4D40-9C4F-C558973803F4}"/>
    <hyperlink ref="A903" r:id="rId900" display="https://9607261.app.netsuite.com/app/reporting/reportrunner.nl?fromreport=320&amp;regtx,tranline,kacct,x,alltranline5,IN,x,x=950&amp;cr=293" xr:uid="{1D959C47-F29B-4EE2-ADD8-76BD32D4AEE4}"/>
    <hyperlink ref="A904" r:id="rId901" display="https://9607261.app.netsuite.com/app/reporting/reportrunner.nl?fromreport=320&amp;regtx,tranline,kacct,x,alltranline5,IN,x,x=950&amp;cr=293" xr:uid="{0A3D12D4-6A98-4E9E-B0B4-7E6A3270A142}"/>
    <hyperlink ref="A905" r:id="rId902" display="https://9607261.app.netsuite.com/app/reporting/reportrunner.nl?fromreport=320&amp;regtx,tranline,kacct,x,alltranline5,IN,x,x=950&amp;cr=293" xr:uid="{839D9A93-084E-46D9-8CE8-226F8CF6BA58}"/>
    <hyperlink ref="A906" r:id="rId903" display="https://9607261.app.netsuite.com/app/reporting/reportrunner.nl?fromreport=320&amp;regtx,tranline,kacct,x,alltranline5,IN,x,x=950&amp;cr=293" xr:uid="{571DD4F3-2531-4F99-91C8-0DBD2F8E2876}"/>
    <hyperlink ref="A907" r:id="rId904" display="https://9607261.app.netsuite.com/app/reporting/reportrunner.nl?fromreport=320&amp;regtx,tranline,kacct,x,alltranline5,IN,x,x=950&amp;cr=293" xr:uid="{7CB5327C-0EEB-4266-8BC7-A1D3F90B910C}"/>
    <hyperlink ref="A908" r:id="rId905" display="https://9607261.app.netsuite.com/app/reporting/reportrunner.nl?fromreport=320&amp;regtx,tranline,kacct,x,alltranline5,IN,x,x=950&amp;cr=293" xr:uid="{FEECE079-CEB1-4066-88E3-08A873F3D6D7}"/>
    <hyperlink ref="A909" r:id="rId906" display="https://9607261.app.netsuite.com/app/reporting/reportrunner.nl?fromreport=320&amp;regtx,tranline,kacct,x,alltranline5,IN,x,x=950&amp;cr=293" xr:uid="{01CADE14-C74E-4669-90B8-B3A50E1CB355}"/>
    <hyperlink ref="A910" r:id="rId907" display="https://9607261.app.netsuite.com/app/reporting/reportrunner.nl?fromreport=320&amp;regtx,tranline,kacct,x,alltranline5,IN,x,x=950&amp;cr=293" xr:uid="{40B79C6D-1BFA-4E18-8DBC-37C780982970}"/>
    <hyperlink ref="A911" r:id="rId908" display="https://9607261.app.netsuite.com/app/reporting/reportrunner.nl?fromreport=320&amp;regtx,tranline,kacct,x,alltranline5,IN,x,x=950&amp;cr=293" xr:uid="{0B27E3EC-2A39-4CCB-AF55-495C667CA77E}"/>
    <hyperlink ref="A912" r:id="rId909" display="https://9607261.app.netsuite.com/app/reporting/reportrunner.nl?fromreport=320&amp;regtx,tranline,kacct,x,alltranline5,IN,x,x=950&amp;cr=293" xr:uid="{166D88DB-CF83-4178-89EF-79224ED357F4}"/>
    <hyperlink ref="A913" r:id="rId910" display="https://9607261.app.netsuite.com/app/reporting/reportrunner.nl?fromreport=320&amp;regtx,tranline,kacct,x,alltranline5,IN,x,x=950&amp;cr=293" xr:uid="{38090C78-0497-4215-837F-1E2EA9D883B3}"/>
    <hyperlink ref="A914" r:id="rId911" display="https://9607261.app.netsuite.com/app/reporting/reportrunner.nl?fromreport=320&amp;regtx,tranline,kacct,x,alltranline5,IN,x,x=950&amp;cr=293" xr:uid="{880317F5-DC8F-4408-9A88-6574A4A11C92}"/>
    <hyperlink ref="A915" r:id="rId912" display="https://9607261.app.netsuite.com/app/reporting/reportrunner.nl?fromreport=320&amp;regtx,tranline,kacct,x,alltranline5,IN,x,x=950&amp;cr=293" xr:uid="{371F4C3C-EBD2-440B-8EB4-807694DBC449}"/>
    <hyperlink ref="A916" r:id="rId913" display="https://9607261.app.netsuite.com/app/reporting/reportrunner.nl?fromreport=320&amp;regtx,tranline,kacct,x,alltranline5,IN,x,x=950&amp;cr=293" xr:uid="{B297BAB9-010B-428A-A4A4-3B5DC3CD809B}"/>
    <hyperlink ref="A917" r:id="rId914" display="https://9607261.app.netsuite.com/app/reporting/reportrunner.nl?fromreport=320&amp;regtx,tranline,kacct,x,alltranline5,IN,x,x=950&amp;cr=293" xr:uid="{24F77009-37D0-4644-9C24-C74258E21BF1}"/>
    <hyperlink ref="A918" r:id="rId915" display="https://9607261.app.netsuite.com/app/reporting/reportrunner.nl?fromreport=320&amp;regtx,tranline,kacct,x,alltranline5,IN,x,x=950&amp;cr=293" xr:uid="{E4C52357-7007-4E01-90D4-66245552C75A}"/>
    <hyperlink ref="A919" r:id="rId916" display="https://9607261.app.netsuite.com/app/reporting/reportrunner.nl?fromreport=320&amp;regtx,tranline,kacct,x,alltranline5,IN,x,x=950&amp;cr=293" xr:uid="{2B0FA974-40E6-499A-8C39-38BD0C265FF5}"/>
    <hyperlink ref="A920" r:id="rId917" display="https://9607261.app.netsuite.com/app/reporting/reportrunner.nl?fromreport=320&amp;regtx,tranline,kacct,x,alltranline5,IN,x,x=950&amp;cr=293" xr:uid="{F0BD03AA-5978-4219-9289-15ABFB356ACF}"/>
    <hyperlink ref="A921" r:id="rId918" display="https://9607261.app.netsuite.com/app/reporting/reportrunner.nl?fromreport=320&amp;regtx,tranline,kacct,x,alltranline5,IN,x,x=950&amp;cr=293" xr:uid="{EA6C56D3-0457-48A6-A1C9-FDE16BD95ABB}"/>
    <hyperlink ref="A922" r:id="rId919" display="https://9607261.app.netsuite.com/app/reporting/reportrunner.nl?fromreport=320&amp;regtx,tranline,kacct,x,alltranline5,IN,x,x=950&amp;cr=293" xr:uid="{1022FA18-07A6-42D6-90F4-4CBB3492009E}"/>
    <hyperlink ref="A923" r:id="rId920" display="https://9607261.app.netsuite.com/app/reporting/reportrunner.nl?fromreport=320&amp;regtx,tranline,kacct,x,alltranline5,IN,x,x=950&amp;cr=293" xr:uid="{9EF4D1CD-A2CC-4C67-BB85-E5677A184CFF}"/>
    <hyperlink ref="A924" r:id="rId921" display="https://9607261.app.netsuite.com/app/reporting/reportrunner.nl?fromreport=320&amp;regtx,tranline,kacct,x,alltranline5,IN,x,x=950&amp;cr=293" xr:uid="{6CF56986-4AE9-4545-9408-8A3DD110053F}"/>
    <hyperlink ref="A925" r:id="rId922" display="https://9607261.app.netsuite.com/app/reporting/reportrunner.nl?fromreport=320&amp;regtx,tranline,kacct,x,alltranline5,IN,x,x=950&amp;cr=293" xr:uid="{A32AFB06-F28D-481F-B9FC-657A45498747}"/>
    <hyperlink ref="A926" r:id="rId923" display="https://9607261.app.netsuite.com/app/reporting/reportrunner.nl?fromreport=320&amp;regtx,tranline,kacct,x,alltranline5,IN,x,x=950&amp;cr=293" xr:uid="{B8CA3C70-6B81-4E95-BBC2-C572D9493FEA}"/>
    <hyperlink ref="A927" r:id="rId924" display="https://9607261.app.netsuite.com/app/reporting/reportrunner.nl?fromreport=320&amp;regtx,tranline,kacct,x,alltranline5,IN,x,x=950&amp;cr=293" xr:uid="{55D8DD67-61BB-4283-9F53-BC7C23AD03FC}"/>
    <hyperlink ref="A928" r:id="rId925" display="https://9607261.app.netsuite.com/app/reporting/reportrunner.nl?fromreport=320&amp;regtx,tranline,kacct,x,alltranline5,IN,x,x=950&amp;cr=293" xr:uid="{9738ABE1-0357-48DE-A767-35A0329D575C}"/>
    <hyperlink ref="A929" r:id="rId926" display="https://9607261.app.netsuite.com/app/reporting/reportrunner.nl?fromreport=320&amp;regtx,tranline,kacct,x,alltranline5,IN,x,x=950&amp;cr=293" xr:uid="{345263C5-584D-4105-B2DB-24E5194E0D20}"/>
    <hyperlink ref="A930" r:id="rId927" display="https://9607261.app.netsuite.com/app/reporting/reportrunner.nl?fromreport=320&amp;regtx,tranline,kacct,x,alltranline5,IN,x,x=950&amp;cr=293" xr:uid="{605B8522-91AA-423A-8D66-DE099BC6F6C1}"/>
    <hyperlink ref="A931" r:id="rId928" display="https://9607261.app.netsuite.com/app/reporting/reportrunner.nl?fromreport=320&amp;regtx,tranline,kacct,x,alltranline5,IN,x,x=950&amp;cr=293" xr:uid="{A22A9941-4F7A-4290-977F-63578CE8ACAE}"/>
    <hyperlink ref="A932" r:id="rId929" display="https://9607261.app.netsuite.com/app/reporting/reportrunner.nl?fromreport=320&amp;regtx,tranline,kacct,x,alltranline5,IN,x,x=950&amp;cr=293" xr:uid="{887F200F-F7F2-4543-AE80-3CDEA336DBDF}"/>
    <hyperlink ref="A933" r:id="rId930" display="https://9607261.app.netsuite.com/app/reporting/reportrunner.nl?fromreport=320&amp;regtx,tranline,kacct,x,alltranline5,IN,x,x=950&amp;cr=293" xr:uid="{F4EFC18D-4B05-459A-B7FD-62B3643E762E}"/>
    <hyperlink ref="A934" r:id="rId931" display="https://9607261.app.netsuite.com/app/reporting/reportrunner.nl?fromreport=320&amp;regtx,tranline,kacct,x,alltranline5,IN,x,x=950&amp;cr=293" xr:uid="{AB6A85BD-52BD-4F51-9A6B-BEE70BB17C78}"/>
    <hyperlink ref="A935" r:id="rId932" display="https://9607261.app.netsuite.com/app/reporting/reportrunner.nl?fromreport=320&amp;regtx,tranline,kacct,x,alltranline5,IN,x,x=950&amp;cr=293" xr:uid="{DE4C4063-5183-4D2F-B8CA-3E4336FAC2AF}"/>
    <hyperlink ref="A936" r:id="rId933" display="https://9607261.app.netsuite.com/app/reporting/reportrunner.nl?fromreport=320&amp;regtx,tranline,kacct,x,alltranline5,IN,x,x=950&amp;cr=293" xr:uid="{54378720-438E-424D-877B-9AF7D2B9126B}"/>
    <hyperlink ref="A937" r:id="rId934" display="https://9607261.app.netsuite.com/app/reporting/reportrunner.nl?fromreport=320&amp;regtx,tranline,kacct,x,alltranline5,IN,x,x=950&amp;cr=293" xr:uid="{34E40376-A7BD-4C55-80F4-32E62F5B0F53}"/>
    <hyperlink ref="A938" r:id="rId935" display="https://9607261.app.netsuite.com/app/reporting/reportrunner.nl?fromreport=320&amp;regtx,tranline,kacct,x,alltranline5,IN,x,x=950&amp;cr=293" xr:uid="{DCD9DB5E-5F7F-4F8E-B7FF-EEF8C6482D7A}"/>
    <hyperlink ref="A939" r:id="rId936" display="https://9607261.app.netsuite.com/app/reporting/reportrunner.nl?fromreport=320&amp;regtx,tranline,kacct,x,alltranline5,IN,x,x=950&amp;cr=293" xr:uid="{E734C789-36D6-4AC1-9ED0-53ADA62C1951}"/>
    <hyperlink ref="A940" r:id="rId937" display="https://9607261.app.netsuite.com/app/reporting/reportrunner.nl?fromreport=320&amp;regtx,tranline,kacct,x,alltranline5,IN,x,x=950&amp;cr=293" xr:uid="{C5F95D85-E2C1-4E22-9362-23A91326EBD2}"/>
    <hyperlink ref="A941" r:id="rId938" display="https://9607261.app.netsuite.com/app/reporting/reportrunner.nl?fromreport=320&amp;regtx,tranline,kacct,x,alltranline5,IN,x,x=950&amp;cr=293" xr:uid="{4C13EBF4-DD5D-4E41-8F41-8F606FE36589}"/>
    <hyperlink ref="A942" r:id="rId939" display="https://9607261.app.netsuite.com/app/reporting/reportrunner.nl?fromreport=320&amp;regtx,tranline,kacct,x,alltranline5,IN,x,x=950&amp;cr=293" xr:uid="{40524D0E-94D0-4AB9-8F21-6E32E24B66D2}"/>
    <hyperlink ref="A943" r:id="rId940" display="https://9607261.app.netsuite.com/app/reporting/reportrunner.nl?fromreport=320&amp;regtx,tranline,kacct,x,alltranline5,IN,x,x=950&amp;cr=293" xr:uid="{895206F0-00D3-4B0D-8483-7F1EEF7C5502}"/>
    <hyperlink ref="A944" r:id="rId941" display="https://9607261.app.netsuite.com/app/reporting/reportrunner.nl?fromreport=320&amp;regtx,tranline,kacct,x,alltranline5,IN,x,x=950&amp;cr=293" xr:uid="{F43CC864-04DB-456F-A74C-D6D7A47C272A}"/>
    <hyperlink ref="A945" r:id="rId942" display="https://9607261.app.netsuite.com/app/reporting/reportrunner.nl?fromreport=320&amp;regtx,tranline,kacct,x,alltranline5,IN,x,x=950&amp;cr=293" xr:uid="{E4A376BF-257D-46AF-86E7-71E73085EEB4}"/>
    <hyperlink ref="A946" r:id="rId943" display="https://9607261.app.netsuite.com/app/reporting/reportrunner.nl?fromreport=320&amp;regtx,tranline,kacct,x,alltranline5,IN,x,x=950&amp;cr=293" xr:uid="{FA6F41C6-DB68-41B3-815C-46952C0F09C6}"/>
    <hyperlink ref="A947" r:id="rId944" display="https://9607261.app.netsuite.com/app/reporting/reportrunner.nl?fromreport=320&amp;regtx,tranline,kacct,x,alltranline5,IN,x,x=950&amp;cr=293" xr:uid="{08CADBAC-7583-4F73-9EA4-1E6B3FB9FD7F}"/>
    <hyperlink ref="A948" r:id="rId945" display="https://9607261.app.netsuite.com/app/reporting/reportrunner.nl?fromreport=320&amp;regtx,tranline,kacct,x,alltranline5,IN,x,x=950&amp;cr=293" xr:uid="{81BCADFD-3BDF-428A-910A-61CB49B24AE1}"/>
    <hyperlink ref="A949" r:id="rId946" display="https://9607261.app.netsuite.com/app/reporting/reportrunner.nl?fromreport=320&amp;regtx,tranline,kacct,x,alltranline5,IN,x,x=950&amp;cr=293" xr:uid="{AC2ED456-772F-4B31-94AD-259A391C3794}"/>
    <hyperlink ref="A950" r:id="rId947" display="https://9607261.app.netsuite.com/app/reporting/reportrunner.nl?fromreport=320&amp;regtx,tranline,kacct,x,alltranline5,IN,x,x=950&amp;cr=293" xr:uid="{8E24F445-A385-4314-A69B-4AF683B12A46}"/>
    <hyperlink ref="A951" r:id="rId948" display="https://9607261.app.netsuite.com/app/reporting/reportrunner.nl?fromreport=320&amp;regtx,tranline,kacct,x,alltranline5,IN,x,x=950&amp;cr=293" xr:uid="{427D2CE0-DA5C-4C07-8B1E-2783EFA3AF12}"/>
    <hyperlink ref="A952" r:id="rId949" display="https://9607261.app.netsuite.com/app/reporting/reportrunner.nl?fromreport=320&amp;regtx,tranline,kacct,x,alltranline5,IN,x,x=950&amp;cr=293" xr:uid="{CB4DFDF4-5E5C-42B5-872E-A3FAD984F7C3}"/>
    <hyperlink ref="A953" r:id="rId950" display="https://9607261.app.netsuite.com/app/reporting/reportrunner.nl?fromreport=320&amp;regtx,tranline,kacct,x,alltranline5,IN,x,x=950&amp;cr=293" xr:uid="{F9A6B531-B600-4C2E-941C-1786ACC0A7BE}"/>
    <hyperlink ref="A954" r:id="rId951" display="https://9607261.app.netsuite.com/app/reporting/reportrunner.nl?fromreport=320&amp;regtx,tranline,kacct,x,alltranline5,IN,x,x=950&amp;cr=293" xr:uid="{F924DAF8-6742-47B9-9471-6612EA164CE4}"/>
    <hyperlink ref="A955" r:id="rId952" display="https://9607261.app.netsuite.com/app/reporting/reportrunner.nl?fromreport=320&amp;regtx,tranline,kacct,x,alltranline5,IN,x,x=950&amp;cr=293" xr:uid="{B50DBD0B-5096-4F51-A501-9EA4DCD88A46}"/>
    <hyperlink ref="A956" r:id="rId953" display="https://9607261.app.netsuite.com/app/reporting/reportrunner.nl?fromreport=320&amp;regtx,tranline,kacct,x,alltranline5,IN,x,x=950&amp;cr=293" xr:uid="{E84DF55C-04B1-4135-B5C9-F22A7A7A8BAA}"/>
    <hyperlink ref="A957" r:id="rId954" display="https://9607261.app.netsuite.com/app/reporting/reportrunner.nl?fromreport=320&amp;regtx,tranline,kacct,x,alltranline5,IN,x,x=950&amp;cr=293" xr:uid="{5EDAF9CE-FE9B-497A-A2BE-0B2DA53042C5}"/>
    <hyperlink ref="A958" r:id="rId955" display="https://9607261.app.netsuite.com/app/reporting/reportrunner.nl?fromreport=320&amp;regtx,tranline,kacct,x,alltranline5,IN,x,x=950&amp;cr=293" xr:uid="{4690D8E0-4CFE-420E-A438-D811D38A1426}"/>
    <hyperlink ref="A959" r:id="rId956" display="https://9607261.app.netsuite.com/app/reporting/reportrunner.nl?fromreport=320&amp;regtx,tranline,kacct,x,alltranline5,IN,x,x=950&amp;cr=293" xr:uid="{561B8D81-DC6A-4F61-AB45-1D39982D43D3}"/>
    <hyperlink ref="A960" r:id="rId957" display="https://9607261.app.netsuite.com/app/reporting/reportrunner.nl?fromreport=320&amp;regtx,tranline,kacct,x,alltranline5,IN,x,x=950&amp;cr=293" xr:uid="{37911013-6EA3-49C4-8789-FBF085A25A28}"/>
    <hyperlink ref="A961" r:id="rId958" display="https://9607261.app.netsuite.com/app/reporting/reportrunner.nl?fromreport=320&amp;regtx,tranline,kacct,x,alltranline5,IN,x,x=950&amp;cr=293" xr:uid="{29B5658C-8EA5-4207-B55B-04AA6A8C3CB6}"/>
    <hyperlink ref="A962" r:id="rId959" display="https://9607261.app.netsuite.com/app/reporting/reportrunner.nl?fromreport=320&amp;regtx,tranline,kacct,x,alltranline5,IN,x,x=950&amp;cr=293" xr:uid="{B1011800-AA4C-41B1-AB7D-CFCBC01CB5C5}"/>
    <hyperlink ref="A963" r:id="rId960" display="https://9607261.app.netsuite.com/app/reporting/reportrunner.nl?fromreport=320&amp;regtx,tranline,kacct,x,alltranline5,IN,x,x=950&amp;cr=293" xr:uid="{AE2830DC-2828-43B4-A262-4064659BD626}"/>
    <hyperlink ref="A964" r:id="rId961" display="https://9607261.app.netsuite.com/app/reporting/reportrunner.nl?fromreport=320&amp;regtx,tranline,kacct,x,alltranline5,IN,x,x=950&amp;cr=293" xr:uid="{3D5C64F4-A562-41EC-88C2-0CFA9B0F71F2}"/>
    <hyperlink ref="A965" r:id="rId962" display="https://9607261.app.netsuite.com/app/reporting/reportrunner.nl?fromreport=320&amp;regtx,tranline,kacct,x,alltranline5,IN,x,x=950&amp;cr=293" xr:uid="{E8705417-3D12-4849-A0FD-6B362181DC73}"/>
    <hyperlink ref="A966" r:id="rId963" display="https://9607261.app.netsuite.com/app/reporting/reportrunner.nl?fromreport=320&amp;regtx,tranline,kacct,x,alltranline5,IN,x,x=950&amp;cr=293" xr:uid="{8CF51E3C-2AED-4575-811F-E5738501499D}"/>
    <hyperlink ref="A967" r:id="rId964" display="https://9607261.app.netsuite.com/app/reporting/reportrunner.nl?fromreport=320&amp;regtx,tranline,kacct,x,alltranline5,IN,x,x=950&amp;cr=293" xr:uid="{6F0A9A6D-671A-46F5-A9BD-BA633B6C120B}"/>
    <hyperlink ref="A968" r:id="rId965" display="https://9607261.app.netsuite.com/app/reporting/reportrunner.nl?fromreport=320&amp;regtx,tranline,kacct,x,alltranline5,IN,x,x=950&amp;cr=293" xr:uid="{2904AF0B-11A7-4942-B8D1-1D3D9722A2D9}"/>
    <hyperlink ref="A969" r:id="rId966" display="https://9607261.app.netsuite.com/app/reporting/reportrunner.nl?fromreport=320&amp;regtx,tranline,kacct,x,alltranline5,IN,x,x=950&amp;cr=293" xr:uid="{E727E9DB-CF8B-42BA-B1D0-DC8A4622EF40}"/>
    <hyperlink ref="A970" r:id="rId967" display="https://9607261.app.netsuite.com/app/reporting/reportrunner.nl?fromreport=320&amp;regtx,tranline,kacct,x,alltranline5,IN,x,x=950&amp;cr=293" xr:uid="{1A7B44E3-9944-43A7-9973-EBFC8B05EF88}"/>
    <hyperlink ref="A971" r:id="rId968" display="https://9607261.app.netsuite.com/app/reporting/reportrunner.nl?fromreport=320&amp;regtx,tranline,kacct,x,alltranline5,IN,x,x=950&amp;cr=293" xr:uid="{7D5A7197-A869-4055-84ED-7F832BBFA508}"/>
    <hyperlink ref="A972" r:id="rId969" display="https://9607261.app.netsuite.com/app/reporting/reportrunner.nl?fromreport=320&amp;regtx,tranline,kacct,x,alltranline5,IN,x,x=950&amp;cr=293" xr:uid="{31436C3C-518F-4D45-8F7C-F4E30E7598D4}"/>
    <hyperlink ref="A973" r:id="rId970" display="https://9607261.app.netsuite.com/app/reporting/reportrunner.nl?fromreport=320&amp;regtx,tranline,kacct,x,alltranline5,IN,x,x=950&amp;cr=293" xr:uid="{D89B5F81-7CF0-4640-8706-DE3083B2FBEF}"/>
    <hyperlink ref="A974" r:id="rId971" display="https://9607261.app.netsuite.com/app/reporting/reportrunner.nl?fromreport=320&amp;regtx,tranline,kacct,x,alltranline5,IN,x,x=950&amp;cr=293" xr:uid="{34CC8696-FA0D-4461-8B3B-11BF14A10502}"/>
    <hyperlink ref="A975" r:id="rId972" display="https://9607261.app.netsuite.com/app/reporting/reportrunner.nl?fromreport=320&amp;regtx,tranline,kacct,x,alltranline5,IN,x,x=950&amp;cr=293" xr:uid="{6C1B7CF3-F8D3-4921-836F-4003AC4F235E}"/>
    <hyperlink ref="A976" r:id="rId973" display="https://9607261.app.netsuite.com/app/reporting/reportrunner.nl?fromreport=320&amp;regtx,tranline,kacct,x,alltranline5,IN,x,x=950&amp;cr=293" xr:uid="{999CA364-DF94-46C2-94DB-5104DE082C71}"/>
    <hyperlink ref="A977" r:id="rId974" display="https://9607261.app.netsuite.com/app/reporting/reportrunner.nl?fromreport=320&amp;regtx,tranline,kacct,x,alltranline5,IN,x,x=950&amp;cr=293" xr:uid="{FB5670F2-0282-4C5C-816C-C1EA62260421}"/>
    <hyperlink ref="A978" r:id="rId975" display="https://9607261.app.netsuite.com/app/reporting/reportrunner.nl?fromreport=320&amp;regtx,tranline,kacct,x,alltranline5,IN,x,x=950&amp;cr=293" xr:uid="{B3AB3942-14A9-4438-A9CE-76E8F192D2C4}"/>
    <hyperlink ref="A979" r:id="rId976" display="https://9607261.app.netsuite.com/app/reporting/reportrunner.nl?fromreport=320&amp;regtx,tranline,kacct,x,alltranline5,IN,x,x=950&amp;cr=293" xr:uid="{32B0E111-D18B-4204-B33D-31123BD88E85}"/>
    <hyperlink ref="A980" r:id="rId977" display="https://9607261.app.netsuite.com/app/reporting/reportrunner.nl?fromreport=320&amp;regtx,tranline,kacct,x,alltranline5,IN,x,x=950&amp;cr=293" xr:uid="{B2B9CE12-EA24-4312-A70B-32A630108B36}"/>
    <hyperlink ref="A981" r:id="rId978" display="https://9607261.app.netsuite.com/app/reporting/reportrunner.nl?fromreport=320&amp;regtx,tranline,kacct,x,alltranline5,IN,x,x=950&amp;cr=293" xr:uid="{C1BC72F0-9723-4D41-9E46-F7561E1C79F1}"/>
    <hyperlink ref="A982" r:id="rId979" display="https://9607261.app.netsuite.com/app/reporting/reportrunner.nl?fromreport=320&amp;regtx,tranline,kacct,x,alltranline5,IN,x,x=950&amp;cr=293" xr:uid="{8D5EB888-75E9-405E-9FC7-E3D1CCD76B2A}"/>
    <hyperlink ref="A983" r:id="rId980" display="https://9607261.app.netsuite.com/app/reporting/reportrunner.nl?fromreport=320&amp;regtx,tranline,kacct,x,alltranline5,IN,x,x=950&amp;cr=293" xr:uid="{22ECC3D9-CE4C-455D-9EC9-3FA2C6E7A309}"/>
    <hyperlink ref="A984" r:id="rId981" display="https://9607261.app.netsuite.com/app/reporting/reportrunner.nl?fromreport=320&amp;regtx,tranline,kacct,x,alltranline5,IN,x,x=950&amp;cr=293" xr:uid="{4D8004FD-0B22-482E-8819-6BCC85B82B90}"/>
    <hyperlink ref="A985" r:id="rId982" display="https://9607261.app.netsuite.com/app/reporting/reportrunner.nl?fromreport=320&amp;regtx,tranline,kacct,x,alltranline5,IN,x,x=950&amp;cr=293" xr:uid="{D630254C-E228-4CBD-BB43-7F826AA6B083}"/>
    <hyperlink ref="A986" r:id="rId983" display="https://9607261.app.netsuite.com/app/reporting/reportrunner.nl?fromreport=320&amp;regtx,tranline,kacct,x,alltranline5,IN,x,x=950&amp;cr=293" xr:uid="{3162C943-872A-4C3D-B0E6-A62918FE4BEF}"/>
    <hyperlink ref="A987" r:id="rId984" display="https://9607261.app.netsuite.com/app/reporting/reportrunner.nl?fromreport=320&amp;regtx,tranline,kacct,x,alltranline5,IN,x,x=950&amp;cr=293" xr:uid="{9D94F834-F5EB-4C62-83F9-0295932935EA}"/>
    <hyperlink ref="A988" r:id="rId985" display="https://9607261.app.netsuite.com/app/reporting/reportrunner.nl?fromreport=320&amp;regtx,tranline,kacct,x,alltranline5,IN,x,x=950&amp;cr=293" xr:uid="{55562045-7357-4801-B1B1-F3B47EAAD9DA}"/>
    <hyperlink ref="A989" r:id="rId986" display="https://9607261.app.netsuite.com/app/reporting/reportrunner.nl?fromreport=320&amp;regtx,tranline,kacct,x,alltranline5,IN,x,x=950&amp;cr=293" xr:uid="{3714FAB4-6F66-457A-93B9-8E69993C2516}"/>
    <hyperlink ref="A990" r:id="rId987" display="https://9607261.app.netsuite.com/app/reporting/reportrunner.nl?fromreport=320&amp;regtx,tranline,kacct,x,alltranline5,IN,x,x=950&amp;cr=293" xr:uid="{337EC89F-39B5-41FF-AE92-E89E73A5A0CC}"/>
    <hyperlink ref="A991" r:id="rId988" display="https://9607261.app.netsuite.com/app/reporting/reportrunner.nl?fromreport=320&amp;regtx,tranline,kacct,x,alltranline5,IN,x,x=950&amp;cr=293" xr:uid="{31A3194D-1BFE-4DB2-A39B-03046D12E712}"/>
    <hyperlink ref="A992" r:id="rId989" display="https://9607261.app.netsuite.com/app/reporting/reportrunner.nl?fromreport=320&amp;regtx,tranline,kacct,x,alltranline5,IN,x,x=950&amp;cr=293" xr:uid="{106D3A5F-EB23-4B0F-AE3A-A8F0A278C434}"/>
    <hyperlink ref="A993" r:id="rId990" display="https://9607261.app.netsuite.com/app/reporting/reportrunner.nl?fromreport=320&amp;regtx,tranline,kacct,x,alltranline5,IN,x,x=950&amp;cr=293" xr:uid="{4190ED27-4789-40FF-819A-728431B72BAF}"/>
    <hyperlink ref="A994" r:id="rId991" display="https://9607261.app.netsuite.com/app/reporting/reportrunner.nl?fromreport=320&amp;regtx,tranline,kacct,x,alltranline5,IN,x,x=950&amp;cr=293" xr:uid="{B43BA2A5-D1B1-4F8A-AA22-B168311CC686}"/>
    <hyperlink ref="A995" r:id="rId992" display="https://9607261.app.netsuite.com/app/reporting/reportrunner.nl?fromreport=320&amp;regtx,tranline,kacct,x,alltranline5,IN,x,x=950&amp;cr=293" xr:uid="{2785D28D-26E0-4DC3-9BAD-140677124B65}"/>
    <hyperlink ref="A996" r:id="rId993" display="https://9607261.app.netsuite.com/app/reporting/reportrunner.nl?fromreport=320&amp;regtx,tranline,kacct,x,alltranline5,IN,x,x=950&amp;cr=293" xr:uid="{5151B3CE-EA3F-45E0-BE12-3C0729D75273}"/>
    <hyperlink ref="A997" r:id="rId994" display="https://9607261.app.netsuite.com/app/reporting/reportrunner.nl?fromreport=320&amp;regtx,tranline,kacct,x,alltranline5,IN,x,x=950&amp;cr=293" xr:uid="{C73414E0-FC33-4CF3-8C25-B6CCD41B780A}"/>
    <hyperlink ref="A998" r:id="rId995" display="https://9607261.app.netsuite.com/app/reporting/reportrunner.nl?fromreport=320&amp;regtx,tranline,kacct,x,alltranline5,IN,x,x=950&amp;cr=293" xr:uid="{75ED7A34-18C7-40E6-A6E9-636ECC232479}"/>
    <hyperlink ref="A999" r:id="rId996" display="https://9607261.app.netsuite.com/app/reporting/reportrunner.nl?fromreport=320&amp;regtx,tranline,kacct,x,alltranline5,IN,x,x=950&amp;cr=293" xr:uid="{6A6A560F-E868-472D-87B0-69BAE24DE453}"/>
    <hyperlink ref="A1000" r:id="rId997" display="https://9607261.app.netsuite.com/app/reporting/reportrunner.nl?fromreport=320&amp;regtx,tranline,kacct,x,alltranline5,IN,x,x=950&amp;cr=293" xr:uid="{E4681266-137E-48C7-A760-00355E154494}"/>
    <hyperlink ref="A1001" r:id="rId998" display="https://9607261.app.netsuite.com/app/reporting/reportrunner.nl?fromreport=320&amp;regtx,tranline,kacct,x,alltranline5,IN,x,x=950&amp;cr=293" xr:uid="{D3A6FB2E-8567-4A21-8A66-592AEE95107D}"/>
    <hyperlink ref="A1002" r:id="rId999" display="https://9607261.app.netsuite.com/app/reporting/reportrunner.nl?fromreport=320&amp;regtx,tranline,kacct,x,alltranline5,IN,x,x=950&amp;cr=293" xr:uid="{ADC46BDB-37F0-409E-84E4-63A1C5AFE59D}"/>
    <hyperlink ref="A1003" r:id="rId1000" display="https://9607261.app.netsuite.com/app/reporting/reportrunner.nl?fromreport=320&amp;regtx,tranline,kacct,x,alltranline5,IN,x,x=950&amp;cr=293" xr:uid="{C6C81DB4-8880-46E8-A95F-6EBF74313360}"/>
    <hyperlink ref="A1004" r:id="rId1001" display="https://9607261.app.netsuite.com/app/reporting/reportrunner.nl?fromreport=320&amp;regtx,tranline,kacct,x,alltranline5,IN,x,x=950&amp;cr=293" xr:uid="{C4849F15-18A6-4EA3-8296-481FDE5983E1}"/>
    <hyperlink ref="A1005" r:id="rId1002" display="https://9607261.app.netsuite.com/app/reporting/reportrunner.nl?fromreport=320&amp;regtx,tranline,kacct,x,alltranline5,IN,x,x=950&amp;cr=293" xr:uid="{DAFFCFFA-2CBC-400D-9A80-04C3664730CA}"/>
    <hyperlink ref="A1006" r:id="rId1003" display="https://9607261.app.netsuite.com/app/reporting/reportrunner.nl?fromreport=320&amp;regtx,tranline,kacct,x,alltranline5,IN,x,x=950&amp;cr=293" xr:uid="{78B60BD7-D201-4BA0-87AA-C5ED538229A5}"/>
    <hyperlink ref="A1007" r:id="rId1004" display="https://9607261.app.netsuite.com/app/reporting/reportrunner.nl?fromreport=320&amp;regtx,tranline,kacct,x,alltranline5,IN,x,x=950&amp;cr=293" xr:uid="{53247577-06E1-418F-8437-B1C01329D8B9}"/>
    <hyperlink ref="A1008" r:id="rId1005" display="https://9607261.app.netsuite.com/app/reporting/reportrunner.nl?fromreport=320&amp;regtx,tranline,kacct,x,alltranline5,IN,x,x=950&amp;cr=293" xr:uid="{E722F2F3-653F-4DFC-A275-CC9DC1FFD883}"/>
    <hyperlink ref="A1009" r:id="rId1006" display="https://9607261.app.netsuite.com/app/reporting/reportrunner.nl?fromreport=320&amp;regtx,tranline,kacct,x,alltranline5,IN,x,x=950&amp;cr=293" xr:uid="{347BF6F5-55C6-49EC-9FE2-06F312040185}"/>
    <hyperlink ref="A1010" r:id="rId1007" display="https://9607261.app.netsuite.com/app/reporting/reportrunner.nl?fromreport=320&amp;regtx,tranline,kacct,x,alltranline5,IN,x,x=950&amp;cr=293" xr:uid="{C4168A73-010E-4377-BD0C-1D6EE1B1FFC3}"/>
    <hyperlink ref="A1011" r:id="rId1008" display="https://9607261.app.netsuite.com/app/reporting/reportrunner.nl?fromreport=320&amp;regtx,tranline,kacct,x,alltranline5,IN,x,x=950&amp;cr=293" xr:uid="{97D501A6-4798-4AEE-861F-59340AED3381}"/>
    <hyperlink ref="A1012" r:id="rId1009" display="https://9607261.app.netsuite.com/app/reporting/reportrunner.nl?fromreport=320&amp;regtx,tranline,kacct,x,alltranline5,IN,x,x=950&amp;cr=293" xr:uid="{D16D3235-A19B-4CB7-AAAD-60BAC23AF994}"/>
    <hyperlink ref="A1013" r:id="rId1010" display="https://9607261.app.netsuite.com/app/reporting/reportrunner.nl?fromreport=320&amp;regtx,tranline,kacct,x,alltranline5,IN,x,x=950&amp;cr=293" xr:uid="{04D48240-F7FC-44D3-82BD-E876532C231B}"/>
    <hyperlink ref="A1014" r:id="rId1011" display="https://9607261.app.netsuite.com/app/reporting/reportrunner.nl?fromreport=320&amp;regtx,tranline,kacct,x,alltranline5,IN,x,x=950&amp;cr=293" xr:uid="{0FB1F8CE-FD9A-4E1D-9EE5-45102037489D}"/>
    <hyperlink ref="A1015" r:id="rId1012" display="https://9607261.app.netsuite.com/app/reporting/reportrunner.nl?fromreport=320&amp;regtx,tranline,kacct,x,alltranline5,IN,x,x=950&amp;cr=293" xr:uid="{E4927B6D-D3A2-4C31-9968-BE306D5DCB64}"/>
    <hyperlink ref="A1016" r:id="rId1013" display="https://9607261.app.netsuite.com/app/reporting/reportrunner.nl?fromreport=320&amp;regtx,tranline,kacct,x,alltranline5,IN,x,x=950&amp;cr=293" xr:uid="{CD8EF21B-A017-48AB-A9CE-73B15A405FA3}"/>
    <hyperlink ref="A1017" r:id="rId1014" display="https://9607261.app.netsuite.com/app/reporting/reportrunner.nl?fromreport=320&amp;regtx,tranline,kacct,x,alltranline5,IN,x,x=950&amp;cr=293" xr:uid="{07A43DB2-7A6B-4041-B340-ADDE95F1CA58}"/>
    <hyperlink ref="A1018" r:id="rId1015" display="https://9607261.app.netsuite.com/app/reporting/reportrunner.nl?fromreport=320&amp;regtx,tranline,kacct,x,alltranline5,IN,x,x=950&amp;cr=293" xr:uid="{2579135B-0B4F-4414-8C82-BB1825886F36}"/>
    <hyperlink ref="A1019" r:id="rId1016" display="https://9607261.app.netsuite.com/app/reporting/reportrunner.nl?fromreport=320&amp;regtx,tranline,kacct,x,alltranline5,IN,x,x=950&amp;cr=293" xr:uid="{1D4698F6-F9DA-4D9E-8845-B2F146C545BF}"/>
    <hyperlink ref="A1020" r:id="rId1017" display="https://9607261.app.netsuite.com/app/reporting/reportrunner.nl?fromreport=320&amp;regtx,tranline,kacct,x,alltranline5,IN,x,x=950&amp;cr=293" xr:uid="{04178D2D-F724-4E9E-ABD8-2AF55295F94A}"/>
    <hyperlink ref="A1021" r:id="rId1018" display="https://9607261.app.netsuite.com/app/reporting/reportrunner.nl?fromreport=320&amp;regtx,tranline,kacct,x,alltranline5,IN,x,x=950&amp;cr=293" xr:uid="{5CFB19D0-8B80-425A-8B8E-66D20A561526}"/>
    <hyperlink ref="A1022" r:id="rId1019" display="https://9607261.app.netsuite.com/app/reporting/reportrunner.nl?fromreport=320&amp;regtx,tranline,kacct,x,alltranline5,IN,x,x=950&amp;cr=293" xr:uid="{8BF7B782-8348-4B5D-BB44-C9B7795EF46B}"/>
    <hyperlink ref="A1023" r:id="rId1020" display="https://9607261.app.netsuite.com/app/reporting/reportrunner.nl?fromreport=320&amp;regtx,tranline,kacct,x,alltranline5,IN,x,x=950&amp;cr=293" xr:uid="{D79E9245-0262-493C-A1A8-59F4CFEF88E4}"/>
    <hyperlink ref="A1024" r:id="rId1021" display="https://9607261.app.netsuite.com/app/reporting/reportrunner.nl?fromreport=320&amp;regtx,tranline,kacct,x,alltranline5,IN,x,x=950&amp;cr=293" xr:uid="{35E2991A-1FEE-4B96-BAF1-C1319DC11F1B}"/>
    <hyperlink ref="A1025" r:id="rId1022" display="https://9607261.app.netsuite.com/app/reporting/reportrunner.nl?fromreport=320&amp;regtx,tranline,kacct,x,alltranline5,IN,x,x=950&amp;cr=293" xr:uid="{1360D9EC-D12F-4DB0-8A0E-991EFBD98A60}"/>
    <hyperlink ref="A1026" r:id="rId1023" display="https://9607261.app.netsuite.com/app/reporting/reportrunner.nl?fromreport=320&amp;regtx,tranline,kacct,x,alltranline5,IN,x,x=950&amp;cr=293" xr:uid="{6BE814B4-1A28-446C-AD3B-26C6513006CB}"/>
    <hyperlink ref="A1027" r:id="rId1024" display="https://9607261.app.netsuite.com/app/reporting/reportrunner.nl?fromreport=320&amp;regtx,tranline,kacct,x,alltranline5,IN,x,x=950&amp;cr=293" xr:uid="{601993CA-0BC8-4396-9C9B-70EFA33087DB}"/>
    <hyperlink ref="A1028" r:id="rId1025" display="https://9607261.app.netsuite.com/app/reporting/reportrunner.nl?fromreport=320&amp;regtx,tranline,kacct,x,alltranline5,IN,x,x=950&amp;cr=293" xr:uid="{0612AF15-06FC-4066-810F-4B6987E9BF7A}"/>
    <hyperlink ref="A1029" r:id="rId1026" display="https://9607261.app.netsuite.com/app/reporting/reportrunner.nl?fromreport=320&amp;regtx,tranline,kacct,x,alltranline5,IN,x,x=950&amp;cr=293" xr:uid="{BCB2B72E-DA93-4D9E-A8B6-7AC38CAEECB8}"/>
    <hyperlink ref="A1030" r:id="rId1027" display="https://9607261.app.netsuite.com/app/reporting/reportrunner.nl?fromreport=320&amp;regtx,tranline,kacct,x,alltranline5,IN,x,x=950&amp;cr=293" xr:uid="{63F88B34-5101-4CDF-9877-7B5C147C792E}"/>
    <hyperlink ref="A1031" r:id="rId1028" display="https://9607261.app.netsuite.com/app/reporting/reportrunner.nl?fromreport=320&amp;regtx,tranline,kacct,x,alltranline5,IN,x,x=950&amp;cr=293" xr:uid="{227AC383-125A-4D3A-A113-7194D26EA0AC}"/>
    <hyperlink ref="A1032" r:id="rId1029" display="https://9607261.app.netsuite.com/app/reporting/reportrunner.nl?fromreport=320&amp;regtx,tranline,kacct,x,alltranline5,IN,x,x=950&amp;cr=293" xr:uid="{16D3B0C9-2431-4FB7-A76D-892D875A182F}"/>
    <hyperlink ref="A1033" r:id="rId1030" display="https://9607261.app.netsuite.com/app/reporting/reportrunner.nl?fromreport=320&amp;regtx,tranline,kacct,x,alltranline5,IN,x,x=950&amp;cr=293" xr:uid="{4612D03A-2834-4188-AADB-F7A1520BE35E}"/>
    <hyperlink ref="A1034" r:id="rId1031" display="https://9607261.app.netsuite.com/app/reporting/reportrunner.nl?fromreport=320&amp;regtx,tranline,kacct,x,alltranline5,IN,x,x=950&amp;cr=293" xr:uid="{96194857-5EE5-4CEF-9049-DB882524AEB6}"/>
    <hyperlink ref="A1035" r:id="rId1032" display="https://9607261.app.netsuite.com/app/reporting/reportrunner.nl?fromreport=320&amp;regtx,tranline,kacct,x,alltranline5,IN,x,x=950&amp;cr=293" xr:uid="{887D0B43-58DE-40A0-9659-4D8065606FBC}"/>
    <hyperlink ref="A1036" r:id="rId1033" display="https://9607261.app.netsuite.com/app/reporting/reportrunner.nl?fromreport=320&amp;regtx,tranline,kacct,x,alltranline5,IN,x,x=950&amp;cr=293" xr:uid="{03A29E5F-67A1-4656-9CAC-C28ECE42FFE4}"/>
    <hyperlink ref="A1037" r:id="rId1034" display="https://9607261.app.netsuite.com/app/reporting/reportrunner.nl?fromreport=320&amp;regtx,tranline,kacct,x,alltranline5,IN,x,x=950&amp;cr=293" xr:uid="{2989EC78-4664-4795-8999-C518EC691F17}"/>
    <hyperlink ref="A1038" r:id="rId1035" display="https://9607261.app.netsuite.com/app/reporting/reportrunner.nl?fromreport=320&amp;regtx,tranline,kacct,x,alltranline5,IN,x,x=950&amp;cr=293" xr:uid="{777179CA-5769-484A-8C0A-A75F2A23CE8C}"/>
    <hyperlink ref="A1039" r:id="rId1036" display="https://9607261.app.netsuite.com/app/reporting/reportrunner.nl?fromreport=320&amp;regtx,tranline,kacct,x,alltranline5,IN,x,x=950&amp;cr=293" xr:uid="{6C70187B-EAD9-4E52-83F4-C31D542ED610}"/>
    <hyperlink ref="A1040" r:id="rId1037" display="https://9607261.app.netsuite.com/app/reporting/reportrunner.nl?fromreport=320&amp;regtx,tranline,kacct,x,alltranline5,IN,x,x=950&amp;cr=293" xr:uid="{3AE0C341-79F7-4271-A0F5-8823C079849A}"/>
    <hyperlink ref="A1041" r:id="rId1038" display="https://9607261.app.netsuite.com/app/reporting/reportrunner.nl?fromreport=320&amp;regtx,tranline,kacct,x,alltranline5,IN,x,x=950&amp;cr=293" xr:uid="{E1394D85-DD1C-4DBE-A80D-6DB77970B3EE}"/>
    <hyperlink ref="A1042" r:id="rId1039" display="https://9607261.app.netsuite.com/app/reporting/reportrunner.nl?fromreport=320&amp;regtx,tranline,kacct,x,alltranline5,IN,x,x=950&amp;cr=293" xr:uid="{753B1D42-6676-41ED-AA53-202277845BA1}"/>
    <hyperlink ref="A1043" r:id="rId1040" display="https://9607261.app.netsuite.com/app/reporting/reportrunner.nl?fromreport=320&amp;regtx,tranline,kacct,x,alltranline5,IN,x,x=950&amp;cr=293" xr:uid="{FA460C42-06BB-4000-8C78-F62A298761D3}"/>
    <hyperlink ref="A1044" r:id="rId1041" display="https://9607261.app.netsuite.com/app/reporting/reportrunner.nl?fromreport=320&amp;regtx,tranline,kacct,x,alltranline5,IN,x,x=950&amp;cr=293" xr:uid="{5BF436DB-53EF-40C0-81C4-B06F1733FE93}"/>
    <hyperlink ref="A1045" r:id="rId1042" display="https://9607261.app.netsuite.com/app/reporting/reportrunner.nl?fromreport=320&amp;regtx,tranline,kacct,x,alltranline5,IN,x,x=950&amp;cr=293" xr:uid="{20F3E629-0287-41F8-8E76-8F760A88AF14}"/>
    <hyperlink ref="A1046" r:id="rId1043" display="https://9607261.app.netsuite.com/app/reporting/reportrunner.nl?fromreport=320&amp;regtx,tranline,kacct,x,alltranline5,IN,x,x=950&amp;cr=293" xr:uid="{B864FBD0-9F9B-4A81-BA2B-6C261308B0FF}"/>
    <hyperlink ref="A1047" r:id="rId1044" display="https://9607261.app.netsuite.com/app/reporting/reportrunner.nl?fromreport=320&amp;regtx,tranline,kacct,x,alltranline5,IN,x,x=950&amp;cr=293" xr:uid="{08EC3922-3957-4DA3-A69D-8323185D1E50}"/>
    <hyperlink ref="A1048" r:id="rId1045" display="https://9607261.app.netsuite.com/app/reporting/reportrunner.nl?fromreport=320&amp;regtx,tranline,kacct,x,alltranline5,IN,x,x=950&amp;cr=293" xr:uid="{E67E4F83-D2B7-488E-A06E-406F9BDD48E0}"/>
    <hyperlink ref="A1049" r:id="rId1046" display="https://9607261.app.netsuite.com/app/reporting/reportrunner.nl?fromreport=320&amp;regtx,tranline,kacct,x,alltranline5,IN,x,x=950&amp;cr=293" xr:uid="{372DD871-E0D0-4FB9-A3E9-52298A5DC58D}"/>
    <hyperlink ref="A1050" r:id="rId1047" display="https://9607261.app.netsuite.com/app/reporting/reportrunner.nl?fromreport=320&amp;regtx,tranline,kacct,x,alltranline5,IN,x,x=950&amp;cr=293" xr:uid="{8BAC9F15-60A7-4485-B84A-032F9CF10710}"/>
    <hyperlink ref="A1051" r:id="rId1048" display="https://9607261.app.netsuite.com/app/reporting/reportrunner.nl?fromreport=320&amp;regtx,tranline,kacct,x,alltranline5,IN,x,x=950&amp;cr=293" xr:uid="{706DCB45-C106-4406-82C0-2B09B3EAE9FE}"/>
    <hyperlink ref="A1052" r:id="rId1049" display="https://9607261.app.netsuite.com/app/reporting/reportrunner.nl?fromreport=320&amp;regtx,tranline,kacct,x,alltranline5,IN,x,x=950&amp;cr=293" xr:uid="{6D06A69C-BA4C-45FA-817A-FC3809FA8861}"/>
    <hyperlink ref="A1053" r:id="rId1050" display="https://9607261.app.netsuite.com/app/reporting/reportrunner.nl?fromreport=320&amp;regtx,tranline,kacct,x,alltranline5,IN,x,x=950&amp;cr=293" xr:uid="{0C9ABB81-CD82-4A13-9BEC-04D7ED7AE87E}"/>
    <hyperlink ref="A1054" r:id="rId1051" display="https://9607261.app.netsuite.com/app/reporting/reportrunner.nl?fromreport=320&amp;regtx,tranline,kacct,x,alltranline5,IN,x,x=950&amp;cr=293" xr:uid="{8A507DB3-06FB-4C3E-B642-C09F58EED16E}"/>
    <hyperlink ref="A1055" r:id="rId1052" display="https://9607261.app.netsuite.com/app/reporting/reportrunner.nl?fromreport=320&amp;regtx,tranline,kacct,x,alltranline5,IN,x,x=950&amp;cr=293" xr:uid="{6FD91D26-10C7-4160-9587-CFAE80A645E6}"/>
    <hyperlink ref="A1056" r:id="rId1053" display="https://9607261.app.netsuite.com/app/reporting/reportrunner.nl?fromreport=320&amp;regtx,tranline,kacct,x,alltranline5,IN,x,x=950&amp;cr=293" xr:uid="{CD9300A7-DB18-4E58-B1B9-1D9AD7D3357D}"/>
    <hyperlink ref="A1057" r:id="rId1054" display="https://9607261.app.netsuite.com/app/reporting/reportrunner.nl?fromreport=320&amp;regtx,tranline,kacct,x,alltranline5,IN,x,x=950&amp;cr=293" xr:uid="{83382A45-C140-464D-9C2B-E0D19EC2E6F6}"/>
    <hyperlink ref="A1058" r:id="rId1055" display="https://9607261.app.netsuite.com/app/reporting/reportrunner.nl?fromreport=320&amp;regtx,tranline,kacct,x,alltranline5,IN,x,x=950&amp;cr=293" xr:uid="{9ADA882D-2F80-44C8-AF1B-9782ABDCCF97}"/>
    <hyperlink ref="A1059" r:id="rId1056" display="https://9607261.app.netsuite.com/app/reporting/reportrunner.nl?fromreport=320&amp;regtx,tranline,kacct,x,alltranline5,IN,x,x=950&amp;cr=293" xr:uid="{39DCC05C-D9C6-4C2D-B8A2-AC12C764221F}"/>
    <hyperlink ref="A1060" r:id="rId1057" display="https://9607261.app.netsuite.com/app/reporting/reportrunner.nl?fromreport=320&amp;regtx,tranline,kacct,x,alltranline5,IN,x,x=950&amp;cr=293" xr:uid="{F74652F0-315E-4B8E-B85E-9DDC8A4816CB}"/>
    <hyperlink ref="A1061" r:id="rId1058" display="https://9607261.app.netsuite.com/app/reporting/reportrunner.nl?fromreport=320&amp;regtx,tranline,kacct,x,alltranline5,IN,x,x=950&amp;cr=293" xr:uid="{EAC39469-706A-4343-8678-7C81E35AE1DC}"/>
    <hyperlink ref="A1062" r:id="rId1059" display="https://9607261.app.netsuite.com/app/reporting/reportrunner.nl?fromreport=320&amp;regtx,tranline,kacct,x,alltranline5,IN,x,x=950&amp;cr=293" xr:uid="{D80D2B0F-1E86-45CF-A207-4FD871C18D10}"/>
    <hyperlink ref="A1063" r:id="rId1060" display="https://9607261.app.netsuite.com/app/reporting/reportrunner.nl?fromreport=320&amp;regtx,tranline,kacct,x,alltranline5,IN,x,x=950&amp;cr=293" xr:uid="{9B24EE5E-DA19-44A7-A033-77356B12772B}"/>
    <hyperlink ref="A1064" r:id="rId1061" display="https://9607261.app.netsuite.com/app/reporting/reportrunner.nl?fromreport=320&amp;regtx,tranline,kacct,x,alltranline5,IN,x,x=950&amp;cr=293" xr:uid="{A1433DA7-E27F-4A41-A64F-34D27F5EBEB6}"/>
    <hyperlink ref="A1065" r:id="rId1062" display="https://9607261.app.netsuite.com/app/reporting/reportrunner.nl?fromreport=320&amp;regtx,tranline,kacct,x,alltranline5,IN,x,x=950&amp;cr=293" xr:uid="{712B788B-5FAC-449B-94F2-972C63EBD8D7}"/>
    <hyperlink ref="A1066" r:id="rId1063" display="https://9607261.app.netsuite.com/app/reporting/reportrunner.nl?fromreport=320&amp;regtx,tranline,kacct,x,alltranline5,IN,x,x=950&amp;cr=293" xr:uid="{1F5BE1CB-894B-407C-98C4-41D4AC742DA5}"/>
    <hyperlink ref="A1067" r:id="rId1064" display="https://9607261.app.netsuite.com/app/reporting/reportrunner.nl?fromreport=320&amp;regtx,tranline,kacct,x,alltranline5,IN,x,x=950&amp;cr=293" xr:uid="{C18CC97D-C4AB-4D72-A8CF-391EBD0DCAE4}"/>
    <hyperlink ref="A1068" r:id="rId1065" display="https://9607261.app.netsuite.com/app/reporting/reportrunner.nl?fromreport=320&amp;regtx,tranline,kacct,x,alltranline5,IN,x,x=950&amp;cr=293" xr:uid="{D26E1A44-C300-4299-9EF8-AFB4E8128771}"/>
    <hyperlink ref="A1069" r:id="rId1066" display="https://9607261.app.netsuite.com/app/reporting/reportrunner.nl?fromreport=320&amp;regtx,tranline,kacct,x,alltranline5,IN,x,x=950&amp;cr=293" xr:uid="{1CB6CF67-73AD-4047-9816-D64FCAF3DAA8}"/>
    <hyperlink ref="A1070" r:id="rId1067" display="https://9607261.app.netsuite.com/app/reporting/reportrunner.nl?fromreport=320&amp;regtx,tranline,kacct,x,alltranline5,IN,x,x=950&amp;cr=293" xr:uid="{C94D4128-B24A-4639-B981-B8D5E1EA8220}"/>
    <hyperlink ref="A1071" r:id="rId1068" display="https://9607261.app.netsuite.com/app/reporting/reportrunner.nl?fromreport=320&amp;regtx,tranline,kacct,x,alltranline5,IN,x,x=950&amp;cr=293" xr:uid="{FF39B4EC-F81D-446F-8298-8E331029ECF2}"/>
    <hyperlink ref="A1072" r:id="rId1069" display="https://9607261.app.netsuite.com/app/reporting/reportrunner.nl?fromreport=320&amp;regtx,tranline,kacct,x,alltranline5,IN,x,x=950&amp;cr=293" xr:uid="{620745AB-1EB5-433C-80FF-E3CBBA813A29}"/>
    <hyperlink ref="A1073" r:id="rId1070" display="https://9607261.app.netsuite.com/app/reporting/reportrunner.nl?fromreport=320&amp;regtx,tranline,kacct,x,alltranline5,IN,x,x=950&amp;cr=293" xr:uid="{AFBA0A8D-A20B-481D-AE12-C8D6FC78CC87}"/>
    <hyperlink ref="A1074" r:id="rId1071" display="https://9607261.app.netsuite.com/app/reporting/reportrunner.nl?fromreport=320&amp;regtx,tranline,kacct,x,alltranline5,IN,x,x=950&amp;cr=293" xr:uid="{37257DE3-1829-4DAD-8A04-A9889A3E2F05}"/>
    <hyperlink ref="A1075" r:id="rId1072" display="https://9607261.app.netsuite.com/app/reporting/reportrunner.nl?fromreport=320&amp;regtx,tranline,kacct,x,alltranline5,IN,x,x=950&amp;cr=293" xr:uid="{A61FCA10-0493-4DC0-9979-2D9797CAFF03}"/>
    <hyperlink ref="A1076" r:id="rId1073" display="https://9607261.app.netsuite.com/app/reporting/reportrunner.nl?fromreport=320&amp;regtx,tranline,kacct,x,alltranline5,IN,x,x=950&amp;cr=293" xr:uid="{F1675F67-AB1D-40BA-A69D-990C601E71F1}"/>
    <hyperlink ref="A1077" r:id="rId1074" display="https://9607261.app.netsuite.com/app/reporting/reportrunner.nl?fromreport=320&amp;regtx,tranline,kacct,x,alltranline5,IN,x,x=950&amp;cr=293" xr:uid="{4ECD4D8C-0BF8-4564-8562-5FBBD02F643D}"/>
    <hyperlink ref="A1078" r:id="rId1075" display="https://9607261.app.netsuite.com/app/reporting/reportrunner.nl?fromreport=320&amp;regtx,tranline,kacct,x,alltranline5,IN,x,x=950&amp;cr=293" xr:uid="{986AF4D8-A5EC-42F4-9CD9-8C3C7EB80909}"/>
    <hyperlink ref="A1079" r:id="rId1076" display="https://9607261.app.netsuite.com/app/reporting/reportrunner.nl?fromreport=320&amp;regtx,tranline,kacct,x,alltranline5,IN,x,x=950&amp;cr=293" xr:uid="{933D315A-2F4D-474E-9F42-4971D1FBB408}"/>
    <hyperlink ref="A1080" r:id="rId1077" display="https://9607261.app.netsuite.com/app/reporting/reportrunner.nl?fromreport=320&amp;regtx,tranline,kacct,x,alltranline5,IN,x,x=950&amp;cr=293" xr:uid="{DE9A1733-2ED1-426E-AB69-179CD3CB5F0A}"/>
    <hyperlink ref="A1081" r:id="rId1078" display="https://9607261.app.netsuite.com/app/reporting/reportrunner.nl?fromreport=320&amp;regtx,tranline,kacct,x,alltranline5,IN,x,x=950&amp;cr=293" xr:uid="{E97FCB61-1E85-4758-A3C7-51AA53FD1FC1}"/>
    <hyperlink ref="A1082" r:id="rId1079" display="https://9607261.app.netsuite.com/app/reporting/reportrunner.nl?fromreport=320&amp;regtx,tranline,kacct,x,alltranline5,IN,x,x=950&amp;cr=293" xr:uid="{991EB11C-B552-425D-AC66-6C0BE52EA404}"/>
    <hyperlink ref="A1083" r:id="rId1080" display="https://9607261.app.netsuite.com/app/reporting/reportrunner.nl?fromreport=320&amp;regtx,tranline,kacct,x,alltranline5,IN,x,x=950&amp;cr=293" xr:uid="{963E7392-317B-45EA-B476-672740F40C8F}"/>
    <hyperlink ref="A1084" r:id="rId1081" display="https://9607261.app.netsuite.com/app/reporting/reportrunner.nl?fromreport=320&amp;regtx,tranline,kacct,x,alltranline5,IN,x,x=950&amp;cr=293" xr:uid="{234F70A8-3B3C-4EB0-8F7E-DA019195B0B8}"/>
    <hyperlink ref="A1085" r:id="rId1082" display="https://9607261.app.netsuite.com/app/reporting/reportrunner.nl?fromreport=320&amp;regtx,tranline,kacct,x,alltranline5,IN,x,x=950&amp;cr=293" xr:uid="{EA03028D-1427-413E-8EDB-6612C221CE5E}"/>
    <hyperlink ref="A1086" r:id="rId1083" display="https://9607261.app.netsuite.com/app/reporting/reportrunner.nl?fromreport=320&amp;regtx,tranline,kacct,x,alltranline5,IN,x,x=950&amp;cr=293" xr:uid="{99E69369-4CD5-4072-967C-234D70376F51}"/>
    <hyperlink ref="A1087" r:id="rId1084" display="https://9607261.app.netsuite.com/app/reporting/reportrunner.nl?fromreport=320&amp;regtx,tranline,kacct,x,alltranline5,IN,x,x=950&amp;cr=293" xr:uid="{2951F943-FD7D-4DF5-B137-CB8795D6E023}"/>
    <hyperlink ref="A1088" r:id="rId1085" display="https://9607261.app.netsuite.com/app/reporting/reportrunner.nl?fromreport=320&amp;regtx,tranline,kacct,x,alltranline5,IN,x,x=950&amp;cr=293" xr:uid="{438A2E54-23C8-4E1A-B9FA-3ACB1F0A400F}"/>
    <hyperlink ref="A1089" r:id="rId1086" display="https://9607261.app.netsuite.com/app/reporting/reportrunner.nl?fromreport=320&amp;regtx,tranline,kacct,x,alltranline5,IN,x,x=950&amp;cr=293" xr:uid="{5A479D98-71A7-47DC-B56A-BA8D69E27E6D}"/>
    <hyperlink ref="A1090" r:id="rId1087" display="https://9607261.app.netsuite.com/app/reporting/reportrunner.nl?fromreport=320&amp;regtx,tranline,kacct,x,alltranline5,IN,x,x=950&amp;cr=293" xr:uid="{24DE2AE3-12B1-41D0-8313-CBC49B45ADA9}"/>
    <hyperlink ref="A1091:A1171" r:id="rId1088" display="https://9607261.app.netsuite.com/app/reporting/reportrunner.nl?fromreport=320&amp;regtx,tranline,kacct,x,alltranline5,IN,x,x=950&amp;cr=293" xr:uid="{E0566B2D-FDEB-45F0-AFB2-DE14710856ED}"/>
    <hyperlink ref="A1172" r:id="rId1089" display="https://9607261.app.netsuite.com/app/reporting/reportrunner.nl?fromreport=320&amp;regtx,tranline,kacct,x,alltranline5,IN,x,x=950&amp;cr=293" xr:uid="{98CC45F1-8762-4724-BAE9-0CAD87CAF70F}"/>
    <hyperlink ref="A1173" r:id="rId1090" display="https://9607261.app.netsuite.com/app/reporting/reportrunner.nl?fromreport=320&amp;regtx,tranline,kacct,x,alltranline5,IN,x,x=950&amp;cr=293" xr:uid="{8485B0FD-868F-4123-97C5-EB7D8645AB48}"/>
    <hyperlink ref="A1174" r:id="rId1091" display="https://9607261.app.netsuite.com/app/reporting/reportrunner.nl?fromreport=320&amp;regtx,tranline,kacct,x,alltranline5,IN,x,x=950&amp;cr=293" xr:uid="{2D64A90F-4D2C-482C-A9EB-1006C99781BE}"/>
    <hyperlink ref="A1175" r:id="rId1092" display="https://9607261.app.netsuite.com/app/reporting/reportrunner.nl?fromreport=320&amp;regtx,tranline,kacct,x,alltranline5,IN,x,x=950&amp;cr=293" xr:uid="{A4BCABF6-25BF-4732-B806-79F80B8186E9}"/>
    <hyperlink ref="A1176" r:id="rId1093" display="https://9607261.app.netsuite.com/app/reporting/reportrunner.nl?fromreport=320&amp;regtx,tranline,kacct,x,alltranline5,IN,x,x=950&amp;cr=293" xr:uid="{1127C5AF-2923-48FB-9679-F8E27944FB19}"/>
    <hyperlink ref="A1177" r:id="rId1094" display="https://9607261.app.netsuite.com/app/reporting/reportrunner.nl?fromreport=320&amp;regtx,tranline,kacct,x,alltranline5,IN,x,x=950&amp;cr=293" xr:uid="{DA12B08F-08C5-4D4C-B7E3-3F7A02D90C32}"/>
    <hyperlink ref="A1178" r:id="rId1095" display="https://9607261.app.netsuite.com/app/reporting/reportrunner.nl?fromreport=320&amp;regtx,tranline,kacct,x,alltranline5,IN,x,x=950&amp;cr=293" xr:uid="{3C9BB939-2573-4129-A6E4-0431EDD26712}"/>
    <hyperlink ref="A1179" r:id="rId1096" display="https://9607261.app.netsuite.com/app/reporting/reportrunner.nl?fromreport=320&amp;regtx,tranline,kacct,x,alltranline5,IN,x,x=950&amp;cr=293" xr:uid="{C6E172F2-4A99-40E7-B278-F94FFE9628FF}"/>
    <hyperlink ref="A1180" r:id="rId1097" display="https://9607261.app.netsuite.com/app/reporting/reportrunner.nl?fromreport=320&amp;regtx,tranline,kacct,x,alltranline5,IN,x,x=950&amp;cr=293" xr:uid="{C4B67AF0-57F9-493E-BC51-D17A34B7ABBF}"/>
    <hyperlink ref="A1181" r:id="rId1098" display="https://9607261.app.netsuite.com/app/reporting/reportrunner.nl?fromreport=320&amp;regtx,tranline,kacct,x,alltranline5,IN,x,x=950&amp;cr=293" xr:uid="{19394BCE-A0D9-4FC7-A255-CDF98DDF064F}"/>
    <hyperlink ref="A1182" r:id="rId1099" display="https://9607261.app.netsuite.com/app/reporting/reportrunner.nl?fromreport=320&amp;regtx,tranline,kacct,x,alltranline5,IN,x,x=950&amp;cr=293" xr:uid="{66130988-57B6-4DBA-8A1F-48A5809DF2C0}"/>
    <hyperlink ref="A1183" r:id="rId1100" display="https://9607261.app.netsuite.com/app/reporting/reportrunner.nl?fromreport=320&amp;regtx,tranline,kacct,x,alltranline5,IN,x,x=950&amp;cr=293" xr:uid="{02C619A2-C646-4946-BE87-509EA4BB2C9E}"/>
    <hyperlink ref="A1184" r:id="rId1101" display="https://9607261.app.netsuite.com/app/reporting/reportrunner.nl?fromreport=320&amp;regtx,tranline,kacct,x,alltranline5,IN,x,x=950&amp;cr=293" xr:uid="{C638B606-34A3-4724-8BBF-E997B76AC4EF}"/>
    <hyperlink ref="A1185" r:id="rId1102" display="https://9607261.app.netsuite.com/app/reporting/reportrunner.nl?fromreport=320&amp;regtx,tranline,kacct,x,alltranline5,IN,x,x=950&amp;cr=293" xr:uid="{9BB1D96B-45CE-445F-8541-37665F82A194}"/>
    <hyperlink ref="A1186" r:id="rId1103" display="https://9607261.app.netsuite.com/app/reporting/reportrunner.nl?fromreport=320&amp;regtx,tranline,kacct,x,alltranline5,IN,x,x=950&amp;cr=293" xr:uid="{86B4CEC0-210A-456B-BC4D-87306D174CA0}"/>
    <hyperlink ref="A1187" r:id="rId1104" display="https://9607261.app.netsuite.com/app/reporting/reportrunner.nl?fromreport=320&amp;regtx,tranline,kacct,x,alltranline5,IN,x,x=950&amp;cr=293" xr:uid="{A83EC037-13D8-4495-BEC3-9919F2503E87}"/>
    <hyperlink ref="A1188" r:id="rId1105" display="https://9607261.app.netsuite.com/app/reporting/reportrunner.nl?fromreport=320&amp;regtx,tranline,kacct,x,alltranline5,IN,x,x=950&amp;cr=293" xr:uid="{D82E9E6A-07B9-4C99-9C62-92B025D1BEB9}"/>
    <hyperlink ref="A1189" r:id="rId1106" display="https://9607261.app.netsuite.com/app/reporting/reportrunner.nl?fromreport=320&amp;regtx,tranline,kacct,x,alltranline5,IN,x,x=950&amp;cr=293" xr:uid="{F33364E2-2528-4340-B8B6-59B740ED95C2}"/>
    <hyperlink ref="A1190" r:id="rId1107" display="https://9607261.app.netsuite.com/app/reporting/reportrunner.nl?fromreport=320&amp;regtx,tranline,kacct,x,alltranline5,IN,x,x=950&amp;cr=293" xr:uid="{62C44CF8-19F4-47A5-A339-FA6CCC003A2F}"/>
    <hyperlink ref="A1191" r:id="rId1108" display="https://9607261.app.netsuite.com/app/reporting/reportrunner.nl?fromreport=320&amp;regtx,tranline,kacct,x,alltranline5,IN,x,x=950&amp;cr=293" xr:uid="{10DD5183-727D-4A6D-A899-EC3415581CB4}"/>
    <hyperlink ref="A1192" r:id="rId1109" display="https://9607261.app.netsuite.com/app/reporting/reportrunner.nl?fromreport=320&amp;regtx,tranline,kacct,x,alltranline5,IN,x,x=950&amp;cr=293" xr:uid="{F55EB8F3-CA82-4F0E-92BB-DCBFFB3CC81A}"/>
    <hyperlink ref="A1193" r:id="rId1110" display="https://9607261.app.netsuite.com/app/reporting/reportrunner.nl?fromreport=320&amp;regtx,tranline,kacct,x,alltranline5,IN,x,x=950&amp;cr=293" xr:uid="{4933FBCF-5734-48B6-B910-48231F280C37}"/>
    <hyperlink ref="A1194" r:id="rId1111" display="https://9607261.app.netsuite.com/app/reporting/reportrunner.nl?fromreport=320&amp;regtx,tranline,kacct,x,alltranline5,IN,x,x=950&amp;cr=293" xr:uid="{6C617FE5-AC42-4EB2-9769-7FB5FD15D734}"/>
    <hyperlink ref="A1195" r:id="rId1112" display="https://9607261.app.netsuite.com/app/reporting/reportrunner.nl?fromreport=320&amp;regtx,tranline,kacct,x,alltranline5,IN,x,x=950&amp;cr=293" xr:uid="{FABC3997-36FA-4CDD-B797-A489CC00957D}"/>
    <hyperlink ref="A1196" r:id="rId1113" display="https://9607261.app.netsuite.com/app/reporting/reportrunner.nl?fromreport=320&amp;regtx,tranline,kacct,x,alltranline5,IN,x,x=950&amp;cr=293" xr:uid="{28922E85-C408-4E5E-BC7D-CE691859D871}"/>
    <hyperlink ref="A1197" r:id="rId1114" display="https://9607261.app.netsuite.com/app/reporting/reportrunner.nl?fromreport=320&amp;regtx,tranline,kacct,x,alltranline5,IN,x,x=950&amp;cr=293" xr:uid="{76E4153B-F205-486C-96DF-6822DE54B8A4}"/>
    <hyperlink ref="A1198" r:id="rId1115" display="https://9607261.app.netsuite.com/app/reporting/reportrunner.nl?fromreport=320&amp;regtx,tranline,kacct,x,alltranline5,IN,x,x=950&amp;cr=293" xr:uid="{FD3968DD-3035-4D6A-8F84-63921325D216}"/>
    <hyperlink ref="A1199" r:id="rId1116" display="https://9607261.app.netsuite.com/app/reporting/reportrunner.nl?fromreport=320&amp;regtx,tranline,kacct,x,alltranline5,IN,x,x=950&amp;cr=293" xr:uid="{62936A4C-94B9-4FF7-AF7C-63C8219972FE}"/>
    <hyperlink ref="A1200" r:id="rId1117" display="https://9607261.app.netsuite.com/app/reporting/reportrunner.nl?fromreport=320&amp;regtx,tranline,kacct,x,alltranline5,IN,x,x=950&amp;cr=293" xr:uid="{28FBE26F-68D2-45D9-953F-DE60270B146C}"/>
    <hyperlink ref="A1201" r:id="rId1118" display="https://9607261.app.netsuite.com/app/reporting/reportrunner.nl?fromreport=320&amp;regtx,tranline,kacct,x,alltranline5,IN,x,x=950&amp;cr=293" xr:uid="{F62ADA8D-2D9C-43FC-A4BD-495A7BF14EED}"/>
    <hyperlink ref="A1202" r:id="rId1119" display="https://9607261.app.netsuite.com/app/reporting/reportrunner.nl?fromreport=320&amp;regtx,tranline,kacct,x,alltranline5,IN,x,x=950&amp;cr=293" xr:uid="{40FD2684-43E6-4785-80FF-73124DE8646D}"/>
    <hyperlink ref="A1203" r:id="rId1120" display="https://9607261.app.netsuite.com/app/reporting/reportrunner.nl?fromreport=320&amp;regtx,tranline,kacct,x,alltranline5,IN,x,x=950&amp;cr=293" xr:uid="{8F427D29-37DB-4AAB-8CD5-5A75A848722A}"/>
    <hyperlink ref="A1204" r:id="rId1121" display="https://9607261.app.netsuite.com/app/reporting/reportrunner.nl?fromreport=320&amp;regtx,tranline,kacct,x,alltranline5,IN,x,x=950&amp;cr=293" xr:uid="{4A920C98-6E02-4D42-BB76-79C6518D6B05}"/>
    <hyperlink ref="A1205" r:id="rId1122" display="https://9607261.app.netsuite.com/app/reporting/reportrunner.nl?fromreport=320&amp;regtx,tranline,kacct,x,alltranline5,IN,x,x=950&amp;cr=293" xr:uid="{FF18ADB3-298E-4C9D-97E4-6EB3729321C8}"/>
    <hyperlink ref="A1206" r:id="rId1123" display="https://9607261.app.netsuite.com/app/reporting/reportrunner.nl?fromreport=320&amp;regtx,tranline,kacct,x,alltranline5,IN,x,x=950&amp;cr=293" xr:uid="{B0DC130A-1659-4C6B-8338-98F0DFE940EB}"/>
    <hyperlink ref="A1207" r:id="rId1124" display="https://9607261.app.netsuite.com/app/reporting/reportrunner.nl?fromreport=320&amp;regtx,tranline,kacct,x,alltranline5,IN,x,x=950&amp;cr=293" xr:uid="{FF9B3B0B-6B15-4528-ABF5-A084434B2C40}"/>
    <hyperlink ref="A1208" r:id="rId1125" display="https://9607261.app.netsuite.com/app/reporting/reportrunner.nl?fromreport=320&amp;regtx,tranline,kacct,x,alltranline5,IN,x,x=950&amp;cr=293" xr:uid="{E8017B8B-AAEC-48D6-8442-D012258AD187}"/>
    <hyperlink ref="A1209" r:id="rId1126" display="https://9607261.app.netsuite.com/app/reporting/reportrunner.nl?fromreport=320&amp;regtx,tranline,kacct,x,alltranline5,IN,x,x=950&amp;cr=293" xr:uid="{98B0910F-CD5C-4596-AEB4-788D0151BD59}"/>
    <hyperlink ref="A1210" r:id="rId1127" display="https://9607261.app.netsuite.com/app/reporting/reportrunner.nl?fromreport=320&amp;regtx,tranline,kacct,x,alltranline5,IN,x,x=950&amp;cr=293" xr:uid="{8260D104-C523-4F66-9BA8-F682A2C6C348}"/>
    <hyperlink ref="A1211" r:id="rId1128" display="https://9607261.app.netsuite.com/app/reporting/reportrunner.nl?fromreport=320&amp;regtx,tranline,kacct,x,alltranline5,IN,x,x=950&amp;cr=293" xr:uid="{CDF9755B-3B6E-40BB-B70A-03F91E380DC9}"/>
    <hyperlink ref="A1212" r:id="rId1129" display="https://9607261.app.netsuite.com/app/reporting/reportrunner.nl?fromreport=320&amp;regtx,tranline,kacct,x,alltranline5,IN,x,x=950&amp;cr=293" xr:uid="{90D70FA5-78F8-4EFB-9F0A-35D5414F7E73}"/>
    <hyperlink ref="A1213" r:id="rId1130" display="https://9607261.app.netsuite.com/app/reporting/reportrunner.nl?fromreport=320&amp;regtx,tranline,kacct,x,alltranline5,IN,x,x=950&amp;cr=293" xr:uid="{54BBC4EE-7A7F-4DA8-A98F-E63DE05997FF}"/>
    <hyperlink ref="A1214" r:id="rId1131" display="https://9607261.app.netsuite.com/app/reporting/reportrunner.nl?fromreport=320&amp;regtx,tranline,kacct,x,alltranline5,IN,x,x=950&amp;cr=293" xr:uid="{11FCED28-D32C-40E2-935A-FF8AA875ECA3}"/>
    <hyperlink ref="A1215" r:id="rId1132" display="https://9607261.app.netsuite.com/app/reporting/reportrunner.nl?fromreport=320&amp;regtx,tranline,kacct,x,alltranline5,IN,x,x=950&amp;cr=293" xr:uid="{24F90652-5571-4E90-80EC-AAF2736477FD}"/>
    <hyperlink ref="A1216" r:id="rId1133" display="https://9607261.app.netsuite.com/app/reporting/reportrunner.nl?fromreport=320&amp;regtx,tranline,kacct,x,alltranline5,IN,x,x=950&amp;cr=293" xr:uid="{6BB43853-F2E4-4CA8-8498-E097BA61E1F7}"/>
    <hyperlink ref="A1217" r:id="rId1134" display="https://9607261.app.netsuite.com/app/reporting/reportrunner.nl?fromreport=320&amp;regtx,tranline,kacct,x,alltranline5,IN,x,x=950&amp;cr=293" xr:uid="{42D9FC46-DBA1-4D99-994B-95E39F88FCA6}"/>
    <hyperlink ref="A1218" r:id="rId1135" display="https://9607261.app.netsuite.com/app/reporting/reportrunner.nl?fromreport=320&amp;regtx,tranline,kacct,x,alltranline5,IN,x,x=950&amp;cr=293" xr:uid="{318DEC04-556D-4DD8-A2FB-CEF6779A6FE3}"/>
    <hyperlink ref="A1219" r:id="rId1136" display="https://9607261.app.netsuite.com/app/reporting/reportrunner.nl?fromreport=320&amp;regtx,tranline,kacct,x,alltranline5,IN,x,x=950&amp;cr=293" xr:uid="{0B90DFE6-07F0-4E51-A2A2-19243B13BCD7}"/>
    <hyperlink ref="A1220" r:id="rId1137" display="https://9607261.app.netsuite.com/app/reporting/reportrunner.nl?fromreport=320&amp;regtx,tranline,kacct,x,alltranline5,IN,x,x=950&amp;cr=293" xr:uid="{30BE6949-A619-49E2-A970-7463C09FDC4D}"/>
    <hyperlink ref="A1221" r:id="rId1138" display="https://9607261.app.netsuite.com/app/reporting/reportrunner.nl?fromreport=320&amp;regtx,tranline,kacct,x,alltranline5,IN,x,x=950&amp;cr=293" xr:uid="{DD2652F7-B6AB-4FE5-902C-C66FA93A804A}"/>
    <hyperlink ref="A1222" r:id="rId1139" display="https://9607261.app.netsuite.com/app/reporting/reportrunner.nl?fromreport=320&amp;regtx,tranline,kacct,x,alltranline5,IN,x,x=950&amp;cr=293" xr:uid="{3176CEB9-0811-4F2E-926A-85AF97ED333C}"/>
    <hyperlink ref="A1223" r:id="rId1140" display="https://9607261.app.netsuite.com/app/reporting/reportrunner.nl?fromreport=320&amp;regtx,tranline,kacct,x,alltranline5,IN,x,x=950&amp;cr=293" xr:uid="{BBCF027F-D45E-4BFB-B6A4-0B0C0F454B1D}"/>
    <hyperlink ref="A1224" r:id="rId1141" display="https://9607261.app.netsuite.com/app/reporting/reportrunner.nl?fromreport=320&amp;regtx,tranline,kacct,x,alltranline5,IN,x,x=950&amp;cr=293" xr:uid="{DDD8FBBA-B638-49DC-855C-FDB06EBD84D4}"/>
    <hyperlink ref="A1225" r:id="rId1142" display="https://9607261.app.netsuite.com/app/reporting/reportrunner.nl?fromreport=320&amp;regtx,tranline,kacct,x,alltranline5,IN,x,x=950&amp;cr=293" xr:uid="{BEBC4191-CDF7-4105-8F1D-8FFFEF6961B2}"/>
    <hyperlink ref="A1226" r:id="rId1143" display="https://9607261.app.netsuite.com/app/reporting/reportrunner.nl?fromreport=320&amp;regtx,tranline,kacct,x,alltranline5,IN,x,x=950&amp;cr=293" xr:uid="{33D2D26C-8E39-49B3-BE0F-D467E01C259E}"/>
    <hyperlink ref="A1227" r:id="rId1144" display="https://9607261.app.netsuite.com/app/reporting/reportrunner.nl?fromreport=320&amp;regtx,tranline,kacct,x,alltranline5,IN,x,x=950&amp;cr=293" xr:uid="{2D35C120-2F3C-4B96-AA56-EA8BC10B8AAD}"/>
    <hyperlink ref="A1228" r:id="rId1145" display="https://9607261.app.netsuite.com/app/reporting/reportrunner.nl?fromreport=320&amp;regtx,tranline,kacct,x,alltranline5,IN,x,x=950&amp;cr=293" xr:uid="{44CF0771-2804-4124-81DB-EE5848B22422}"/>
    <hyperlink ref="A1229" r:id="rId1146" display="https://9607261.app.netsuite.com/app/reporting/reportrunner.nl?fromreport=320&amp;regtx,tranline,kacct,x,alltranline5,IN,x,x=950&amp;cr=293" xr:uid="{B58AD55C-1847-4EFB-8B2D-2177D24DC582}"/>
    <hyperlink ref="A1230" r:id="rId1147" display="https://9607261.app.netsuite.com/app/reporting/reportrunner.nl?fromreport=320&amp;regtx,tranline,kacct,x,alltranline5,IN,x,x=950&amp;cr=293" xr:uid="{564F9D1D-9443-4636-8433-7269A885BBF5}"/>
    <hyperlink ref="A1231" r:id="rId1148" display="https://9607261.app.netsuite.com/app/reporting/reportrunner.nl?fromreport=320&amp;regtx,tranline,kacct,x,alltranline5,IN,x,x=950&amp;cr=293" xr:uid="{9A9022E8-C4C5-4CEF-B2AE-6513D3F35AE0}"/>
    <hyperlink ref="A1232" r:id="rId1149" display="https://9607261.app.netsuite.com/app/reporting/reportrunner.nl?fromreport=320&amp;regtx,tranline,kacct,x,alltranline5,IN,x,x=950&amp;cr=293" xr:uid="{EE295F10-C10A-4BB6-AD66-85600C128548}"/>
    <hyperlink ref="A1233" r:id="rId1150" display="https://9607261.app.netsuite.com/app/reporting/reportrunner.nl?fromreport=320&amp;regtx,tranline,kacct,x,alltranline5,IN,x,x=950&amp;cr=293" xr:uid="{E917D87B-55B9-41A0-B4BB-60D6ECD5C14B}"/>
    <hyperlink ref="A1234" r:id="rId1151" display="https://9607261.app.netsuite.com/app/reporting/reportrunner.nl?fromreport=320&amp;regtx,tranline,kacct,x,alltranline5,IN,x,x=950&amp;cr=293" xr:uid="{1C78AAE1-B121-4B9E-9552-992E18F4FB79}"/>
    <hyperlink ref="A1235" r:id="rId1152" display="https://9607261.app.netsuite.com/app/reporting/reportrunner.nl?fromreport=320&amp;regtx,tranline,kacct,x,alltranline5,IN,x,x=950&amp;cr=293" xr:uid="{83641AC2-A997-4C10-8551-4C5721FC66A1}"/>
    <hyperlink ref="A1236" r:id="rId1153" display="https://9607261.app.netsuite.com/app/reporting/reportrunner.nl?fromreport=320&amp;regtx,tranline,kacct,x,alltranline5,IN,x,x=950&amp;cr=293" xr:uid="{205F63A7-859E-46B1-94A9-AF37C715BA1B}"/>
    <hyperlink ref="A1237" r:id="rId1154" display="https://9607261.app.netsuite.com/app/reporting/reportrunner.nl?fromreport=320&amp;regtx,tranline,kacct,x,alltranline5,IN,x,x=950&amp;cr=293" xr:uid="{E665641C-7A40-420D-9FD9-96C5AA6E41C3}"/>
    <hyperlink ref="A1238" r:id="rId1155" display="https://9607261.app.netsuite.com/app/reporting/reportrunner.nl?fromreport=320&amp;regtx,tranline,kacct,x,alltranline5,IN,x,x=950&amp;cr=293" xr:uid="{C574ED7F-B740-4CB6-83EC-9509EB187AEB}"/>
    <hyperlink ref="A1239" r:id="rId1156" display="https://9607261.app.netsuite.com/app/reporting/reportrunner.nl?fromreport=320&amp;regtx,tranline,kacct,x,alltranline5,IN,x,x=950&amp;cr=293" xr:uid="{6CC24253-8682-4E91-B520-E2F6428C409A}"/>
    <hyperlink ref="A1240" r:id="rId1157" display="https://9607261.app.netsuite.com/app/reporting/reportrunner.nl?fromreport=320&amp;regtx,tranline,kacct,x,alltranline5,IN,x,x=950&amp;cr=293" xr:uid="{2E5056E9-B428-4922-97F9-157362071446}"/>
    <hyperlink ref="A1241" r:id="rId1158" display="https://9607261.app.netsuite.com/app/reporting/reportrunner.nl?fromreport=320&amp;regtx,tranline,kacct,x,alltranline5,IN,x,x=950&amp;cr=293" xr:uid="{77086974-AF42-4A99-9CF7-4CF060578C92}"/>
    <hyperlink ref="A1242" r:id="rId1159" display="https://9607261.app.netsuite.com/app/reporting/reportrunner.nl?fromreport=320&amp;regtx,tranline,kacct,x,alltranline5,IN,x,x=950&amp;cr=293" xr:uid="{446479D9-52A5-40E5-AA3C-76B3041BCF8F}"/>
    <hyperlink ref="A1243" r:id="rId1160" display="https://9607261.app.netsuite.com/app/reporting/reportrunner.nl?fromreport=320&amp;regtx,tranline,kacct,x,alltranline5,IN,x,x=950&amp;cr=293" xr:uid="{5CBA5664-D0C7-4CC7-AB1A-748E5FB65EDA}"/>
    <hyperlink ref="A1244" r:id="rId1161" display="https://9607261.app.netsuite.com/app/reporting/reportrunner.nl?fromreport=320&amp;regtx,tranline,kacct,x,alltranline5,IN,x,x=950&amp;cr=293" xr:uid="{3BB187E7-65AB-4684-A345-D1D7D4F3D271}"/>
    <hyperlink ref="A1245" r:id="rId1162" display="https://9607261.app.netsuite.com/app/reporting/reportrunner.nl?fromreport=320&amp;regtx,tranline,kacct,x,alltranline5,IN,x,x=950&amp;cr=293" xr:uid="{81E428CE-C2A8-4AD1-A691-93C86B4DECE2}"/>
    <hyperlink ref="A1246" r:id="rId1163" display="https://9607261.app.netsuite.com/app/reporting/reportrunner.nl?fromreport=320&amp;regtx,tranline,kacct,x,alltranline5,IN,x,x=950&amp;cr=293" xr:uid="{C7C07AA3-DCE7-44E5-92D0-932627D551F2}"/>
    <hyperlink ref="A1247" r:id="rId1164" display="https://9607261.app.netsuite.com/app/reporting/reportrunner.nl?fromreport=320&amp;regtx,tranline,kacct,x,alltranline5,IN,x,x=950&amp;cr=293" xr:uid="{45CE29CE-B659-4097-8743-BE0E29564EE1}"/>
    <hyperlink ref="A1248" r:id="rId1165" display="https://9607261.app.netsuite.com/app/reporting/reportrunner.nl?fromreport=320&amp;regtx,tranline,kacct,x,alltranline5,IN,x,x=950&amp;cr=293" xr:uid="{A171CA6D-CE19-4D98-A221-DE19F52F4414}"/>
    <hyperlink ref="A1249" r:id="rId1166" display="https://9607261.app.netsuite.com/app/reporting/reportrunner.nl?fromreport=320&amp;regtx,tranline,kacct,x,alltranline5,IN,x,x=950&amp;cr=293" xr:uid="{832F09F3-3A00-4F2C-A92B-AE47BEA03317}"/>
    <hyperlink ref="A1250" r:id="rId1167" display="https://9607261.app.netsuite.com/app/reporting/reportrunner.nl?fromreport=320&amp;regtx,tranline,kacct,x,alltranline5,IN,x,x=950&amp;cr=293" xr:uid="{B1D033D3-6954-4899-8BED-A3484114F5EE}"/>
    <hyperlink ref="A1251" r:id="rId1168" display="https://9607261.app.netsuite.com/app/reporting/reportrunner.nl?fromreport=320&amp;regtx,tranline,kacct,x,alltranline5,IN,x,x=950&amp;cr=293" xr:uid="{DE0F0367-C301-471C-8AE2-83E865F6882F}"/>
    <hyperlink ref="A1252" r:id="rId1169" display="https://9607261.app.netsuite.com/app/reporting/reportrunner.nl?fromreport=320&amp;regtx,tranline,kacct,x,alltranline5,IN,x,x=950&amp;cr=293" xr:uid="{4376BFF3-33B9-4274-A96B-182C79F4EAF8}"/>
    <hyperlink ref="A1253" r:id="rId1170" display="https://9607261.app.netsuite.com/app/reporting/reportrunner.nl?fromreport=320&amp;regtx,tranline,kacct,x,alltranline5,IN,x,x=950&amp;cr=293" xr:uid="{844CF24E-3A73-4D13-8CE8-4ED5ADC6A57A}"/>
    <hyperlink ref="A1254" r:id="rId1171" display="https://9607261.app.netsuite.com/app/reporting/reportrunner.nl?fromreport=320&amp;regtx,tranline,kacct,x,alltranline5,IN,x,x=950&amp;cr=293" xr:uid="{01B06999-7C8D-476E-B026-236A8F0B2BDD}"/>
    <hyperlink ref="A1255" r:id="rId1172" display="https://9607261.app.netsuite.com/app/reporting/reportrunner.nl?fromreport=320&amp;regtx,tranline,kacct,x,alltranline5,IN,x,x=950&amp;cr=293" xr:uid="{75E3FBBE-DB7F-474C-A676-00EF009355C8}"/>
    <hyperlink ref="A1256" r:id="rId1173" display="https://9607261.app.netsuite.com/app/reporting/reportrunner.nl?fromreport=320&amp;regtx,tranline,kacct,x,alltranline5,IN,x,x=950&amp;cr=293" xr:uid="{F0E8B0D1-6559-4F06-80B0-4A07123D0A86}"/>
    <hyperlink ref="A1257" r:id="rId1174" display="https://9607261.app.netsuite.com/app/reporting/reportrunner.nl?fromreport=320&amp;regtx,tranline,kacct,x,alltranline5,IN,x,x=950&amp;cr=293" xr:uid="{6BA16F8C-20A6-4CFB-8749-248F5F8881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1254-C2D2-4F92-A2CD-870005DBBC48}">
  <dimension ref="A1:P2510"/>
  <sheetViews>
    <sheetView tabSelected="1" topLeftCell="E1" workbookViewId="0">
      <selection activeCell="E2" sqref="A2:XFD2"/>
    </sheetView>
  </sheetViews>
  <sheetFormatPr defaultColWidth="9.6328125" defaultRowHeight="14.5" x14ac:dyDescent="0.35"/>
  <cols>
    <col min="1" max="1" width="9.6328125" style="31"/>
    <col min="2" max="2" width="34.90625" style="31" customWidth="1"/>
    <col min="3" max="3" width="24" style="31" customWidth="1"/>
    <col min="4" max="4" width="13.1796875" style="31" customWidth="1"/>
    <col min="5" max="5" width="9.6328125" style="31"/>
    <col min="6" max="6" width="64.08984375" style="31" bestFit="1" customWidth="1"/>
    <col min="7" max="7" width="36.36328125" style="31" customWidth="1"/>
    <col min="8" max="8" width="31.6328125" style="31" customWidth="1"/>
    <col min="9" max="9" width="19.08984375" style="31" customWidth="1"/>
    <col min="10" max="10" width="15.90625" style="31" customWidth="1"/>
    <col min="11" max="12" width="9.6328125" style="31"/>
    <col min="13" max="13" width="12.453125" style="31" bestFit="1" customWidth="1"/>
    <col min="14" max="16384" width="9.6328125" style="31"/>
  </cols>
  <sheetData>
    <row r="1" spans="1:16" x14ac:dyDescent="0.35">
      <c r="I1" s="32">
        <f>SUM(I3:I2511)</f>
        <v>7173186.1400000006</v>
      </c>
      <c r="J1" s="32">
        <f>SUM(J3:J2511)</f>
        <v>7173186.1400000006</v>
      </c>
      <c r="L1" s="23" t="s">
        <v>152</v>
      </c>
      <c r="M1" s="33">
        <f>SUM(I3:I1008)</f>
        <v>1277967.6199999992</v>
      </c>
      <c r="N1" s="23" t="s">
        <v>37</v>
      </c>
      <c r="P1" s="34" t="s">
        <v>153</v>
      </c>
    </row>
    <row r="2" spans="1:16" x14ac:dyDescent="0.35">
      <c r="A2" s="31" t="s">
        <v>1237</v>
      </c>
      <c r="B2" s="4" t="s">
        <v>1</v>
      </c>
      <c r="C2" s="4" t="s">
        <v>2</v>
      </c>
      <c r="D2" s="35" t="s">
        <v>3</v>
      </c>
      <c r="E2" s="35" t="s">
        <v>4</v>
      </c>
      <c r="F2" s="35" t="s">
        <v>1239</v>
      </c>
      <c r="G2" s="35" t="s">
        <v>1238</v>
      </c>
      <c r="H2" s="35" t="s">
        <v>6</v>
      </c>
      <c r="I2" s="35" t="s">
        <v>154</v>
      </c>
      <c r="L2" s="23" t="s">
        <v>155</v>
      </c>
      <c r="M2" s="33">
        <f>SUM(I1009:I1089)</f>
        <v>351.49</v>
      </c>
      <c r="N2" s="23" t="s">
        <v>38</v>
      </c>
      <c r="P2" s="36" t="s">
        <v>156</v>
      </c>
    </row>
    <row r="3" spans="1:16" x14ac:dyDescent="0.35">
      <c r="A3" s="31">
        <v>1</v>
      </c>
      <c r="B3" s="19" t="s">
        <v>17</v>
      </c>
      <c r="C3" s="19"/>
      <c r="D3" s="37">
        <v>45870</v>
      </c>
      <c r="E3" s="31" t="s">
        <v>159</v>
      </c>
      <c r="F3" s="31" t="s">
        <v>75</v>
      </c>
      <c r="G3" s="31">
        <v>3320</v>
      </c>
      <c r="H3" s="31" t="s">
        <v>160</v>
      </c>
      <c r="I3" s="38">
        <v>38753.19</v>
      </c>
      <c r="L3" s="25" t="s">
        <v>45</v>
      </c>
      <c r="M3" s="23"/>
      <c r="N3" s="23" t="s">
        <v>42</v>
      </c>
      <c r="P3" s="36" t="s">
        <v>161</v>
      </c>
    </row>
    <row r="4" spans="1:16" x14ac:dyDescent="0.35">
      <c r="A4" s="31">
        <v>1.5</v>
      </c>
      <c r="B4" s="19"/>
      <c r="C4" s="19" t="s">
        <v>22</v>
      </c>
      <c r="D4" s="37">
        <v>45870</v>
      </c>
      <c r="E4" s="31" t="s">
        <v>159</v>
      </c>
      <c r="F4" s="31" t="s">
        <v>75</v>
      </c>
      <c r="G4" s="31">
        <v>3320</v>
      </c>
      <c r="H4" s="31" t="s">
        <v>160</v>
      </c>
      <c r="J4" s="38">
        <v>38753.19</v>
      </c>
    </row>
    <row r="5" spans="1:16" ht="43.5" x14ac:dyDescent="0.35">
      <c r="A5" s="31">
        <v>2</v>
      </c>
      <c r="B5" s="19" t="s">
        <v>17</v>
      </c>
      <c r="C5" s="19"/>
      <c r="D5" s="37">
        <v>45873</v>
      </c>
      <c r="E5" s="31" t="s">
        <v>162</v>
      </c>
      <c r="F5" s="31" t="s">
        <v>55</v>
      </c>
      <c r="G5" s="31">
        <v>3335</v>
      </c>
      <c r="H5" s="31" t="s">
        <v>160</v>
      </c>
      <c r="I5" s="38">
        <v>17770.829999999998</v>
      </c>
      <c r="L5" s="21" t="s">
        <v>163</v>
      </c>
    </row>
    <row r="6" spans="1:16" x14ac:dyDescent="0.35">
      <c r="A6" s="31">
        <v>2.5</v>
      </c>
      <c r="B6" s="19"/>
      <c r="C6" s="19" t="s">
        <v>22</v>
      </c>
      <c r="D6" s="37">
        <v>45873</v>
      </c>
      <c r="E6" s="31" t="s">
        <v>162</v>
      </c>
      <c r="F6" s="31" t="s">
        <v>55</v>
      </c>
      <c r="G6" s="31">
        <v>3335</v>
      </c>
      <c r="H6" s="31" t="s">
        <v>160</v>
      </c>
      <c r="J6" s="38">
        <v>17770.829999999998</v>
      </c>
    </row>
    <row r="7" spans="1:16" x14ac:dyDescent="0.35">
      <c r="A7" s="31">
        <v>3</v>
      </c>
      <c r="B7" s="19" t="s">
        <v>17</v>
      </c>
      <c r="C7" s="19"/>
      <c r="D7" s="37">
        <v>45873</v>
      </c>
      <c r="E7" s="31">
        <v>38633</v>
      </c>
      <c r="F7" s="31" t="s">
        <v>164</v>
      </c>
      <c r="G7" s="31">
        <v>2708</v>
      </c>
      <c r="H7" s="31" t="s">
        <v>160</v>
      </c>
      <c r="I7" s="38">
        <v>1066.07</v>
      </c>
    </row>
    <row r="8" spans="1:16" x14ac:dyDescent="0.35">
      <c r="A8" s="31">
        <v>3.5</v>
      </c>
      <c r="B8" s="19"/>
      <c r="C8" s="19" t="s">
        <v>22</v>
      </c>
      <c r="D8" s="37">
        <v>45873</v>
      </c>
      <c r="E8" s="31">
        <v>38633</v>
      </c>
      <c r="F8" s="31" t="s">
        <v>164</v>
      </c>
      <c r="G8" s="31">
        <v>2708</v>
      </c>
      <c r="H8" s="31" t="s">
        <v>160</v>
      </c>
      <c r="J8" s="38">
        <v>1066.07</v>
      </c>
    </row>
    <row r="9" spans="1:16" x14ac:dyDescent="0.35">
      <c r="A9" s="31">
        <v>4</v>
      </c>
      <c r="B9" s="19" t="s">
        <v>17</v>
      </c>
      <c r="C9" s="19"/>
      <c r="D9" s="37">
        <v>45874</v>
      </c>
      <c r="E9" s="31" t="s">
        <v>165</v>
      </c>
      <c r="F9" s="31" t="s">
        <v>64</v>
      </c>
      <c r="G9" s="31">
        <v>3338</v>
      </c>
      <c r="H9" s="31" t="s">
        <v>160</v>
      </c>
      <c r="I9" s="38">
        <v>11850.06</v>
      </c>
    </row>
    <row r="10" spans="1:16" x14ac:dyDescent="0.35">
      <c r="A10" s="31">
        <v>4.5</v>
      </c>
      <c r="B10" s="19"/>
      <c r="C10" s="19" t="s">
        <v>22</v>
      </c>
      <c r="D10" s="37">
        <v>45874</v>
      </c>
      <c r="E10" s="31" t="s">
        <v>165</v>
      </c>
      <c r="F10" s="31" t="s">
        <v>64</v>
      </c>
      <c r="G10" s="31">
        <v>3338</v>
      </c>
      <c r="H10" s="31" t="s">
        <v>160</v>
      </c>
      <c r="J10" s="38">
        <v>11850.06</v>
      </c>
    </row>
    <row r="11" spans="1:16" x14ac:dyDescent="0.35">
      <c r="A11" s="31">
        <v>5</v>
      </c>
      <c r="B11" s="19" t="s">
        <v>17</v>
      </c>
      <c r="C11" s="19"/>
      <c r="D11" s="37">
        <v>45874</v>
      </c>
      <c r="E11" s="31" t="s">
        <v>166</v>
      </c>
      <c r="F11" s="53" t="s">
        <v>1196</v>
      </c>
      <c r="G11" s="31">
        <v>1558</v>
      </c>
      <c r="H11" s="31" t="s">
        <v>160</v>
      </c>
      <c r="I11" s="38">
        <v>13724.09</v>
      </c>
    </row>
    <row r="12" spans="1:16" x14ac:dyDescent="0.35">
      <c r="A12" s="31">
        <v>5.5</v>
      </c>
      <c r="B12" s="19"/>
      <c r="C12" s="19" t="s">
        <v>22</v>
      </c>
      <c r="D12" s="37">
        <v>45874</v>
      </c>
      <c r="E12" s="31" t="s">
        <v>166</v>
      </c>
      <c r="F12" s="53" t="s">
        <v>1196</v>
      </c>
      <c r="G12" s="31">
        <v>1558</v>
      </c>
      <c r="H12" s="31" t="s">
        <v>160</v>
      </c>
      <c r="J12" s="38">
        <v>13724.09</v>
      </c>
    </row>
    <row r="13" spans="1:16" x14ac:dyDescent="0.35">
      <c r="A13" s="31">
        <v>6</v>
      </c>
      <c r="B13" s="19" t="s">
        <v>17</v>
      </c>
      <c r="C13" s="19"/>
      <c r="D13" s="37">
        <v>45874</v>
      </c>
      <c r="E13" s="31" t="s">
        <v>167</v>
      </c>
      <c r="F13" s="53" t="s">
        <v>1196</v>
      </c>
      <c r="G13" s="31">
        <v>1558</v>
      </c>
      <c r="H13" s="31" t="s">
        <v>160</v>
      </c>
      <c r="I13" s="38">
        <v>8320.26</v>
      </c>
    </row>
    <row r="14" spans="1:16" x14ac:dyDescent="0.35">
      <c r="A14" s="31">
        <v>6.5</v>
      </c>
      <c r="B14" s="19"/>
      <c r="C14" s="19" t="s">
        <v>22</v>
      </c>
      <c r="D14" s="37">
        <v>45874</v>
      </c>
      <c r="E14" s="31" t="s">
        <v>167</v>
      </c>
      <c r="F14" s="53" t="s">
        <v>1196</v>
      </c>
      <c r="G14" s="31">
        <v>1558</v>
      </c>
      <c r="H14" s="31" t="s">
        <v>160</v>
      </c>
      <c r="J14" s="38">
        <v>8320.26</v>
      </c>
    </row>
    <row r="15" spans="1:16" x14ac:dyDescent="0.35">
      <c r="A15" s="31">
        <v>7</v>
      </c>
      <c r="B15" s="19" t="s">
        <v>17</v>
      </c>
      <c r="C15" s="19"/>
      <c r="D15" s="37">
        <v>45874</v>
      </c>
      <c r="E15" s="31" t="s">
        <v>168</v>
      </c>
      <c r="F15" s="53" t="s">
        <v>1196</v>
      </c>
      <c r="G15" s="31">
        <v>1558</v>
      </c>
      <c r="H15" s="31" t="s">
        <v>160</v>
      </c>
      <c r="I15" s="38">
        <v>1850</v>
      </c>
    </row>
    <row r="16" spans="1:16" x14ac:dyDescent="0.35">
      <c r="A16" s="31">
        <v>7.5</v>
      </c>
      <c r="B16" s="19"/>
      <c r="C16" s="19" t="s">
        <v>22</v>
      </c>
      <c r="D16" s="37">
        <v>45874</v>
      </c>
      <c r="E16" s="31" t="s">
        <v>168</v>
      </c>
      <c r="F16" s="53" t="s">
        <v>1196</v>
      </c>
      <c r="G16" s="31">
        <v>1558</v>
      </c>
      <c r="H16" s="31" t="s">
        <v>160</v>
      </c>
      <c r="J16" s="38">
        <v>1850</v>
      </c>
    </row>
    <row r="17" spans="1:10" x14ac:dyDescent="0.35">
      <c r="A17" s="31">
        <v>8</v>
      </c>
      <c r="B17" s="19" t="s">
        <v>17</v>
      </c>
      <c r="C17" s="19"/>
      <c r="D17" s="37">
        <v>45876</v>
      </c>
      <c r="E17" s="31">
        <v>37687</v>
      </c>
      <c r="F17" s="31" t="s">
        <v>75</v>
      </c>
      <c r="G17" s="31">
        <v>3320</v>
      </c>
      <c r="H17" s="31" t="s">
        <v>160</v>
      </c>
      <c r="I17" s="38">
        <v>256</v>
      </c>
    </row>
    <row r="18" spans="1:10" x14ac:dyDescent="0.35">
      <c r="A18" s="31">
        <v>8.5</v>
      </c>
      <c r="B18" s="19"/>
      <c r="C18" s="19" t="s">
        <v>22</v>
      </c>
      <c r="D18" s="37">
        <v>45876</v>
      </c>
      <c r="E18" s="31">
        <v>37687</v>
      </c>
      <c r="F18" s="31" t="s">
        <v>75</v>
      </c>
      <c r="G18" s="31">
        <v>3320</v>
      </c>
      <c r="H18" s="31" t="s">
        <v>160</v>
      </c>
      <c r="J18" s="38">
        <v>256</v>
      </c>
    </row>
    <row r="19" spans="1:10" x14ac:dyDescent="0.35">
      <c r="A19" s="31">
        <v>9</v>
      </c>
      <c r="B19" s="19" t="s">
        <v>17</v>
      </c>
      <c r="C19" s="19"/>
      <c r="D19" s="37">
        <v>45876</v>
      </c>
      <c r="E19" s="31" t="s">
        <v>169</v>
      </c>
      <c r="F19" s="31" t="s">
        <v>75</v>
      </c>
      <c r="G19" s="31">
        <v>3320</v>
      </c>
      <c r="H19" s="31" t="s">
        <v>160</v>
      </c>
      <c r="I19" s="38">
        <v>136.08000000000001</v>
      </c>
    </row>
    <row r="20" spans="1:10" x14ac:dyDescent="0.35">
      <c r="A20" s="31">
        <v>9.5</v>
      </c>
      <c r="B20" s="19"/>
      <c r="C20" s="19" t="s">
        <v>22</v>
      </c>
      <c r="D20" s="37">
        <v>45876</v>
      </c>
      <c r="E20" s="31" t="s">
        <v>169</v>
      </c>
      <c r="F20" s="31" t="s">
        <v>75</v>
      </c>
      <c r="G20" s="31">
        <v>3320</v>
      </c>
      <c r="H20" s="31" t="s">
        <v>160</v>
      </c>
      <c r="J20" s="38">
        <v>136.08000000000001</v>
      </c>
    </row>
    <row r="21" spans="1:10" x14ac:dyDescent="0.35">
      <c r="A21" s="31">
        <v>10</v>
      </c>
      <c r="B21" s="19" t="s">
        <v>17</v>
      </c>
      <c r="C21" s="19"/>
      <c r="D21" s="37">
        <v>45876</v>
      </c>
      <c r="E21" s="31">
        <v>38661</v>
      </c>
      <c r="F21" s="31" t="s">
        <v>170</v>
      </c>
      <c r="G21" s="31">
        <v>2640</v>
      </c>
      <c r="H21" s="31" t="s">
        <v>160</v>
      </c>
      <c r="I21" s="38">
        <v>5066</v>
      </c>
    </row>
    <row r="22" spans="1:10" x14ac:dyDescent="0.35">
      <c r="A22" s="31">
        <v>10.5</v>
      </c>
      <c r="B22" s="19"/>
      <c r="C22" s="19" t="s">
        <v>22</v>
      </c>
      <c r="D22" s="37">
        <v>45876</v>
      </c>
      <c r="E22" s="31">
        <v>38661</v>
      </c>
      <c r="F22" s="31" t="s">
        <v>170</v>
      </c>
      <c r="G22" s="31">
        <v>2640</v>
      </c>
      <c r="H22" s="31" t="s">
        <v>160</v>
      </c>
      <c r="J22" s="38">
        <v>5066</v>
      </c>
    </row>
    <row r="23" spans="1:10" x14ac:dyDescent="0.35">
      <c r="A23" s="31">
        <v>11</v>
      </c>
      <c r="B23" s="19" t="s">
        <v>17</v>
      </c>
      <c r="C23" s="19"/>
      <c r="D23" s="37">
        <v>45877</v>
      </c>
      <c r="E23" s="31">
        <v>36248</v>
      </c>
      <c r="F23" s="31" t="s">
        <v>171</v>
      </c>
      <c r="G23" s="31">
        <v>3354</v>
      </c>
      <c r="H23" s="31" t="s">
        <v>160</v>
      </c>
      <c r="I23" s="38">
        <v>36.36</v>
      </c>
    </row>
    <row r="24" spans="1:10" x14ac:dyDescent="0.35">
      <c r="A24" s="31">
        <v>11.5</v>
      </c>
      <c r="B24" s="19"/>
      <c r="C24" s="19" t="s">
        <v>22</v>
      </c>
      <c r="D24" s="37">
        <v>45877</v>
      </c>
      <c r="E24" s="31">
        <v>36248</v>
      </c>
      <c r="F24" s="31" t="s">
        <v>171</v>
      </c>
      <c r="G24" s="31">
        <v>3354</v>
      </c>
      <c r="H24" s="31" t="s">
        <v>160</v>
      </c>
      <c r="J24" s="38">
        <v>36.36</v>
      </c>
    </row>
    <row r="25" spans="1:10" x14ac:dyDescent="0.35">
      <c r="A25" s="31">
        <v>12</v>
      </c>
      <c r="B25" s="19" t="s">
        <v>17</v>
      </c>
      <c r="C25" s="19"/>
      <c r="D25" s="37">
        <v>45877</v>
      </c>
      <c r="E25" s="31">
        <v>36250</v>
      </c>
      <c r="F25" s="31" t="s">
        <v>171</v>
      </c>
      <c r="G25" s="31">
        <v>3354</v>
      </c>
      <c r="H25" s="31" t="s">
        <v>160</v>
      </c>
      <c r="I25" s="38">
        <v>11139.99</v>
      </c>
    </row>
    <row r="26" spans="1:10" x14ac:dyDescent="0.35">
      <c r="A26" s="31">
        <v>12.5</v>
      </c>
      <c r="B26" s="19"/>
      <c r="C26" s="19" t="s">
        <v>22</v>
      </c>
      <c r="D26" s="37">
        <v>45877</v>
      </c>
      <c r="E26" s="31">
        <v>36250</v>
      </c>
      <c r="F26" s="31" t="s">
        <v>171</v>
      </c>
      <c r="G26" s="31">
        <v>3354</v>
      </c>
      <c r="H26" s="31" t="s">
        <v>160</v>
      </c>
      <c r="J26" s="38">
        <v>11139.99</v>
      </c>
    </row>
    <row r="27" spans="1:10" x14ac:dyDescent="0.35">
      <c r="A27" s="31">
        <v>13</v>
      </c>
      <c r="B27" s="19" t="s">
        <v>17</v>
      </c>
      <c r="C27" s="19"/>
      <c r="D27" s="37">
        <v>45877</v>
      </c>
      <c r="E27" s="31" t="s">
        <v>172</v>
      </c>
      <c r="F27" s="31" t="s">
        <v>134</v>
      </c>
      <c r="G27" s="31">
        <v>3314</v>
      </c>
      <c r="H27" s="31" t="s">
        <v>160</v>
      </c>
      <c r="I27" s="38">
        <v>0</v>
      </c>
    </row>
    <row r="28" spans="1:10" x14ac:dyDescent="0.35">
      <c r="A28" s="31">
        <v>13.5</v>
      </c>
      <c r="B28" s="19"/>
      <c r="C28" s="19" t="s">
        <v>22</v>
      </c>
      <c r="D28" s="37">
        <v>45877</v>
      </c>
      <c r="E28" s="31" t="s">
        <v>172</v>
      </c>
      <c r="F28" s="31" t="s">
        <v>134</v>
      </c>
      <c r="G28" s="31">
        <v>3314</v>
      </c>
      <c r="H28" s="31" t="s">
        <v>160</v>
      </c>
      <c r="J28" s="38">
        <v>0</v>
      </c>
    </row>
    <row r="29" spans="1:10" x14ac:dyDescent="0.35">
      <c r="A29" s="31">
        <v>14</v>
      </c>
      <c r="B29" s="19" t="s">
        <v>17</v>
      </c>
      <c r="C29" s="19"/>
      <c r="D29" s="37">
        <v>45877</v>
      </c>
      <c r="E29" s="31">
        <v>38292</v>
      </c>
      <c r="F29" s="31" t="s">
        <v>173</v>
      </c>
      <c r="G29" s="31">
        <v>2275</v>
      </c>
      <c r="H29" s="31" t="s">
        <v>160</v>
      </c>
      <c r="I29" s="38">
        <v>11678.810000000001</v>
      </c>
    </row>
    <row r="30" spans="1:10" x14ac:dyDescent="0.35">
      <c r="A30" s="31">
        <v>14.5</v>
      </c>
      <c r="B30" s="19"/>
      <c r="C30" s="19" t="s">
        <v>22</v>
      </c>
      <c r="D30" s="37">
        <v>45877</v>
      </c>
      <c r="E30" s="31">
        <v>38292</v>
      </c>
      <c r="F30" s="31" t="s">
        <v>173</v>
      </c>
      <c r="G30" s="31">
        <v>2275</v>
      </c>
      <c r="H30" s="31" t="s">
        <v>160</v>
      </c>
      <c r="J30" s="38">
        <v>11678.810000000001</v>
      </c>
    </row>
    <row r="31" spans="1:10" x14ac:dyDescent="0.35">
      <c r="A31" s="31">
        <v>15</v>
      </c>
      <c r="B31" s="19" t="s">
        <v>17</v>
      </c>
      <c r="C31" s="19"/>
      <c r="D31" s="37">
        <v>45877</v>
      </c>
      <c r="E31" s="31" t="s">
        <v>174</v>
      </c>
      <c r="F31" s="31" t="s">
        <v>173</v>
      </c>
      <c r="G31" s="31">
        <v>2275</v>
      </c>
      <c r="H31" s="31" t="s">
        <v>160</v>
      </c>
      <c r="I31" s="38">
        <v>13696.2</v>
      </c>
    </row>
    <row r="32" spans="1:10" x14ac:dyDescent="0.35">
      <c r="A32" s="31">
        <v>15.5</v>
      </c>
      <c r="B32" s="19"/>
      <c r="C32" s="19" t="s">
        <v>22</v>
      </c>
      <c r="D32" s="37">
        <v>45877</v>
      </c>
      <c r="E32" s="31" t="s">
        <v>174</v>
      </c>
      <c r="F32" s="31" t="s">
        <v>173</v>
      </c>
      <c r="G32" s="31">
        <v>2275</v>
      </c>
      <c r="H32" s="31" t="s">
        <v>160</v>
      </c>
      <c r="J32" s="38">
        <v>13696.2</v>
      </c>
    </row>
    <row r="33" spans="1:10" x14ac:dyDescent="0.35">
      <c r="A33" s="31">
        <v>16</v>
      </c>
      <c r="B33" s="19" t="s">
        <v>17</v>
      </c>
      <c r="C33" s="19"/>
      <c r="D33" s="37">
        <v>45880</v>
      </c>
      <c r="E33" s="31" t="s">
        <v>175</v>
      </c>
      <c r="F33" s="31" t="s">
        <v>176</v>
      </c>
      <c r="G33" s="31">
        <v>2628</v>
      </c>
      <c r="H33" s="31" t="s">
        <v>160</v>
      </c>
      <c r="I33" s="38">
        <v>338.1</v>
      </c>
    </row>
    <row r="34" spans="1:10" x14ac:dyDescent="0.35">
      <c r="A34" s="31">
        <v>16.5</v>
      </c>
      <c r="B34" s="19"/>
      <c r="C34" s="19" t="s">
        <v>22</v>
      </c>
      <c r="D34" s="37">
        <v>45880</v>
      </c>
      <c r="E34" s="31" t="s">
        <v>175</v>
      </c>
      <c r="F34" s="31" t="s">
        <v>176</v>
      </c>
      <c r="G34" s="31">
        <v>2628</v>
      </c>
      <c r="H34" s="31" t="s">
        <v>160</v>
      </c>
      <c r="J34" s="38">
        <v>338.1</v>
      </c>
    </row>
    <row r="35" spans="1:10" x14ac:dyDescent="0.35">
      <c r="A35" s="31">
        <v>17</v>
      </c>
      <c r="B35" s="19" t="s">
        <v>17</v>
      </c>
      <c r="C35" s="19"/>
      <c r="D35" s="37">
        <v>45880</v>
      </c>
      <c r="E35" s="31">
        <v>38259</v>
      </c>
      <c r="F35" s="31" t="s">
        <v>177</v>
      </c>
      <c r="G35" s="31">
        <v>3526</v>
      </c>
      <c r="H35" s="31" t="s">
        <v>160</v>
      </c>
      <c r="I35" s="38">
        <v>326.43</v>
      </c>
    </row>
    <row r="36" spans="1:10" x14ac:dyDescent="0.35">
      <c r="A36" s="31">
        <v>17.5</v>
      </c>
      <c r="B36" s="19"/>
      <c r="C36" s="19" t="s">
        <v>22</v>
      </c>
      <c r="D36" s="37">
        <v>45880</v>
      </c>
      <c r="E36" s="31">
        <v>38259</v>
      </c>
      <c r="F36" s="31" t="s">
        <v>177</v>
      </c>
      <c r="G36" s="31">
        <v>3526</v>
      </c>
      <c r="H36" s="31" t="s">
        <v>160</v>
      </c>
      <c r="J36" s="38">
        <v>326.43</v>
      </c>
    </row>
    <row r="37" spans="1:10" x14ac:dyDescent="0.35">
      <c r="A37" s="31">
        <v>18</v>
      </c>
      <c r="B37" s="19" t="s">
        <v>17</v>
      </c>
      <c r="C37" s="19"/>
      <c r="D37" s="37">
        <v>45880</v>
      </c>
      <c r="E37" s="31">
        <v>38260</v>
      </c>
      <c r="F37" s="31" t="s">
        <v>177</v>
      </c>
      <c r="G37" s="31">
        <v>3526</v>
      </c>
      <c r="H37" s="31" t="s">
        <v>160</v>
      </c>
      <c r="I37" s="38">
        <v>5925.3899999999994</v>
      </c>
    </row>
    <row r="38" spans="1:10" x14ac:dyDescent="0.35">
      <c r="A38" s="31">
        <v>18.5</v>
      </c>
      <c r="B38" s="19"/>
      <c r="C38" s="19" t="s">
        <v>22</v>
      </c>
      <c r="D38" s="37">
        <v>45880</v>
      </c>
      <c r="E38" s="31">
        <v>38260</v>
      </c>
      <c r="F38" s="31" t="s">
        <v>177</v>
      </c>
      <c r="G38" s="31">
        <v>3526</v>
      </c>
      <c r="H38" s="31" t="s">
        <v>160</v>
      </c>
      <c r="J38" s="38">
        <v>5925.3899999999994</v>
      </c>
    </row>
    <row r="39" spans="1:10" x14ac:dyDescent="0.35">
      <c r="A39" s="31">
        <v>19</v>
      </c>
      <c r="B39" s="19" t="s">
        <v>17</v>
      </c>
      <c r="C39" s="19"/>
      <c r="D39" s="37">
        <v>45880</v>
      </c>
      <c r="E39" s="31">
        <v>38579</v>
      </c>
      <c r="F39" s="31" t="s">
        <v>178</v>
      </c>
      <c r="G39" s="31">
        <v>1554</v>
      </c>
      <c r="H39" s="31" t="s">
        <v>160</v>
      </c>
      <c r="I39" s="38">
        <v>1350</v>
      </c>
    </row>
    <row r="40" spans="1:10" x14ac:dyDescent="0.35">
      <c r="A40" s="31">
        <v>19.5</v>
      </c>
      <c r="B40" s="19"/>
      <c r="C40" s="19" t="s">
        <v>22</v>
      </c>
      <c r="D40" s="37">
        <v>45880</v>
      </c>
      <c r="E40" s="31">
        <v>38579</v>
      </c>
      <c r="F40" s="31" t="s">
        <v>178</v>
      </c>
      <c r="G40" s="31">
        <v>1554</v>
      </c>
      <c r="H40" s="31" t="s">
        <v>160</v>
      </c>
      <c r="J40" s="38">
        <v>1350</v>
      </c>
    </row>
    <row r="41" spans="1:10" x14ac:dyDescent="0.35">
      <c r="A41" s="31">
        <v>20</v>
      </c>
      <c r="B41" s="19" t="s">
        <v>17</v>
      </c>
      <c r="C41" s="19"/>
      <c r="D41" s="37">
        <v>45881</v>
      </c>
      <c r="E41" s="31" t="s">
        <v>179</v>
      </c>
      <c r="F41" s="31" t="s">
        <v>176</v>
      </c>
      <c r="G41" s="31">
        <v>2628</v>
      </c>
      <c r="H41" s="31" t="s">
        <v>160</v>
      </c>
      <c r="I41" s="38">
        <v>0</v>
      </c>
    </row>
    <row r="42" spans="1:10" x14ac:dyDescent="0.35">
      <c r="A42" s="31">
        <v>20.5</v>
      </c>
      <c r="B42" s="19"/>
      <c r="C42" s="19" t="s">
        <v>22</v>
      </c>
      <c r="D42" s="37">
        <v>45881</v>
      </c>
      <c r="E42" s="31" t="s">
        <v>179</v>
      </c>
      <c r="F42" s="31" t="s">
        <v>176</v>
      </c>
      <c r="G42" s="31">
        <v>2628</v>
      </c>
      <c r="H42" s="31" t="s">
        <v>160</v>
      </c>
      <c r="J42" s="38">
        <v>0</v>
      </c>
    </row>
    <row r="43" spans="1:10" x14ac:dyDescent="0.35">
      <c r="A43" s="31">
        <v>21</v>
      </c>
      <c r="B43" s="19" t="s">
        <v>17</v>
      </c>
      <c r="C43" s="19"/>
      <c r="D43" s="37">
        <v>45881</v>
      </c>
      <c r="E43" s="31" t="s">
        <v>180</v>
      </c>
      <c r="F43" s="31" t="s">
        <v>176</v>
      </c>
      <c r="G43" s="31">
        <v>2628</v>
      </c>
      <c r="H43" s="31" t="s">
        <v>160</v>
      </c>
      <c r="I43" s="38">
        <v>0</v>
      </c>
    </row>
    <row r="44" spans="1:10" x14ac:dyDescent="0.35">
      <c r="A44" s="31">
        <v>21.5</v>
      </c>
      <c r="B44" s="19"/>
      <c r="C44" s="19" t="s">
        <v>22</v>
      </c>
      <c r="D44" s="37">
        <v>45881</v>
      </c>
      <c r="E44" s="31" t="s">
        <v>180</v>
      </c>
      <c r="F44" s="31" t="s">
        <v>176</v>
      </c>
      <c r="G44" s="31">
        <v>2628</v>
      </c>
      <c r="H44" s="31" t="s">
        <v>160</v>
      </c>
      <c r="J44" s="38">
        <v>0</v>
      </c>
    </row>
    <row r="45" spans="1:10" x14ac:dyDescent="0.35">
      <c r="A45" s="31">
        <v>22</v>
      </c>
      <c r="B45" s="19" t="s">
        <v>17</v>
      </c>
      <c r="C45" s="19"/>
      <c r="D45" s="37">
        <v>45881</v>
      </c>
      <c r="E45" s="31" t="s">
        <v>181</v>
      </c>
      <c r="F45" s="31" t="s">
        <v>82</v>
      </c>
      <c r="G45" s="31">
        <v>2571</v>
      </c>
      <c r="H45" s="31" t="s">
        <v>160</v>
      </c>
      <c r="I45" s="38">
        <v>0</v>
      </c>
    </row>
    <row r="46" spans="1:10" x14ac:dyDescent="0.35">
      <c r="A46" s="31">
        <v>22.5</v>
      </c>
      <c r="B46" s="19"/>
      <c r="C46" s="19" t="s">
        <v>22</v>
      </c>
      <c r="D46" s="37">
        <v>45881</v>
      </c>
      <c r="E46" s="31" t="s">
        <v>181</v>
      </c>
      <c r="F46" s="31" t="s">
        <v>82</v>
      </c>
      <c r="G46" s="31">
        <v>2571</v>
      </c>
      <c r="H46" s="31" t="s">
        <v>160</v>
      </c>
      <c r="J46" s="38">
        <v>0</v>
      </c>
    </row>
    <row r="47" spans="1:10" x14ac:dyDescent="0.35">
      <c r="A47" s="31">
        <v>23</v>
      </c>
      <c r="B47" s="19" t="s">
        <v>17</v>
      </c>
      <c r="C47" s="19"/>
      <c r="D47" s="37">
        <v>45881</v>
      </c>
      <c r="E47" s="31" t="s">
        <v>182</v>
      </c>
      <c r="F47" s="31" t="s">
        <v>82</v>
      </c>
      <c r="G47" s="31">
        <v>2571</v>
      </c>
      <c r="H47" s="31" t="s">
        <v>160</v>
      </c>
      <c r="I47" s="38">
        <v>6344.1100000000006</v>
      </c>
    </row>
    <row r="48" spans="1:10" x14ac:dyDescent="0.35">
      <c r="A48" s="31">
        <v>23.5</v>
      </c>
      <c r="B48" s="19"/>
      <c r="C48" s="19" t="s">
        <v>22</v>
      </c>
      <c r="D48" s="37">
        <v>45881</v>
      </c>
      <c r="E48" s="31" t="s">
        <v>182</v>
      </c>
      <c r="F48" s="31" t="s">
        <v>82</v>
      </c>
      <c r="G48" s="31">
        <v>2571</v>
      </c>
      <c r="H48" s="31" t="s">
        <v>160</v>
      </c>
      <c r="J48" s="38">
        <v>6344.1100000000006</v>
      </c>
    </row>
    <row r="49" spans="1:10" x14ac:dyDescent="0.35">
      <c r="A49" s="31">
        <v>24</v>
      </c>
      <c r="B49" s="19" t="s">
        <v>17</v>
      </c>
      <c r="C49" s="19"/>
      <c r="D49" s="37">
        <v>45881</v>
      </c>
      <c r="E49" s="31" t="s">
        <v>183</v>
      </c>
      <c r="F49" s="31" t="s">
        <v>82</v>
      </c>
      <c r="G49" s="31">
        <v>2571</v>
      </c>
      <c r="H49" s="31" t="s">
        <v>160</v>
      </c>
      <c r="I49" s="38">
        <v>0</v>
      </c>
    </row>
    <row r="50" spans="1:10" x14ac:dyDescent="0.35">
      <c r="A50" s="31">
        <v>24.5</v>
      </c>
      <c r="B50" s="19"/>
      <c r="C50" s="19" t="s">
        <v>22</v>
      </c>
      <c r="D50" s="37">
        <v>45881</v>
      </c>
      <c r="E50" s="31" t="s">
        <v>183</v>
      </c>
      <c r="F50" s="31" t="s">
        <v>82</v>
      </c>
      <c r="G50" s="31">
        <v>2571</v>
      </c>
      <c r="H50" s="31" t="s">
        <v>160</v>
      </c>
      <c r="J50" s="38">
        <v>0</v>
      </c>
    </row>
    <row r="51" spans="1:10" x14ac:dyDescent="0.35">
      <c r="A51" s="31">
        <v>25</v>
      </c>
      <c r="B51" s="19" t="s">
        <v>17</v>
      </c>
      <c r="C51" s="19"/>
      <c r="D51" s="37">
        <v>45881</v>
      </c>
      <c r="E51" s="31" t="s">
        <v>184</v>
      </c>
      <c r="F51" s="31" t="s">
        <v>75</v>
      </c>
      <c r="G51" s="31">
        <v>3320</v>
      </c>
      <c r="H51" s="31" t="s">
        <v>160</v>
      </c>
      <c r="I51" s="38">
        <v>33360</v>
      </c>
    </row>
    <row r="52" spans="1:10" x14ac:dyDescent="0.35">
      <c r="A52" s="31">
        <v>25.5</v>
      </c>
      <c r="B52" s="19"/>
      <c r="C52" s="19" t="s">
        <v>22</v>
      </c>
      <c r="D52" s="37">
        <v>45881</v>
      </c>
      <c r="E52" s="31" t="s">
        <v>184</v>
      </c>
      <c r="F52" s="31" t="s">
        <v>75</v>
      </c>
      <c r="G52" s="31">
        <v>3320</v>
      </c>
      <c r="H52" s="31" t="s">
        <v>160</v>
      </c>
      <c r="J52" s="38">
        <v>33360</v>
      </c>
    </row>
    <row r="53" spans="1:10" x14ac:dyDescent="0.35">
      <c r="A53" s="31">
        <v>26</v>
      </c>
      <c r="B53" s="19" t="s">
        <v>17</v>
      </c>
      <c r="C53" s="19"/>
      <c r="D53" s="37">
        <v>45881</v>
      </c>
      <c r="E53" s="31" t="s">
        <v>185</v>
      </c>
      <c r="F53" s="31" t="s">
        <v>75</v>
      </c>
      <c r="G53" s="31">
        <v>3320</v>
      </c>
      <c r="H53" s="31" t="s">
        <v>160</v>
      </c>
      <c r="I53" s="38">
        <v>29600.639999999999</v>
      </c>
    </row>
    <row r="54" spans="1:10" x14ac:dyDescent="0.35">
      <c r="A54" s="31">
        <v>26.5</v>
      </c>
      <c r="B54" s="19"/>
      <c r="C54" s="19" t="s">
        <v>22</v>
      </c>
      <c r="D54" s="37">
        <v>45881</v>
      </c>
      <c r="E54" s="31" t="s">
        <v>185</v>
      </c>
      <c r="F54" s="31" t="s">
        <v>75</v>
      </c>
      <c r="G54" s="31">
        <v>3320</v>
      </c>
      <c r="H54" s="31" t="s">
        <v>160</v>
      </c>
      <c r="J54" s="38">
        <v>29600.639999999999</v>
      </c>
    </row>
    <row r="55" spans="1:10" x14ac:dyDescent="0.35">
      <c r="A55" s="31">
        <v>27</v>
      </c>
      <c r="B55" s="19" t="s">
        <v>17</v>
      </c>
      <c r="C55" s="19"/>
      <c r="D55" s="37">
        <v>45881</v>
      </c>
      <c r="E55" s="31" t="s">
        <v>186</v>
      </c>
      <c r="F55" s="31" t="s">
        <v>75</v>
      </c>
      <c r="G55" s="31">
        <v>3320</v>
      </c>
      <c r="H55" s="31" t="s">
        <v>160</v>
      </c>
      <c r="I55" s="38">
        <v>1026</v>
      </c>
    </row>
    <row r="56" spans="1:10" x14ac:dyDescent="0.35">
      <c r="A56" s="31">
        <v>27.5</v>
      </c>
      <c r="B56" s="19"/>
      <c r="C56" s="19" t="s">
        <v>22</v>
      </c>
      <c r="D56" s="37">
        <v>45881</v>
      </c>
      <c r="E56" s="31" t="s">
        <v>186</v>
      </c>
      <c r="F56" s="31" t="s">
        <v>75</v>
      </c>
      <c r="G56" s="31">
        <v>3320</v>
      </c>
      <c r="H56" s="31" t="s">
        <v>160</v>
      </c>
      <c r="J56" s="38">
        <v>1026</v>
      </c>
    </row>
    <row r="57" spans="1:10" x14ac:dyDescent="0.35">
      <c r="A57" s="31">
        <v>28</v>
      </c>
      <c r="B57" s="19" t="s">
        <v>17</v>
      </c>
      <c r="C57" s="19"/>
      <c r="D57" s="37">
        <v>45881</v>
      </c>
      <c r="E57" s="31" t="s">
        <v>187</v>
      </c>
      <c r="F57" s="31" t="s">
        <v>75</v>
      </c>
      <c r="G57" s="31">
        <v>3320</v>
      </c>
      <c r="H57" s="31" t="s">
        <v>160</v>
      </c>
      <c r="I57" s="38">
        <v>50080.54</v>
      </c>
    </row>
    <row r="58" spans="1:10" x14ac:dyDescent="0.35">
      <c r="A58" s="31">
        <v>28.5</v>
      </c>
      <c r="B58" s="19"/>
      <c r="C58" s="19" t="s">
        <v>22</v>
      </c>
      <c r="D58" s="37">
        <v>45881</v>
      </c>
      <c r="E58" s="31" t="s">
        <v>187</v>
      </c>
      <c r="F58" s="31" t="s">
        <v>75</v>
      </c>
      <c r="G58" s="31">
        <v>3320</v>
      </c>
      <c r="H58" s="31" t="s">
        <v>160</v>
      </c>
      <c r="J58" s="38">
        <v>50080.54</v>
      </c>
    </row>
    <row r="59" spans="1:10" x14ac:dyDescent="0.35">
      <c r="A59" s="31">
        <v>29</v>
      </c>
      <c r="B59" s="19" t="s">
        <v>17</v>
      </c>
      <c r="C59" s="19"/>
      <c r="D59" s="37">
        <v>45881</v>
      </c>
      <c r="E59" s="31" t="s">
        <v>188</v>
      </c>
      <c r="F59" s="31" t="s">
        <v>75</v>
      </c>
      <c r="G59" s="31">
        <v>3320</v>
      </c>
      <c r="H59" s="31" t="s">
        <v>160</v>
      </c>
      <c r="I59" s="38">
        <v>50056.76</v>
      </c>
    </row>
    <row r="60" spans="1:10" x14ac:dyDescent="0.35">
      <c r="A60" s="31">
        <v>29.5</v>
      </c>
      <c r="B60" s="19"/>
      <c r="C60" s="19" t="s">
        <v>22</v>
      </c>
      <c r="D60" s="37">
        <v>45881</v>
      </c>
      <c r="E60" s="31" t="s">
        <v>188</v>
      </c>
      <c r="F60" s="31" t="s">
        <v>75</v>
      </c>
      <c r="G60" s="31">
        <v>3320</v>
      </c>
      <c r="H60" s="31" t="s">
        <v>160</v>
      </c>
      <c r="J60" s="38">
        <v>50056.76</v>
      </c>
    </row>
    <row r="61" spans="1:10" x14ac:dyDescent="0.35">
      <c r="A61" s="31">
        <v>30</v>
      </c>
      <c r="B61" s="19" t="s">
        <v>17</v>
      </c>
      <c r="C61" s="19"/>
      <c r="D61" s="37">
        <v>45881</v>
      </c>
      <c r="E61" s="31" t="s">
        <v>189</v>
      </c>
      <c r="F61" s="31" t="s">
        <v>75</v>
      </c>
      <c r="G61" s="31">
        <v>3320</v>
      </c>
      <c r="H61" s="31" t="s">
        <v>160</v>
      </c>
      <c r="I61" s="38">
        <v>0</v>
      </c>
    </row>
    <row r="62" spans="1:10" x14ac:dyDescent="0.35">
      <c r="A62" s="31">
        <v>30.5</v>
      </c>
      <c r="B62" s="19"/>
      <c r="C62" s="19" t="s">
        <v>22</v>
      </c>
      <c r="D62" s="37">
        <v>45881</v>
      </c>
      <c r="E62" s="31" t="s">
        <v>189</v>
      </c>
      <c r="F62" s="31" t="s">
        <v>75</v>
      </c>
      <c r="G62" s="31">
        <v>3320</v>
      </c>
      <c r="H62" s="31" t="s">
        <v>160</v>
      </c>
      <c r="J62" s="38">
        <v>0</v>
      </c>
    </row>
    <row r="63" spans="1:10" x14ac:dyDescent="0.35">
      <c r="A63" s="31">
        <v>31</v>
      </c>
      <c r="B63" s="19" t="s">
        <v>17</v>
      </c>
      <c r="C63" s="19"/>
      <c r="D63" s="37">
        <v>45881</v>
      </c>
      <c r="E63" s="31" t="s">
        <v>190</v>
      </c>
      <c r="F63" s="31" t="s">
        <v>75</v>
      </c>
      <c r="G63" s="31">
        <v>3320</v>
      </c>
      <c r="H63" s="31" t="s">
        <v>160</v>
      </c>
      <c r="I63" s="38">
        <v>11383.099999999999</v>
      </c>
    </row>
    <row r="64" spans="1:10" x14ac:dyDescent="0.35">
      <c r="A64" s="31">
        <v>31.5</v>
      </c>
      <c r="B64" s="19"/>
      <c r="C64" s="19" t="s">
        <v>22</v>
      </c>
      <c r="D64" s="37">
        <v>45881</v>
      </c>
      <c r="E64" s="31" t="s">
        <v>190</v>
      </c>
      <c r="F64" s="31" t="s">
        <v>75</v>
      </c>
      <c r="G64" s="31">
        <v>3320</v>
      </c>
      <c r="H64" s="31" t="s">
        <v>160</v>
      </c>
      <c r="J64" s="38">
        <v>11383.099999999999</v>
      </c>
    </row>
    <row r="65" spans="1:10" x14ac:dyDescent="0.35">
      <c r="A65" s="31">
        <v>32</v>
      </c>
      <c r="B65" s="19" t="s">
        <v>17</v>
      </c>
      <c r="C65" s="19"/>
      <c r="D65" s="37">
        <v>45881</v>
      </c>
      <c r="E65" s="31" t="s">
        <v>191</v>
      </c>
      <c r="F65" s="31" t="s">
        <v>75</v>
      </c>
      <c r="G65" s="31">
        <v>3320</v>
      </c>
      <c r="H65" s="31" t="s">
        <v>160</v>
      </c>
      <c r="I65" s="38">
        <v>35342.19</v>
      </c>
    </row>
    <row r="66" spans="1:10" x14ac:dyDescent="0.35">
      <c r="A66" s="31">
        <v>32.5</v>
      </c>
      <c r="B66" s="19"/>
      <c r="C66" s="19" t="s">
        <v>22</v>
      </c>
      <c r="D66" s="37">
        <v>45881</v>
      </c>
      <c r="E66" s="31" t="s">
        <v>191</v>
      </c>
      <c r="F66" s="31" t="s">
        <v>75</v>
      </c>
      <c r="G66" s="31">
        <v>3320</v>
      </c>
      <c r="H66" s="31" t="s">
        <v>160</v>
      </c>
      <c r="J66" s="38">
        <v>35342.19</v>
      </c>
    </row>
    <row r="67" spans="1:10" x14ac:dyDescent="0.35">
      <c r="A67" s="31">
        <v>33</v>
      </c>
      <c r="B67" s="19" t="s">
        <v>17</v>
      </c>
      <c r="C67" s="19"/>
      <c r="D67" s="37">
        <v>45881</v>
      </c>
      <c r="E67" s="31" t="s">
        <v>192</v>
      </c>
      <c r="F67" s="31" t="s">
        <v>75</v>
      </c>
      <c r="G67" s="31">
        <v>3320</v>
      </c>
      <c r="H67" s="31" t="s">
        <v>160</v>
      </c>
      <c r="I67" s="38">
        <v>0</v>
      </c>
    </row>
    <row r="68" spans="1:10" x14ac:dyDescent="0.35">
      <c r="A68" s="31">
        <v>33.5</v>
      </c>
      <c r="B68" s="19"/>
      <c r="C68" s="19" t="s">
        <v>22</v>
      </c>
      <c r="D68" s="37">
        <v>45881</v>
      </c>
      <c r="E68" s="31" t="s">
        <v>192</v>
      </c>
      <c r="F68" s="31" t="s">
        <v>75</v>
      </c>
      <c r="G68" s="31">
        <v>3320</v>
      </c>
      <c r="H68" s="31" t="s">
        <v>160</v>
      </c>
      <c r="J68" s="38">
        <v>0</v>
      </c>
    </row>
    <row r="69" spans="1:10" x14ac:dyDescent="0.35">
      <c r="A69" s="31">
        <v>34</v>
      </c>
      <c r="B69" s="19" t="s">
        <v>17</v>
      </c>
      <c r="C69" s="19"/>
      <c r="D69" s="37">
        <v>45881</v>
      </c>
      <c r="E69" s="31" t="s">
        <v>193</v>
      </c>
      <c r="F69" s="31" t="s">
        <v>75</v>
      </c>
      <c r="G69" s="31">
        <v>3320</v>
      </c>
      <c r="H69" s="31" t="s">
        <v>160</v>
      </c>
      <c r="I69" s="38">
        <v>2872</v>
      </c>
    </row>
    <row r="70" spans="1:10" x14ac:dyDescent="0.35">
      <c r="A70" s="31">
        <v>34.5</v>
      </c>
      <c r="B70" s="19"/>
      <c r="C70" s="19" t="s">
        <v>22</v>
      </c>
      <c r="D70" s="37">
        <v>45881</v>
      </c>
      <c r="E70" s="31" t="s">
        <v>193</v>
      </c>
      <c r="F70" s="31" t="s">
        <v>75</v>
      </c>
      <c r="G70" s="31">
        <v>3320</v>
      </c>
      <c r="H70" s="31" t="s">
        <v>160</v>
      </c>
      <c r="J70" s="38">
        <v>2872</v>
      </c>
    </row>
    <row r="71" spans="1:10" x14ac:dyDescent="0.35">
      <c r="A71" s="31">
        <v>35</v>
      </c>
      <c r="B71" s="19" t="s">
        <v>17</v>
      </c>
      <c r="C71" s="19"/>
      <c r="D71" s="37">
        <v>45881</v>
      </c>
      <c r="E71" s="31" t="s">
        <v>194</v>
      </c>
      <c r="F71" s="31" t="s">
        <v>177</v>
      </c>
      <c r="G71" s="31">
        <v>3526</v>
      </c>
      <c r="H71" s="31" t="s">
        <v>160</v>
      </c>
      <c r="I71" s="38">
        <v>8905.2200000000012</v>
      </c>
    </row>
    <row r="72" spans="1:10" x14ac:dyDescent="0.35">
      <c r="A72" s="31">
        <v>35.5</v>
      </c>
      <c r="B72" s="19"/>
      <c r="C72" s="19" t="s">
        <v>22</v>
      </c>
      <c r="D72" s="37">
        <v>45881</v>
      </c>
      <c r="E72" s="31" t="s">
        <v>194</v>
      </c>
      <c r="F72" s="31" t="s">
        <v>177</v>
      </c>
      <c r="G72" s="31">
        <v>3526</v>
      </c>
      <c r="H72" s="31" t="s">
        <v>160</v>
      </c>
      <c r="J72" s="38">
        <v>8905.2200000000012</v>
      </c>
    </row>
    <row r="73" spans="1:10" x14ac:dyDescent="0.35">
      <c r="A73" s="31">
        <v>36</v>
      </c>
      <c r="B73" s="19" t="s">
        <v>17</v>
      </c>
      <c r="C73" s="19"/>
      <c r="D73" s="37">
        <v>45881</v>
      </c>
      <c r="E73" s="31" t="s">
        <v>195</v>
      </c>
      <c r="F73" s="31" t="s">
        <v>177</v>
      </c>
      <c r="G73" s="31">
        <v>3526</v>
      </c>
      <c r="H73" s="31" t="s">
        <v>160</v>
      </c>
      <c r="I73" s="38">
        <v>177.14</v>
      </c>
    </row>
    <row r="74" spans="1:10" x14ac:dyDescent="0.35">
      <c r="A74" s="31">
        <v>36.5</v>
      </c>
      <c r="B74" s="19"/>
      <c r="C74" s="19" t="s">
        <v>22</v>
      </c>
      <c r="D74" s="37">
        <v>45881</v>
      </c>
      <c r="E74" s="31" t="s">
        <v>195</v>
      </c>
      <c r="F74" s="31" t="s">
        <v>177</v>
      </c>
      <c r="G74" s="31">
        <v>3526</v>
      </c>
      <c r="H74" s="31" t="s">
        <v>160</v>
      </c>
      <c r="J74" s="38">
        <v>177.14</v>
      </c>
    </row>
    <row r="75" spans="1:10" x14ac:dyDescent="0.35">
      <c r="A75" s="31">
        <v>37</v>
      </c>
      <c r="B75" s="19" t="s">
        <v>17</v>
      </c>
      <c r="C75" s="19"/>
      <c r="D75" s="37">
        <v>45881</v>
      </c>
      <c r="E75" s="31" t="s">
        <v>196</v>
      </c>
      <c r="F75" s="31" t="s">
        <v>177</v>
      </c>
      <c r="G75" s="31">
        <v>3526</v>
      </c>
      <c r="H75" s="31" t="s">
        <v>160</v>
      </c>
      <c r="I75" s="38">
        <v>5561.55</v>
      </c>
    </row>
    <row r="76" spans="1:10" x14ac:dyDescent="0.35">
      <c r="A76" s="31">
        <v>37.5</v>
      </c>
      <c r="B76" s="19"/>
      <c r="C76" s="19" t="s">
        <v>22</v>
      </c>
      <c r="D76" s="37">
        <v>45881</v>
      </c>
      <c r="E76" s="31" t="s">
        <v>196</v>
      </c>
      <c r="F76" s="31" t="s">
        <v>177</v>
      </c>
      <c r="G76" s="31">
        <v>3526</v>
      </c>
      <c r="H76" s="31" t="s">
        <v>160</v>
      </c>
      <c r="J76" s="38">
        <v>5561.55</v>
      </c>
    </row>
    <row r="77" spans="1:10" x14ac:dyDescent="0.35">
      <c r="A77" s="31">
        <v>38</v>
      </c>
      <c r="B77" s="19" t="s">
        <v>17</v>
      </c>
      <c r="C77" s="19"/>
      <c r="D77" s="37">
        <v>45881</v>
      </c>
      <c r="E77" s="31" t="s">
        <v>197</v>
      </c>
      <c r="F77" s="31" t="s">
        <v>177</v>
      </c>
      <c r="G77" s="31">
        <v>3526</v>
      </c>
      <c r="H77" s="31" t="s">
        <v>160</v>
      </c>
      <c r="I77" s="38">
        <v>22730</v>
      </c>
    </row>
    <row r="78" spans="1:10" x14ac:dyDescent="0.35">
      <c r="A78" s="31">
        <v>38.5</v>
      </c>
      <c r="B78" s="19"/>
      <c r="C78" s="19" t="s">
        <v>22</v>
      </c>
      <c r="D78" s="37">
        <v>45881</v>
      </c>
      <c r="E78" s="31" t="s">
        <v>197</v>
      </c>
      <c r="F78" s="31" t="s">
        <v>177</v>
      </c>
      <c r="G78" s="31">
        <v>3526</v>
      </c>
      <c r="H78" s="31" t="s">
        <v>160</v>
      </c>
      <c r="J78" s="38">
        <v>22730</v>
      </c>
    </row>
    <row r="79" spans="1:10" x14ac:dyDescent="0.35">
      <c r="A79" s="31">
        <v>39</v>
      </c>
      <c r="B79" s="19" t="s">
        <v>17</v>
      </c>
      <c r="C79" s="19"/>
      <c r="D79" s="37">
        <v>45881</v>
      </c>
      <c r="E79" s="31">
        <v>38256</v>
      </c>
      <c r="F79" s="31" t="s">
        <v>177</v>
      </c>
      <c r="G79" s="31">
        <v>3526</v>
      </c>
      <c r="H79" s="31" t="s">
        <v>160</v>
      </c>
      <c r="I79" s="38">
        <v>8134</v>
      </c>
    </row>
    <row r="80" spans="1:10" x14ac:dyDescent="0.35">
      <c r="A80" s="31">
        <v>39.5</v>
      </c>
      <c r="B80" s="19"/>
      <c r="C80" s="19" t="s">
        <v>22</v>
      </c>
      <c r="D80" s="37">
        <v>45881</v>
      </c>
      <c r="E80" s="31">
        <v>38256</v>
      </c>
      <c r="F80" s="31" t="s">
        <v>177</v>
      </c>
      <c r="G80" s="31">
        <v>3526</v>
      </c>
      <c r="H80" s="31" t="s">
        <v>160</v>
      </c>
      <c r="J80" s="38">
        <v>8134</v>
      </c>
    </row>
    <row r="81" spans="1:10" x14ac:dyDescent="0.35">
      <c r="A81" s="31">
        <v>40</v>
      </c>
      <c r="B81" s="19" t="s">
        <v>17</v>
      </c>
      <c r="C81" s="19"/>
      <c r="D81" s="37">
        <v>45881</v>
      </c>
      <c r="E81" s="31">
        <v>38257</v>
      </c>
      <c r="F81" s="31" t="s">
        <v>177</v>
      </c>
      <c r="G81" s="31">
        <v>3526</v>
      </c>
      <c r="H81" s="31" t="s">
        <v>160</v>
      </c>
      <c r="I81" s="38">
        <v>4373.4799999999996</v>
      </c>
    </row>
    <row r="82" spans="1:10" x14ac:dyDescent="0.35">
      <c r="A82" s="31">
        <v>40.5</v>
      </c>
      <c r="B82" s="19"/>
      <c r="C82" s="19" t="s">
        <v>22</v>
      </c>
      <c r="D82" s="37">
        <v>45881</v>
      </c>
      <c r="E82" s="31">
        <v>38257</v>
      </c>
      <c r="F82" s="31" t="s">
        <v>177</v>
      </c>
      <c r="G82" s="31">
        <v>3526</v>
      </c>
      <c r="H82" s="31" t="s">
        <v>160</v>
      </c>
      <c r="J82" s="38">
        <v>4373.4799999999996</v>
      </c>
    </row>
    <row r="83" spans="1:10" x14ac:dyDescent="0.35">
      <c r="A83" s="31">
        <v>41</v>
      </c>
      <c r="B83" s="19" t="s">
        <v>17</v>
      </c>
      <c r="C83" s="19"/>
      <c r="D83" s="37">
        <v>45881</v>
      </c>
      <c r="E83" s="31">
        <v>38268</v>
      </c>
      <c r="F83" s="31" t="s">
        <v>177</v>
      </c>
      <c r="G83" s="31">
        <v>3526</v>
      </c>
      <c r="H83" s="31" t="s">
        <v>160</v>
      </c>
      <c r="I83" s="38">
        <v>460.68</v>
      </c>
    </row>
    <row r="84" spans="1:10" x14ac:dyDescent="0.35">
      <c r="A84" s="31">
        <v>41.5</v>
      </c>
      <c r="B84" s="19"/>
      <c r="C84" s="19" t="s">
        <v>22</v>
      </c>
      <c r="D84" s="37">
        <v>45881</v>
      </c>
      <c r="E84" s="31">
        <v>38268</v>
      </c>
      <c r="F84" s="31" t="s">
        <v>177</v>
      </c>
      <c r="G84" s="31">
        <v>3526</v>
      </c>
      <c r="H84" s="31" t="s">
        <v>160</v>
      </c>
      <c r="J84" s="38">
        <v>460.68</v>
      </c>
    </row>
    <row r="85" spans="1:10" x14ac:dyDescent="0.35">
      <c r="A85" s="31">
        <v>42</v>
      </c>
      <c r="B85" s="19" t="s">
        <v>17</v>
      </c>
      <c r="C85" s="19"/>
      <c r="D85" s="37">
        <v>45881</v>
      </c>
      <c r="E85" s="31">
        <v>38331</v>
      </c>
      <c r="F85" s="31" t="s">
        <v>107</v>
      </c>
      <c r="G85" s="31">
        <v>2466</v>
      </c>
      <c r="H85" s="31" t="s">
        <v>160</v>
      </c>
      <c r="I85" s="38">
        <v>7573.34</v>
      </c>
    </row>
    <row r="86" spans="1:10" x14ac:dyDescent="0.35">
      <c r="A86" s="31">
        <v>42.5</v>
      </c>
      <c r="B86" s="19"/>
      <c r="C86" s="19" t="s">
        <v>22</v>
      </c>
      <c r="D86" s="37">
        <v>45881</v>
      </c>
      <c r="E86" s="31">
        <v>38331</v>
      </c>
      <c r="F86" s="31" t="s">
        <v>107</v>
      </c>
      <c r="G86" s="31">
        <v>2466</v>
      </c>
      <c r="H86" s="31" t="s">
        <v>160</v>
      </c>
      <c r="J86" s="38">
        <v>7573.34</v>
      </c>
    </row>
    <row r="87" spans="1:10" x14ac:dyDescent="0.35">
      <c r="A87" s="31">
        <v>43</v>
      </c>
      <c r="B87" s="19" t="s">
        <v>17</v>
      </c>
      <c r="C87" s="19"/>
      <c r="D87" s="37">
        <v>45881</v>
      </c>
      <c r="E87" s="31">
        <v>38375</v>
      </c>
      <c r="F87" s="31" t="s">
        <v>177</v>
      </c>
      <c r="G87" s="31">
        <v>3526</v>
      </c>
      <c r="H87" s="31" t="s">
        <v>160</v>
      </c>
      <c r="I87" s="38">
        <v>1185.5999999999999</v>
      </c>
    </row>
    <row r="88" spans="1:10" x14ac:dyDescent="0.35">
      <c r="A88" s="31">
        <v>43.5</v>
      </c>
      <c r="B88" s="19"/>
      <c r="C88" s="19" t="s">
        <v>22</v>
      </c>
      <c r="D88" s="37">
        <v>45881</v>
      </c>
      <c r="E88" s="31">
        <v>38375</v>
      </c>
      <c r="F88" s="31" t="s">
        <v>177</v>
      </c>
      <c r="G88" s="31">
        <v>3526</v>
      </c>
      <c r="H88" s="31" t="s">
        <v>160</v>
      </c>
      <c r="J88" s="38">
        <v>1185.5999999999999</v>
      </c>
    </row>
    <row r="89" spans="1:10" x14ac:dyDescent="0.35">
      <c r="A89" s="31">
        <v>44</v>
      </c>
      <c r="B89" s="19" t="s">
        <v>17</v>
      </c>
      <c r="C89" s="19"/>
      <c r="D89" s="37">
        <v>45882</v>
      </c>
      <c r="E89" s="31" t="s">
        <v>198</v>
      </c>
      <c r="F89" s="31" t="s">
        <v>33</v>
      </c>
      <c r="G89" s="31">
        <v>2678</v>
      </c>
      <c r="H89" s="31" t="s">
        <v>160</v>
      </c>
      <c r="I89" s="38">
        <v>966.86</v>
      </c>
    </row>
    <row r="90" spans="1:10" x14ac:dyDescent="0.35">
      <c r="A90" s="31">
        <v>44.5</v>
      </c>
      <c r="B90" s="19"/>
      <c r="C90" s="19" t="s">
        <v>22</v>
      </c>
      <c r="D90" s="37">
        <v>45882</v>
      </c>
      <c r="E90" s="31" t="s">
        <v>198</v>
      </c>
      <c r="F90" s="31" t="s">
        <v>33</v>
      </c>
      <c r="G90" s="31">
        <v>2678</v>
      </c>
      <c r="H90" s="31" t="s">
        <v>160</v>
      </c>
      <c r="J90" s="38">
        <v>966.86</v>
      </c>
    </row>
    <row r="91" spans="1:10" x14ac:dyDescent="0.35">
      <c r="A91" s="31">
        <v>45</v>
      </c>
      <c r="B91" s="19" t="s">
        <v>17</v>
      </c>
      <c r="C91" s="19"/>
      <c r="D91" s="37">
        <v>45882</v>
      </c>
      <c r="E91" s="31" t="s">
        <v>199</v>
      </c>
      <c r="F91" s="31" t="s">
        <v>33</v>
      </c>
      <c r="G91" s="31">
        <v>2678</v>
      </c>
      <c r="H91" s="31" t="s">
        <v>160</v>
      </c>
      <c r="I91" s="38">
        <v>0</v>
      </c>
    </row>
    <row r="92" spans="1:10" x14ac:dyDescent="0.35">
      <c r="A92" s="31">
        <v>45.5</v>
      </c>
      <c r="B92" s="19"/>
      <c r="C92" s="19" t="s">
        <v>22</v>
      </c>
      <c r="D92" s="37">
        <v>45882</v>
      </c>
      <c r="E92" s="31" t="s">
        <v>199</v>
      </c>
      <c r="F92" s="31" t="s">
        <v>33</v>
      </c>
      <c r="G92" s="31">
        <v>2678</v>
      </c>
      <c r="H92" s="31" t="s">
        <v>160</v>
      </c>
      <c r="J92" s="38">
        <v>0</v>
      </c>
    </row>
    <row r="93" spans="1:10" x14ac:dyDescent="0.35">
      <c r="A93" s="31">
        <v>46</v>
      </c>
      <c r="B93" s="19" t="s">
        <v>17</v>
      </c>
      <c r="C93" s="19"/>
      <c r="D93" s="37">
        <v>45882</v>
      </c>
      <c r="E93" s="31" t="s">
        <v>200</v>
      </c>
      <c r="F93" s="31" t="s">
        <v>75</v>
      </c>
      <c r="G93" s="31">
        <v>3320</v>
      </c>
      <c r="H93" s="31" t="s">
        <v>160</v>
      </c>
      <c r="I93" s="38">
        <v>7652.82</v>
      </c>
    </row>
    <row r="94" spans="1:10" x14ac:dyDescent="0.35">
      <c r="A94" s="31">
        <v>46.5</v>
      </c>
      <c r="B94" s="19"/>
      <c r="C94" s="19" t="s">
        <v>22</v>
      </c>
      <c r="D94" s="37">
        <v>45882</v>
      </c>
      <c r="E94" s="31" t="s">
        <v>200</v>
      </c>
      <c r="F94" s="31" t="s">
        <v>75</v>
      </c>
      <c r="G94" s="31">
        <v>3320</v>
      </c>
      <c r="H94" s="31" t="s">
        <v>160</v>
      </c>
      <c r="J94" s="38">
        <v>7652.82</v>
      </c>
    </row>
    <row r="95" spans="1:10" x14ac:dyDescent="0.35">
      <c r="A95" s="31">
        <v>47</v>
      </c>
      <c r="B95" s="19" t="s">
        <v>17</v>
      </c>
      <c r="C95" s="19"/>
      <c r="D95" s="37">
        <v>45882</v>
      </c>
      <c r="E95" s="31" t="s">
        <v>201</v>
      </c>
      <c r="F95" s="31" t="s">
        <v>70</v>
      </c>
      <c r="G95" s="31">
        <v>3412</v>
      </c>
      <c r="H95" s="31" t="s">
        <v>160</v>
      </c>
      <c r="I95" s="38">
        <v>5142.8599999999997</v>
      </c>
    </row>
    <row r="96" spans="1:10" x14ac:dyDescent="0.35">
      <c r="A96" s="31">
        <v>47.5</v>
      </c>
      <c r="B96" s="19"/>
      <c r="C96" s="19" t="s">
        <v>22</v>
      </c>
      <c r="D96" s="37">
        <v>45882</v>
      </c>
      <c r="E96" s="31" t="s">
        <v>201</v>
      </c>
      <c r="F96" s="31" t="s">
        <v>70</v>
      </c>
      <c r="G96" s="31">
        <v>3412</v>
      </c>
      <c r="H96" s="31" t="s">
        <v>160</v>
      </c>
      <c r="J96" s="38">
        <v>5142.8599999999997</v>
      </c>
    </row>
    <row r="97" spans="1:10" x14ac:dyDescent="0.35">
      <c r="A97" s="31">
        <v>48</v>
      </c>
      <c r="B97" s="19" t="s">
        <v>17</v>
      </c>
      <c r="C97" s="19"/>
      <c r="D97" s="37">
        <v>45887</v>
      </c>
      <c r="E97" s="31">
        <v>38857</v>
      </c>
      <c r="F97" s="31" t="s">
        <v>202</v>
      </c>
      <c r="G97" s="31">
        <v>2553</v>
      </c>
      <c r="H97" s="31" t="s">
        <v>160</v>
      </c>
      <c r="I97" s="38">
        <v>12815.6</v>
      </c>
    </row>
    <row r="98" spans="1:10" x14ac:dyDescent="0.35">
      <c r="A98" s="31">
        <v>48.5</v>
      </c>
      <c r="B98" s="19"/>
      <c r="C98" s="19" t="s">
        <v>22</v>
      </c>
      <c r="D98" s="37">
        <v>45887</v>
      </c>
      <c r="E98" s="31">
        <v>38857</v>
      </c>
      <c r="F98" s="31" t="s">
        <v>202</v>
      </c>
      <c r="G98" s="31">
        <v>2553</v>
      </c>
      <c r="H98" s="31" t="s">
        <v>160</v>
      </c>
      <c r="J98" s="38">
        <v>12815.6</v>
      </c>
    </row>
    <row r="99" spans="1:10" x14ac:dyDescent="0.35">
      <c r="A99" s="31">
        <v>49</v>
      </c>
      <c r="B99" s="19" t="s">
        <v>17</v>
      </c>
      <c r="C99" s="19"/>
      <c r="D99" s="37">
        <v>45890</v>
      </c>
      <c r="E99" s="31" t="s">
        <v>203</v>
      </c>
      <c r="F99" s="31" t="s">
        <v>55</v>
      </c>
      <c r="G99" s="31">
        <v>3335</v>
      </c>
      <c r="H99" s="31" t="s">
        <v>160</v>
      </c>
      <c r="I99" s="38">
        <v>47953.5</v>
      </c>
    </row>
    <row r="100" spans="1:10" x14ac:dyDescent="0.35">
      <c r="A100" s="31">
        <v>49.5</v>
      </c>
      <c r="B100" s="19"/>
      <c r="C100" s="19" t="s">
        <v>22</v>
      </c>
      <c r="D100" s="37">
        <v>45890</v>
      </c>
      <c r="E100" s="31" t="s">
        <v>203</v>
      </c>
      <c r="F100" s="31" t="s">
        <v>55</v>
      </c>
      <c r="G100" s="31">
        <v>3335</v>
      </c>
      <c r="H100" s="31" t="s">
        <v>160</v>
      </c>
      <c r="J100" s="38">
        <v>47953.5</v>
      </c>
    </row>
    <row r="101" spans="1:10" x14ac:dyDescent="0.35">
      <c r="A101" s="31">
        <v>50</v>
      </c>
      <c r="B101" s="19" t="s">
        <v>17</v>
      </c>
      <c r="C101" s="19"/>
      <c r="D101" s="37">
        <v>45892</v>
      </c>
      <c r="E101" s="31" t="s">
        <v>204</v>
      </c>
      <c r="F101" s="31" t="s">
        <v>66</v>
      </c>
      <c r="G101" s="31">
        <v>1548</v>
      </c>
      <c r="H101" s="31" t="s">
        <v>160</v>
      </c>
      <c r="I101" s="38">
        <v>40481.729999999996</v>
      </c>
    </row>
    <row r="102" spans="1:10" x14ac:dyDescent="0.35">
      <c r="A102" s="31">
        <v>50.5</v>
      </c>
      <c r="B102" s="19"/>
      <c r="C102" s="19" t="s">
        <v>22</v>
      </c>
      <c r="D102" s="37">
        <v>45892</v>
      </c>
      <c r="E102" s="31" t="s">
        <v>204</v>
      </c>
      <c r="F102" s="31" t="s">
        <v>66</v>
      </c>
      <c r="G102" s="31">
        <v>1548</v>
      </c>
      <c r="H102" s="31" t="s">
        <v>160</v>
      </c>
      <c r="J102" s="38">
        <v>40481.729999999996</v>
      </c>
    </row>
    <row r="103" spans="1:10" x14ac:dyDescent="0.35">
      <c r="A103" s="31">
        <v>51</v>
      </c>
      <c r="B103" s="19" t="s">
        <v>17</v>
      </c>
      <c r="C103" s="19"/>
      <c r="D103" s="37">
        <v>45894</v>
      </c>
      <c r="E103" s="31" t="s">
        <v>205</v>
      </c>
      <c r="F103" s="31" t="s">
        <v>33</v>
      </c>
      <c r="G103" s="31">
        <v>2678</v>
      </c>
      <c r="H103" s="31" t="s">
        <v>160</v>
      </c>
      <c r="I103" s="38">
        <v>7558.58</v>
      </c>
    </row>
    <row r="104" spans="1:10" x14ac:dyDescent="0.35">
      <c r="A104" s="31">
        <v>51.5</v>
      </c>
      <c r="B104" s="19"/>
      <c r="C104" s="19" t="s">
        <v>22</v>
      </c>
      <c r="D104" s="37">
        <v>45894</v>
      </c>
      <c r="E104" s="31" t="s">
        <v>205</v>
      </c>
      <c r="F104" s="31" t="s">
        <v>33</v>
      </c>
      <c r="G104" s="31">
        <v>2678</v>
      </c>
      <c r="H104" s="31" t="s">
        <v>160</v>
      </c>
      <c r="J104" s="38">
        <v>7558.58</v>
      </c>
    </row>
    <row r="105" spans="1:10" x14ac:dyDescent="0.35">
      <c r="A105" s="31">
        <v>52</v>
      </c>
      <c r="B105" s="19" t="s">
        <v>17</v>
      </c>
      <c r="C105" s="19"/>
      <c r="D105" s="37">
        <v>45894</v>
      </c>
      <c r="E105" s="31" t="s">
        <v>206</v>
      </c>
      <c r="F105" s="31" t="s">
        <v>33</v>
      </c>
      <c r="G105" s="31">
        <v>2678</v>
      </c>
      <c r="H105" s="31" t="s">
        <v>160</v>
      </c>
      <c r="I105" s="38">
        <v>4209.92</v>
      </c>
    </row>
    <row r="106" spans="1:10" x14ac:dyDescent="0.35">
      <c r="A106" s="31">
        <v>52.5</v>
      </c>
      <c r="B106" s="19"/>
      <c r="C106" s="19" t="s">
        <v>22</v>
      </c>
      <c r="D106" s="37">
        <v>45894</v>
      </c>
      <c r="E106" s="31" t="s">
        <v>206</v>
      </c>
      <c r="F106" s="31" t="s">
        <v>33</v>
      </c>
      <c r="G106" s="31">
        <v>2678</v>
      </c>
      <c r="H106" s="31" t="s">
        <v>160</v>
      </c>
      <c r="J106" s="38">
        <v>4209.92</v>
      </c>
    </row>
    <row r="107" spans="1:10" x14ac:dyDescent="0.35">
      <c r="A107" s="31">
        <v>53</v>
      </c>
      <c r="B107" s="19" t="s">
        <v>17</v>
      </c>
      <c r="C107" s="19"/>
      <c r="D107" s="37">
        <v>45894</v>
      </c>
      <c r="E107" s="31" t="s">
        <v>207</v>
      </c>
      <c r="F107" s="31" t="s">
        <v>33</v>
      </c>
      <c r="G107" s="31">
        <v>2678</v>
      </c>
      <c r="H107" s="31" t="s">
        <v>160</v>
      </c>
      <c r="I107" s="38">
        <v>123.63</v>
      </c>
    </row>
    <row r="108" spans="1:10" x14ac:dyDescent="0.35">
      <c r="A108" s="31">
        <v>53.5</v>
      </c>
      <c r="B108" s="19"/>
      <c r="C108" s="19" t="s">
        <v>22</v>
      </c>
      <c r="D108" s="37">
        <v>45894</v>
      </c>
      <c r="E108" s="31" t="s">
        <v>207</v>
      </c>
      <c r="F108" s="31" t="s">
        <v>33</v>
      </c>
      <c r="G108" s="31">
        <v>2678</v>
      </c>
      <c r="H108" s="31" t="s">
        <v>160</v>
      </c>
      <c r="J108" s="38">
        <v>123.63</v>
      </c>
    </row>
    <row r="109" spans="1:10" x14ac:dyDescent="0.35">
      <c r="A109" s="31">
        <v>54</v>
      </c>
      <c r="B109" s="19" t="s">
        <v>17</v>
      </c>
      <c r="C109" s="19"/>
      <c r="D109" s="37">
        <v>45894</v>
      </c>
      <c r="E109" s="31" t="s">
        <v>208</v>
      </c>
      <c r="F109" s="31" t="s">
        <v>33</v>
      </c>
      <c r="G109" s="31">
        <v>2678</v>
      </c>
      <c r="H109" s="31" t="s">
        <v>160</v>
      </c>
      <c r="I109" s="38">
        <v>1762.5</v>
      </c>
    </row>
    <row r="110" spans="1:10" x14ac:dyDescent="0.35">
      <c r="A110" s="31">
        <v>54.5</v>
      </c>
      <c r="B110" s="19"/>
      <c r="C110" s="19" t="s">
        <v>22</v>
      </c>
      <c r="D110" s="37">
        <v>45894</v>
      </c>
      <c r="E110" s="31" t="s">
        <v>208</v>
      </c>
      <c r="F110" s="31" t="s">
        <v>33</v>
      </c>
      <c r="G110" s="31">
        <v>2678</v>
      </c>
      <c r="H110" s="31" t="s">
        <v>160</v>
      </c>
      <c r="J110" s="38">
        <v>1762.5</v>
      </c>
    </row>
    <row r="111" spans="1:10" x14ac:dyDescent="0.35">
      <c r="A111" s="31">
        <v>55</v>
      </c>
      <c r="B111" s="19" t="s">
        <v>17</v>
      </c>
      <c r="C111" s="19"/>
      <c r="D111" s="37">
        <v>45894</v>
      </c>
      <c r="E111" s="31" t="s">
        <v>209</v>
      </c>
      <c r="F111" s="31" t="s">
        <v>33</v>
      </c>
      <c r="G111" s="31">
        <v>2678</v>
      </c>
      <c r="H111" s="31" t="s">
        <v>160</v>
      </c>
      <c r="I111" s="38">
        <v>54337.630000000005</v>
      </c>
    </row>
    <row r="112" spans="1:10" x14ac:dyDescent="0.35">
      <c r="A112" s="31">
        <v>55.5</v>
      </c>
      <c r="B112" s="19"/>
      <c r="C112" s="19" t="s">
        <v>22</v>
      </c>
      <c r="D112" s="37">
        <v>45894</v>
      </c>
      <c r="E112" s="31" t="s">
        <v>209</v>
      </c>
      <c r="F112" s="31" t="s">
        <v>33</v>
      </c>
      <c r="G112" s="31">
        <v>2678</v>
      </c>
      <c r="H112" s="31" t="s">
        <v>160</v>
      </c>
      <c r="J112" s="38">
        <v>54337.630000000005</v>
      </c>
    </row>
    <row r="113" spans="1:10" x14ac:dyDescent="0.35">
      <c r="A113" s="31">
        <v>56</v>
      </c>
      <c r="B113" s="19" t="s">
        <v>17</v>
      </c>
      <c r="C113" s="19"/>
      <c r="D113" s="37">
        <v>45894</v>
      </c>
      <c r="E113" s="31" t="s">
        <v>210</v>
      </c>
      <c r="F113" s="31" t="s">
        <v>33</v>
      </c>
      <c r="G113" s="31">
        <v>2678</v>
      </c>
      <c r="H113" s="31" t="s">
        <v>160</v>
      </c>
      <c r="I113" s="38">
        <v>996.66000000000008</v>
      </c>
    </row>
    <row r="114" spans="1:10" x14ac:dyDescent="0.35">
      <c r="A114" s="31">
        <v>56.5</v>
      </c>
      <c r="B114" s="19"/>
      <c r="C114" s="19" t="s">
        <v>22</v>
      </c>
      <c r="D114" s="37">
        <v>45894</v>
      </c>
      <c r="E114" s="31" t="s">
        <v>210</v>
      </c>
      <c r="F114" s="31" t="s">
        <v>33</v>
      </c>
      <c r="G114" s="31">
        <v>2678</v>
      </c>
      <c r="H114" s="31" t="s">
        <v>160</v>
      </c>
      <c r="J114" s="38">
        <v>996.66000000000008</v>
      </c>
    </row>
    <row r="115" spans="1:10" x14ac:dyDescent="0.35">
      <c r="A115" s="31">
        <v>57</v>
      </c>
      <c r="B115" s="19" t="s">
        <v>17</v>
      </c>
      <c r="C115" s="19"/>
      <c r="D115" s="37">
        <v>45894</v>
      </c>
      <c r="E115" s="31">
        <v>33571</v>
      </c>
      <c r="F115" s="31" t="s">
        <v>33</v>
      </c>
      <c r="G115" s="31">
        <v>2678</v>
      </c>
      <c r="H115" s="31" t="s">
        <v>160</v>
      </c>
      <c r="I115" s="38">
        <v>1602.25</v>
      </c>
    </row>
    <row r="116" spans="1:10" x14ac:dyDescent="0.35">
      <c r="A116" s="31">
        <v>57.5</v>
      </c>
      <c r="B116" s="19"/>
      <c r="C116" s="19" t="s">
        <v>22</v>
      </c>
      <c r="D116" s="37">
        <v>45894</v>
      </c>
      <c r="E116" s="31">
        <v>33571</v>
      </c>
      <c r="F116" s="31" t="s">
        <v>33</v>
      </c>
      <c r="G116" s="31">
        <v>2678</v>
      </c>
      <c r="H116" s="31" t="s">
        <v>160</v>
      </c>
      <c r="J116" s="38">
        <v>1602.25</v>
      </c>
    </row>
    <row r="117" spans="1:10" x14ac:dyDescent="0.35">
      <c r="A117" s="31">
        <v>58</v>
      </c>
      <c r="B117" s="19" t="s">
        <v>17</v>
      </c>
      <c r="C117" s="19"/>
      <c r="D117" s="37">
        <v>45894</v>
      </c>
      <c r="E117" s="31" t="s">
        <v>211</v>
      </c>
      <c r="F117" s="31" t="s">
        <v>33</v>
      </c>
      <c r="G117" s="31">
        <v>2678</v>
      </c>
      <c r="H117" s="31" t="s">
        <v>160</v>
      </c>
      <c r="I117" s="38">
        <v>38322.51</v>
      </c>
    </row>
    <row r="118" spans="1:10" x14ac:dyDescent="0.35">
      <c r="A118" s="31">
        <v>58.5</v>
      </c>
      <c r="B118" s="19"/>
      <c r="C118" s="19" t="s">
        <v>22</v>
      </c>
      <c r="D118" s="37">
        <v>45894</v>
      </c>
      <c r="E118" s="31" t="s">
        <v>211</v>
      </c>
      <c r="F118" s="31" t="s">
        <v>33</v>
      </c>
      <c r="G118" s="31">
        <v>2678</v>
      </c>
      <c r="H118" s="31" t="s">
        <v>160</v>
      </c>
      <c r="J118" s="38">
        <v>38322.51</v>
      </c>
    </row>
    <row r="119" spans="1:10" x14ac:dyDescent="0.35">
      <c r="A119" s="31">
        <v>59</v>
      </c>
      <c r="B119" s="19" t="s">
        <v>17</v>
      </c>
      <c r="C119" s="19"/>
      <c r="D119" s="37">
        <v>45894</v>
      </c>
      <c r="E119" s="31" t="s">
        <v>212</v>
      </c>
      <c r="F119" s="31" t="s">
        <v>33</v>
      </c>
      <c r="G119" s="31">
        <v>2678</v>
      </c>
      <c r="H119" s="31" t="s">
        <v>160</v>
      </c>
      <c r="I119" s="38">
        <v>661.82</v>
      </c>
    </row>
    <row r="120" spans="1:10" x14ac:dyDescent="0.35">
      <c r="A120" s="31">
        <v>59.5</v>
      </c>
      <c r="B120" s="19"/>
      <c r="C120" s="19" t="s">
        <v>22</v>
      </c>
      <c r="D120" s="37">
        <v>45894</v>
      </c>
      <c r="E120" s="31" t="s">
        <v>212</v>
      </c>
      <c r="F120" s="31" t="s">
        <v>33</v>
      </c>
      <c r="G120" s="31">
        <v>2678</v>
      </c>
      <c r="H120" s="31" t="s">
        <v>160</v>
      </c>
      <c r="J120" s="38">
        <v>661.82</v>
      </c>
    </row>
    <row r="121" spans="1:10" x14ac:dyDescent="0.35">
      <c r="A121" s="31">
        <v>60</v>
      </c>
      <c r="B121" s="19" t="s">
        <v>17</v>
      </c>
      <c r="C121" s="19"/>
      <c r="D121" s="37">
        <v>45894</v>
      </c>
      <c r="E121" s="31" t="s">
        <v>213</v>
      </c>
      <c r="F121" s="31" t="s">
        <v>33</v>
      </c>
      <c r="G121" s="31">
        <v>2678</v>
      </c>
      <c r="H121" s="31" t="s">
        <v>160</v>
      </c>
      <c r="I121" s="38">
        <v>19066.870000000003</v>
      </c>
    </row>
    <row r="122" spans="1:10" x14ac:dyDescent="0.35">
      <c r="A122" s="31">
        <v>60.5</v>
      </c>
      <c r="B122" s="19"/>
      <c r="C122" s="19" t="s">
        <v>22</v>
      </c>
      <c r="D122" s="37">
        <v>45894</v>
      </c>
      <c r="E122" s="31" t="s">
        <v>213</v>
      </c>
      <c r="F122" s="31" t="s">
        <v>33</v>
      </c>
      <c r="G122" s="31">
        <v>2678</v>
      </c>
      <c r="H122" s="31" t="s">
        <v>160</v>
      </c>
      <c r="J122" s="38">
        <v>19066.870000000003</v>
      </c>
    </row>
    <row r="123" spans="1:10" x14ac:dyDescent="0.35">
      <c r="A123" s="31">
        <v>61</v>
      </c>
      <c r="B123" s="19" t="s">
        <v>17</v>
      </c>
      <c r="C123" s="19"/>
      <c r="D123" s="37">
        <v>45894</v>
      </c>
      <c r="E123" s="31" t="s">
        <v>214</v>
      </c>
      <c r="F123" s="31" t="s">
        <v>33</v>
      </c>
      <c r="G123" s="31">
        <v>2678</v>
      </c>
      <c r="H123" s="31" t="s">
        <v>160</v>
      </c>
      <c r="I123" s="38">
        <v>5030.2</v>
      </c>
    </row>
    <row r="124" spans="1:10" x14ac:dyDescent="0.35">
      <c r="A124" s="31">
        <v>61.5</v>
      </c>
      <c r="B124" s="19"/>
      <c r="C124" s="19" t="s">
        <v>22</v>
      </c>
      <c r="D124" s="37">
        <v>45894</v>
      </c>
      <c r="E124" s="31" t="s">
        <v>214</v>
      </c>
      <c r="F124" s="31" t="s">
        <v>33</v>
      </c>
      <c r="G124" s="31">
        <v>2678</v>
      </c>
      <c r="H124" s="31" t="s">
        <v>160</v>
      </c>
      <c r="J124" s="38">
        <v>5030.2</v>
      </c>
    </row>
    <row r="125" spans="1:10" x14ac:dyDescent="0.35">
      <c r="A125" s="31">
        <v>62</v>
      </c>
      <c r="B125" s="19" t="s">
        <v>17</v>
      </c>
      <c r="C125" s="19"/>
      <c r="D125" s="37">
        <v>45894</v>
      </c>
      <c r="E125" s="31">
        <v>33950</v>
      </c>
      <c r="F125" s="31" t="s">
        <v>33</v>
      </c>
      <c r="G125" s="31">
        <v>2678</v>
      </c>
      <c r="H125" s="31" t="s">
        <v>160</v>
      </c>
      <c r="I125" s="38">
        <v>0</v>
      </c>
    </row>
    <row r="126" spans="1:10" x14ac:dyDescent="0.35">
      <c r="A126" s="31">
        <v>62.5</v>
      </c>
      <c r="B126" s="19"/>
      <c r="C126" s="19" t="s">
        <v>22</v>
      </c>
      <c r="D126" s="37">
        <v>45894</v>
      </c>
      <c r="E126" s="31">
        <v>33950</v>
      </c>
      <c r="F126" s="31" t="s">
        <v>33</v>
      </c>
      <c r="G126" s="31">
        <v>2678</v>
      </c>
      <c r="H126" s="31" t="s">
        <v>160</v>
      </c>
      <c r="J126" s="38">
        <v>0</v>
      </c>
    </row>
    <row r="127" spans="1:10" x14ac:dyDescent="0.35">
      <c r="A127" s="31">
        <v>63</v>
      </c>
      <c r="B127" s="19" t="s">
        <v>17</v>
      </c>
      <c r="C127" s="19"/>
      <c r="D127" s="37">
        <v>45894</v>
      </c>
      <c r="E127" s="31" t="s">
        <v>215</v>
      </c>
      <c r="F127" s="31" t="s">
        <v>33</v>
      </c>
      <c r="G127" s="31">
        <v>2678</v>
      </c>
      <c r="H127" s="31" t="s">
        <v>160</v>
      </c>
      <c r="I127" s="38">
        <v>145.35</v>
      </c>
    </row>
    <row r="128" spans="1:10" x14ac:dyDescent="0.35">
      <c r="A128" s="31">
        <v>63.5</v>
      </c>
      <c r="B128" s="19"/>
      <c r="C128" s="19" t="s">
        <v>22</v>
      </c>
      <c r="D128" s="37">
        <v>45894</v>
      </c>
      <c r="E128" s="31" t="s">
        <v>215</v>
      </c>
      <c r="F128" s="31" t="s">
        <v>33</v>
      </c>
      <c r="G128" s="31">
        <v>2678</v>
      </c>
      <c r="H128" s="31" t="s">
        <v>160</v>
      </c>
      <c r="J128" s="38">
        <v>145.35</v>
      </c>
    </row>
    <row r="129" spans="1:10" x14ac:dyDescent="0.35">
      <c r="A129" s="31">
        <v>64</v>
      </c>
      <c r="B129" s="19" t="s">
        <v>17</v>
      </c>
      <c r="C129" s="19"/>
      <c r="D129" s="37">
        <v>45894</v>
      </c>
      <c r="E129" s="31" t="s">
        <v>216</v>
      </c>
      <c r="F129" s="31" t="s">
        <v>33</v>
      </c>
      <c r="G129" s="31">
        <v>2678</v>
      </c>
      <c r="H129" s="31" t="s">
        <v>160</v>
      </c>
      <c r="I129" s="38">
        <v>560</v>
      </c>
    </row>
    <row r="130" spans="1:10" x14ac:dyDescent="0.35">
      <c r="A130" s="31">
        <v>64.5</v>
      </c>
      <c r="B130" s="19"/>
      <c r="C130" s="19" t="s">
        <v>22</v>
      </c>
      <c r="D130" s="37">
        <v>45894</v>
      </c>
      <c r="E130" s="31" t="s">
        <v>216</v>
      </c>
      <c r="F130" s="31" t="s">
        <v>33</v>
      </c>
      <c r="G130" s="31">
        <v>2678</v>
      </c>
      <c r="H130" s="31" t="s">
        <v>160</v>
      </c>
      <c r="J130" s="38">
        <v>560</v>
      </c>
    </row>
    <row r="131" spans="1:10" x14ac:dyDescent="0.35">
      <c r="A131" s="31">
        <v>65</v>
      </c>
      <c r="B131" s="19" t="s">
        <v>17</v>
      </c>
      <c r="C131" s="19"/>
      <c r="D131" s="37">
        <v>45894</v>
      </c>
      <c r="E131" s="31" t="s">
        <v>217</v>
      </c>
      <c r="F131" s="31" t="s">
        <v>33</v>
      </c>
      <c r="G131" s="31">
        <v>2678</v>
      </c>
      <c r="H131" s="31" t="s">
        <v>160</v>
      </c>
      <c r="I131" s="38">
        <v>1125</v>
      </c>
    </row>
    <row r="132" spans="1:10" x14ac:dyDescent="0.35">
      <c r="A132" s="31">
        <v>65.5</v>
      </c>
      <c r="B132" s="19"/>
      <c r="C132" s="19" t="s">
        <v>22</v>
      </c>
      <c r="D132" s="37">
        <v>45894</v>
      </c>
      <c r="E132" s="31" t="s">
        <v>217</v>
      </c>
      <c r="F132" s="31" t="s">
        <v>33</v>
      </c>
      <c r="G132" s="31">
        <v>2678</v>
      </c>
      <c r="H132" s="31" t="s">
        <v>160</v>
      </c>
      <c r="J132" s="38">
        <v>1125</v>
      </c>
    </row>
    <row r="133" spans="1:10" x14ac:dyDescent="0.35">
      <c r="A133" s="31">
        <v>66</v>
      </c>
      <c r="B133" s="19" t="s">
        <v>17</v>
      </c>
      <c r="C133" s="19"/>
      <c r="D133" s="37">
        <v>45894</v>
      </c>
      <c r="E133" s="31" t="s">
        <v>218</v>
      </c>
      <c r="F133" s="31" t="s">
        <v>33</v>
      </c>
      <c r="G133" s="31">
        <v>2678</v>
      </c>
      <c r="H133" s="31" t="s">
        <v>160</v>
      </c>
      <c r="I133" s="38">
        <v>9155.869999999999</v>
      </c>
    </row>
    <row r="134" spans="1:10" x14ac:dyDescent="0.35">
      <c r="A134" s="31">
        <v>66.5</v>
      </c>
      <c r="B134" s="19"/>
      <c r="C134" s="19" t="s">
        <v>22</v>
      </c>
      <c r="D134" s="37">
        <v>45894</v>
      </c>
      <c r="E134" s="31" t="s">
        <v>218</v>
      </c>
      <c r="F134" s="31" t="s">
        <v>33</v>
      </c>
      <c r="G134" s="31">
        <v>2678</v>
      </c>
      <c r="H134" s="31" t="s">
        <v>160</v>
      </c>
      <c r="J134" s="38">
        <v>9155.869999999999</v>
      </c>
    </row>
    <row r="135" spans="1:10" x14ac:dyDescent="0.35">
      <c r="A135" s="31">
        <v>67</v>
      </c>
      <c r="B135" s="19" t="s">
        <v>17</v>
      </c>
      <c r="C135" s="19"/>
      <c r="D135" s="37">
        <v>45894</v>
      </c>
      <c r="E135" s="31" t="s">
        <v>219</v>
      </c>
      <c r="F135" s="31" t="s">
        <v>33</v>
      </c>
      <c r="G135" s="31">
        <v>2678</v>
      </c>
      <c r="H135" s="31" t="s">
        <v>160</v>
      </c>
      <c r="I135" s="38">
        <v>27246.81</v>
      </c>
    </row>
    <row r="136" spans="1:10" x14ac:dyDescent="0.35">
      <c r="A136" s="31">
        <v>67.5</v>
      </c>
      <c r="B136" s="19"/>
      <c r="C136" s="19" t="s">
        <v>22</v>
      </c>
      <c r="D136" s="37">
        <v>45894</v>
      </c>
      <c r="E136" s="31" t="s">
        <v>219</v>
      </c>
      <c r="F136" s="31" t="s">
        <v>33</v>
      </c>
      <c r="G136" s="31">
        <v>2678</v>
      </c>
      <c r="H136" s="31" t="s">
        <v>160</v>
      </c>
      <c r="J136" s="38">
        <v>27246.81</v>
      </c>
    </row>
    <row r="137" spans="1:10" x14ac:dyDescent="0.35">
      <c r="A137" s="31">
        <v>68</v>
      </c>
      <c r="B137" s="19" t="s">
        <v>17</v>
      </c>
      <c r="C137" s="19"/>
      <c r="D137" s="37">
        <v>45894</v>
      </c>
      <c r="E137" s="31" t="s">
        <v>220</v>
      </c>
      <c r="F137" s="31" t="s">
        <v>221</v>
      </c>
      <c r="G137" s="31">
        <v>3519</v>
      </c>
      <c r="H137" s="31" t="s">
        <v>160</v>
      </c>
      <c r="I137" s="38">
        <v>0</v>
      </c>
    </row>
    <row r="138" spans="1:10" x14ac:dyDescent="0.35">
      <c r="A138" s="31">
        <v>68.5</v>
      </c>
      <c r="B138" s="19"/>
      <c r="C138" s="19" t="s">
        <v>22</v>
      </c>
      <c r="D138" s="37">
        <v>45894</v>
      </c>
      <c r="E138" s="31" t="s">
        <v>220</v>
      </c>
      <c r="F138" s="31" t="s">
        <v>221</v>
      </c>
      <c r="G138" s="31">
        <v>3519</v>
      </c>
      <c r="H138" s="31" t="s">
        <v>160</v>
      </c>
      <c r="J138" s="38">
        <v>0</v>
      </c>
    </row>
    <row r="139" spans="1:10" x14ac:dyDescent="0.35">
      <c r="A139" s="31">
        <v>69</v>
      </c>
      <c r="B139" s="19" t="s">
        <v>17</v>
      </c>
      <c r="C139" s="19"/>
      <c r="D139" s="37">
        <v>45894</v>
      </c>
      <c r="E139" s="31">
        <v>36943</v>
      </c>
      <c r="F139" s="31" t="s">
        <v>131</v>
      </c>
      <c r="G139" s="31">
        <v>464</v>
      </c>
      <c r="H139" s="31" t="s">
        <v>160</v>
      </c>
      <c r="I139" s="38">
        <v>20870.080000000002</v>
      </c>
    </row>
    <row r="140" spans="1:10" x14ac:dyDescent="0.35">
      <c r="A140" s="31">
        <v>69.5</v>
      </c>
      <c r="B140" s="19"/>
      <c r="C140" s="19" t="s">
        <v>22</v>
      </c>
      <c r="D140" s="37">
        <v>45894</v>
      </c>
      <c r="E140" s="31">
        <v>36943</v>
      </c>
      <c r="F140" s="31" t="s">
        <v>131</v>
      </c>
      <c r="G140" s="31">
        <v>464</v>
      </c>
      <c r="H140" s="31" t="s">
        <v>160</v>
      </c>
      <c r="J140" s="38">
        <v>20870.080000000002</v>
      </c>
    </row>
    <row r="141" spans="1:10" x14ac:dyDescent="0.35">
      <c r="A141" s="31">
        <v>70</v>
      </c>
      <c r="B141" s="19" t="s">
        <v>17</v>
      </c>
      <c r="C141" s="19"/>
      <c r="D141" s="37">
        <v>45894</v>
      </c>
      <c r="E141" s="31" t="s">
        <v>222</v>
      </c>
      <c r="F141" s="31" t="s">
        <v>66</v>
      </c>
      <c r="G141" s="31">
        <v>1548</v>
      </c>
      <c r="H141" s="31" t="s">
        <v>160</v>
      </c>
      <c r="I141" s="38">
        <v>10721.09</v>
      </c>
    </row>
    <row r="142" spans="1:10" x14ac:dyDescent="0.35">
      <c r="A142" s="31">
        <v>70.5</v>
      </c>
      <c r="B142" s="19"/>
      <c r="C142" s="19" t="s">
        <v>22</v>
      </c>
      <c r="D142" s="37">
        <v>45894</v>
      </c>
      <c r="E142" s="31" t="s">
        <v>222</v>
      </c>
      <c r="F142" s="31" t="s">
        <v>66</v>
      </c>
      <c r="G142" s="31">
        <v>1548</v>
      </c>
      <c r="H142" s="31" t="s">
        <v>160</v>
      </c>
      <c r="J142" s="38">
        <v>10721.09</v>
      </c>
    </row>
    <row r="143" spans="1:10" x14ac:dyDescent="0.35">
      <c r="A143" s="31">
        <v>71</v>
      </c>
      <c r="B143" s="19" t="s">
        <v>17</v>
      </c>
      <c r="C143" s="19"/>
      <c r="D143" s="37">
        <v>45895</v>
      </c>
      <c r="E143" s="31" t="s">
        <v>223</v>
      </c>
      <c r="F143" s="31" t="s">
        <v>33</v>
      </c>
      <c r="G143" s="31">
        <v>2678</v>
      </c>
      <c r="H143" s="31" t="s">
        <v>160</v>
      </c>
      <c r="I143" s="38">
        <v>-2567.91</v>
      </c>
    </row>
    <row r="144" spans="1:10" x14ac:dyDescent="0.35">
      <c r="A144" s="31">
        <v>71.5</v>
      </c>
      <c r="B144" s="19"/>
      <c r="C144" s="19" t="s">
        <v>22</v>
      </c>
      <c r="D144" s="37">
        <v>45895</v>
      </c>
      <c r="E144" s="31" t="s">
        <v>223</v>
      </c>
      <c r="F144" s="31" t="s">
        <v>33</v>
      </c>
      <c r="G144" s="31">
        <v>2678</v>
      </c>
      <c r="H144" s="31" t="s">
        <v>160</v>
      </c>
      <c r="J144" s="38">
        <v>-2567.91</v>
      </c>
    </row>
    <row r="145" spans="1:10" x14ac:dyDescent="0.35">
      <c r="A145" s="31">
        <v>72</v>
      </c>
      <c r="B145" s="19" t="s">
        <v>17</v>
      </c>
      <c r="C145" s="19"/>
      <c r="D145" s="37">
        <v>45895</v>
      </c>
      <c r="E145" s="31" t="s">
        <v>224</v>
      </c>
      <c r="F145" s="31" t="s">
        <v>225</v>
      </c>
      <c r="G145" s="31">
        <v>2618</v>
      </c>
      <c r="H145" s="31" t="s">
        <v>160</v>
      </c>
      <c r="I145" s="38">
        <v>0</v>
      </c>
    </row>
    <row r="146" spans="1:10" x14ac:dyDescent="0.35">
      <c r="A146" s="31">
        <v>72.5</v>
      </c>
      <c r="B146" s="19"/>
      <c r="C146" s="19" t="s">
        <v>22</v>
      </c>
      <c r="D146" s="37">
        <v>45895</v>
      </c>
      <c r="E146" s="31" t="s">
        <v>224</v>
      </c>
      <c r="F146" s="31" t="s">
        <v>225</v>
      </c>
      <c r="G146" s="31">
        <v>2618</v>
      </c>
      <c r="H146" s="31" t="s">
        <v>160</v>
      </c>
      <c r="J146" s="38">
        <v>0</v>
      </c>
    </row>
    <row r="147" spans="1:10" x14ac:dyDescent="0.35">
      <c r="A147" s="31">
        <v>73</v>
      </c>
      <c r="B147" s="19" t="s">
        <v>17</v>
      </c>
      <c r="C147" s="19"/>
      <c r="D147" s="37">
        <v>45896</v>
      </c>
      <c r="E147" s="31" t="s">
        <v>226</v>
      </c>
      <c r="F147" s="31" t="s">
        <v>134</v>
      </c>
      <c r="G147" s="31">
        <v>3314</v>
      </c>
      <c r="H147" s="31" t="s">
        <v>160</v>
      </c>
      <c r="I147" s="38">
        <v>0</v>
      </c>
    </row>
    <row r="148" spans="1:10" x14ac:dyDescent="0.35">
      <c r="A148" s="31">
        <v>73.5</v>
      </c>
      <c r="B148" s="19"/>
      <c r="C148" s="19" t="s">
        <v>22</v>
      </c>
      <c r="D148" s="37">
        <v>45896</v>
      </c>
      <c r="E148" s="31" t="s">
        <v>226</v>
      </c>
      <c r="F148" s="31" t="s">
        <v>134</v>
      </c>
      <c r="G148" s="31">
        <v>3314</v>
      </c>
      <c r="H148" s="31" t="s">
        <v>160</v>
      </c>
      <c r="J148" s="38">
        <v>0</v>
      </c>
    </row>
    <row r="149" spans="1:10" x14ac:dyDescent="0.35">
      <c r="A149" s="31">
        <v>74</v>
      </c>
      <c r="B149" s="19" t="s">
        <v>17</v>
      </c>
      <c r="C149" s="19"/>
      <c r="D149" s="37">
        <v>45897</v>
      </c>
      <c r="E149" s="31" t="s">
        <v>227</v>
      </c>
      <c r="F149" s="31" t="s">
        <v>228</v>
      </c>
      <c r="G149" s="31">
        <v>1934</v>
      </c>
      <c r="H149" s="31" t="s">
        <v>160</v>
      </c>
      <c r="I149" s="38">
        <v>6300.16</v>
      </c>
    </row>
    <row r="150" spans="1:10" x14ac:dyDescent="0.35">
      <c r="A150" s="31">
        <v>74.5</v>
      </c>
      <c r="B150" s="19"/>
      <c r="C150" s="19" t="s">
        <v>22</v>
      </c>
      <c r="D150" s="37">
        <v>45897</v>
      </c>
      <c r="E150" s="31" t="s">
        <v>227</v>
      </c>
      <c r="F150" s="31" t="s">
        <v>228</v>
      </c>
      <c r="G150" s="31">
        <v>1934</v>
      </c>
      <c r="H150" s="31" t="s">
        <v>160</v>
      </c>
      <c r="J150" s="38">
        <v>6300.16</v>
      </c>
    </row>
    <row r="151" spans="1:10" x14ac:dyDescent="0.35">
      <c r="A151" s="31">
        <v>75</v>
      </c>
      <c r="B151" s="19" t="s">
        <v>17</v>
      </c>
      <c r="C151" s="19"/>
      <c r="D151" s="37">
        <v>45898</v>
      </c>
      <c r="E151" s="31" t="s">
        <v>229</v>
      </c>
      <c r="F151" s="31" t="s">
        <v>33</v>
      </c>
      <c r="G151" s="31">
        <v>2678</v>
      </c>
      <c r="H151" s="31" t="s">
        <v>160</v>
      </c>
      <c r="I151" s="38">
        <v>0</v>
      </c>
    </row>
    <row r="152" spans="1:10" x14ac:dyDescent="0.35">
      <c r="A152" s="31">
        <v>75.5</v>
      </c>
      <c r="B152" s="19"/>
      <c r="C152" s="19" t="s">
        <v>22</v>
      </c>
      <c r="D152" s="37">
        <v>45898</v>
      </c>
      <c r="E152" s="31" t="s">
        <v>229</v>
      </c>
      <c r="F152" s="31" t="s">
        <v>33</v>
      </c>
      <c r="G152" s="31">
        <v>2678</v>
      </c>
      <c r="H152" s="31" t="s">
        <v>160</v>
      </c>
      <c r="J152" s="38">
        <v>0</v>
      </c>
    </row>
    <row r="153" spans="1:10" x14ac:dyDescent="0.35">
      <c r="A153" s="31">
        <v>76</v>
      </c>
      <c r="B153" s="19" t="s">
        <v>17</v>
      </c>
      <c r="C153" s="19"/>
      <c r="D153" s="37">
        <v>45898</v>
      </c>
      <c r="E153" s="31" t="s">
        <v>230</v>
      </c>
      <c r="F153" s="31" t="s">
        <v>225</v>
      </c>
      <c r="G153" s="31">
        <v>2618</v>
      </c>
      <c r="H153" s="31" t="s">
        <v>160</v>
      </c>
      <c r="I153" s="38">
        <v>0</v>
      </c>
    </row>
    <row r="154" spans="1:10" x14ac:dyDescent="0.35">
      <c r="A154" s="31">
        <v>76.5</v>
      </c>
      <c r="B154" s="19"/>
      <c r="C154" s="19" t="s">
        <v>22</v>
      </c>
      <c r="D154" s="37">
        <v>45898</v>
      </c>
      <c r="E154" s="31" t="s">
        <v>230</v>
      </c>
      <c r="F154" s="31" t="s">
        <v>225</v>
      </c>
      <c r="G154" s="31">
        <v>2618</v>
      </c>
      <c r="H154" s="31" t="s">
        <v>160</v>
      </c>
      <c r="J154" s="38">
        <v>0</v>
      </c>
    </row>
    <row r="155" spans="1:10" x14ac:dyDescent="0.35">
      <c r="A155" s="31">
        <v>77</v>
      </c>
      <c r="B155" s="19" t="s">
        <v>17</v>
      </c>
      <c r="C155" s="19"/>
      <c r="D155" s="37">
        <v>45898</v>
      </c>
      <c r="E155" s="31" t="s">
        <v>231</v>
      </c>
      <c r="F155" s="31" t="s">
        <v>137</v>
      </c>
      <c r="G155" s="31">
        <v>3318</v>
      </c>
      <c r="H155" s="31" t="s">
        <v>160</v>
      </c>
      <c r="I155" s="38">
        <v>0</v>
      </c>
    </row>
    <row r="156" spans="1:10" x14ac:dyDescent="0.35">
      <c r="A156" s="31">
        <v>77.5</v>
      </c>
      <c r="B156" s="19"/>
      <c r="C156" s="19" t="s">
        <v>22</v>
      </c>
      <c r="D156" s="37">
        <v>45898</v>
      </c>
      <c r="E156" s="31" t="s">
        <v>231</v>
      </c>
      <c r="F156" s="31" t="s">
        <v>137</v>
      </c>
      <c r="G156" s="31">
        <v>3318</v>
      </c>
      <c r="H156" s="31" t="s">
        <v>160</v>
      </c>
      <c r="J156" s="38">
        <v>0</v>
      </c>
    </row>
    <row r="157" spans="1:10" x14ac:dyDescent="0.35">
      <c r="A157" s="31">
        <v>78</v>
      </c>
      <c r="B157" s="19" t="s">
        <v>17</v>
      </c>
      <c r="C157" s="19"/>
      <c r="D157" s="37">
        <v>45898</v>
      </c>
      <c r="E157" s="31" t="s">
        <v>232</v>
      </c>
      <c r="F157" s="31" t="s">
        <v>233</v>
      </c>
      <c r="G157" s="31">
        <v>3346</v>
      </c>
      <c r="H157" s="31" t="s">
        <v>160</v>
      </c>
      <c r="I157" s="38">
        <v>6292.32</v>
      </c>
    </row>
    <row r="158" spans="1:10" x14ac:dyDescent="0.35">
      <c r="A158" s="31">
        <v>78.5</v>
      </c>
      <c r="B158" s="19"/>
      <c r="C158" s="19" t="s">
        <v>22</v>
      </c>
      <c r="D158" s="37">
        <v>45898</v>
      </c>
      <c r="E158" s="31" t="s">
        <v>232</v>
      </c>
      <c r="F158" s="31" t="s">
        <v>233</v>
      </c>
      <c r="G158" s="31">
        <v>3346</v>
      </c>
      <c r="H158" s="31" t="s">
        <v>160</v>
      </c>
      <c r="J158" s="38">
        <v>6292.32</v>
      </c>
    </row>
    <row r="159" spans="1:10" x14ac:dyDescent="0.35">
      <c r="A159" s="31">
        <v>79</v>
      </c>
      <c r="B159" s="19" t="s">
        <v>17</v>
      </c>
      <c r="C159" s="19"/>
      <c r="D159" s="37">
        <v>45898</v>
      </c>
      <c r="E159" s="31" t="s">
        <v>234</v>
      </c>
      <c r="F159" s="31" t="s">
        <v>235</v>
      </c>
      <c r="G159" s="31">
        <v>2705</v>
      </c>
      <c r="H159" s="31" t="s">
        <v>160</v>
      </c>
      <c r="I159" s="38">
        <v>102.2</v>
      </c>
    </row>
    <row r="160" spans="1:10" x14ac:dyDescent="0.35">
      <c r="A160" s="31">
        <v>79.5</v>
      </c>
      <c r="B160" s="19"/>
      <c r="C160" s="19" t="s">
        <v>22</v>
      </c>
      <c r="D160" s="37">
        <v>45898</v>
      </c>
      <c r="E160" s="31" t="s">
        <v>234</v>
      </c>
      <c r="F160" s="31" t="s">
        <v>235</v>
      </c>
      <c r="G160" s="31">
        <v>2705</v>
      </c>
      <c r="H160" s="31" t="s">
        <v>160</v>
      </c>
      <c r="J160" s="38">
        <v>102.2</v>
      </c>
    </row>
    <row r="161" spans="1:10" x14ac:dyDescent="0.35">
      <c r="A161" s="31">
        <v>80</v>
      </c>
      <c r="B161" s="19" t="s">
        <v>17</v>
      </c>
      <c r="C161" s="19"/>
      <c r="D161" s="37">
        <v>45898</v>
      </c>
      <c r="E161" s="31">
        <v>38185</v>
      </c>
      <c r="F161" s="31" t="s">
        <v>70</v>
      </c>
      <c r="G161" s="31">
        <v>3412</v>
      </c>
      <c r="H161" s="31" t="s">
        <v>160</v>
      </c>
      <c r="I161" s="38">
        <v>55072.05</v>
      </c>
    </row>
    <row r="162" spans="1:10" x14ac:dyDescent="0.35">
      <c r="A162" s="31">
        <v>80.5</v>
      </c>
      <c r="B162" s="19"/>
      <c r="C162" s="19" t="s">
        <v>22</v>
      </c>
      <c r="D162" s="37">
        <v>45898</v>
      </c>
      <c r="E162" s="31">
        <v>38185</v>
      </c>
      <c r="F162" s="31" t="s">
        <v>70</v>
      </c>
      <c r="G162" s="31">
        <v>3412</v>
      </c>
      <c r="H162" s="31" t="s">
        <v>160</v>
      </c>
      <c r="J162" s="38">
        <v>55072.05</v>
      </c>
    </row>
    <row r="163" spans="1:10" x14ac:dyDescent="0.35">
      <c r="A163" s="31">
        <v>81</v>
      </c>
      <c r="B163" s="19" t="s">
        <v>17</v>
      </c>
      <c r="C163" s="19"/>
      <c r="D163" s="37">
        <v>45898</v>
      </c>
      <c r="E163" s="31">
        <v>38199</v>
      </c>
      <c r="F163" s="31" t="s">
        <v>70</v>
      </c>
      <c r="G163" s="31">
        <v>3412</v>
      </c>
      <c r="H163" s="31" t="s">
        <v>160</v>
      </c>
      <c r="I163" s="38">
        <v>48782.879999999997</v>
      </c>
    </row>
    <row r="164" spans="1:10" x14ac:dyDescent="0.35">
      <c r="A164" s="31">
        <v>81.5</v>
      </c>
      <c r="B164" s="19"/>
      <c r="C164" s="19" t="s">
        <v>22</v>
      </c>
      <c r="D164" s="37">
        <v>45898</v>
      </c>
      <c r="E164" s="31">
        <v>38199</v>
      </c>
      <c r="F164" s="31" t="s">
        <v>70</v>
      </c>
      <c r="G164" s="31">
        <v>3412</v>
      </c>
      <c r="H164" s="31" t="s">
        <v>160</v>
      </c>
      <c r="J164" s="38">
        <v>48782.879999999997</v>
      </c>
    </row>
    <row r="165" spans="1:10" x14ac:dyDescent="0.35">
      <c r="A165" s="31">
        <v>82</v>
      </c>
      <c r="B165" s="19" t="s">
        <v>17</v>
      </c>
      <c r="C165" s="19"/>
      <c r="D165" s="37">
        <v>45898</v>
      </c>
      <c r="E165" s="31" t="s">
        <v>236</v>
      </c>
      <c r="F165" s="31" t="s">
        <v>70</v>
      </c>
      <c r="G165" s="31">
        <v>3412</v>
      </c>
      <c r="H165" s="31" t="s">
        <v>160</v>
      </c>
      <c r="I165" s="38">
        <v>40331.72</v>
      </c>
    </row>
    <row r="166" spans="1:10" x14ac:dyDescent="0.35">
      <c r="A166" s="31">
        <v>82.5</v>
      </c>
      <c r="B166" s="19"/>
      <c r="C166" s="19" t="s">
        <v>22</v>
      </c>
      <c r="D166" s="37">
        <v>45898</v>
      </c>
      <c r="E166" s="31" t="s">
        <v>236</v>
      </c>
      <c r="F166" s="31" t="s">
        <v>70</v>
      </c>
      <c r="G166" s="31">
        <v>3412</v>
      </c>
      <c r="H166" s="31" t="s">
        <v>160</v>
      </c>
      <c r="J166" s="38">
        <v>40331.72</v>
      </c>
    </row>
    <row r="167" spans="1:10" x14ac:dyDescent="0.35">
      <c r="A167" s="31">
        <v>83</v>
      </c>
      <c r="B167" s="19" t="s">
        <v>17</v>
      </c>
      <c r="C167" s="19"/>
      <c r="D167" s="37">
        <v>45898</v>
      </c>
      <c r="E167" s="31" t="s">
        <v>237</v>
      </c>
      <c r="F167" s="31" t="s">
        <v>145</v>
      </c>
      <c r="G167" s="31">
        <v>2713</v>
      </c>
      <c r="H167" s="31" t="s">
        <v>160</v>
      </c>
      <c r="I167" s="38">
        <v>0</v>
      </c>
    </row>
    <row r="168" spans="1:10" x14ac:dyDescent="0.35">
      <c r="A168" s="31">
        <v>83.5</v>
      </c>
      <c r="B168" s="19"/>
      <c r="C168" s="19" t="s">
        <v>22</v>
      </c>
      <c r="D168" s="37">
        <v>45898</v>
      </c>
      <c r="E168" s="31" t="s">
        <v>237</v>
      </c>
      <c r="F168" s="31" t="s">
        <v>145</v>
      </c>
      <c r="G168" s="31">
        <v>2713</v>
      </c>
      <c r="H168" s="31" t="s">
        <v>160</v>
      </c>
      <c r="J168" s="38">
        <v>0</v>
      </c>
    </row>
    <row r="169" spans="1:10" x14ac:dyDescent="0.35">
      <c r="A169" s="31">
        <v>84</v>
      </c>
      <c r="B169" s="19" t="s">
        <v>17</v>
      </c>
      <c r="C169" s="19"/>
      <c r="D169" s="37">
        <v>45898</v>
      </c>
      <c r="E169" s="31">
        <v>38832</v>
      </c>
      <c r="F169" s="31" t="s">
        <v>173</v>
      </c>
      <c r="G169" s="31">
        <v>2275</v>
      </c>
      <c r="H169" s="31" t="s">
        <v>160</v>
      </c>
      <c r="I169" s="38">
        <v>3360.5899999999997</v>
      </c>
    </row>
    <row r="170" spans="1:10" x14ac:dyDescent="0.35">
      <c r="A170" s="31">
        <v>84.5</v>
      </c>
      <c r="B170" s="19"/>
      <c r="C170" s="19" t="s">
        <v>22</v>
      </c>
      <c r="D170" s="37">
        <v>45898</v>
      </c>
      <c r="E170" s="31">
        <v>38832</v>
      </c>
      <c r="F170" s="31" t="s">
        <v>173</v>
      </c>
      <c r="G170" s="31">
        <v>2275</v>
      </c>
      <c r="H170" s="31" t="s">
        <v>160</v>
      </c>
      <c r="J170" s="38">
        <v>3360.5899999999997</v>
      </c>
    </row>
    <row r="171" spans="1:10" x14ac:dyDescent="0.35">
      <c r="A171" s="31">
        <v>85</v>
      </c>
      <c r="B171" s="19" t="s">
        <v>17</v>
      </c>
      <c r="C171" s="19"/>
      <c r="D171" s="37">
        <v>45898</v>
      </c>
      <c r="E171" s="31">
        <v>38851</v>
      </c>
      <c r="F171" s="31" t="s">
        <v>238</v>
      </c>
      <c r="G171" s="31">
        <v>487</v>
      </c>
      <c r="H171" s="31" t="s">
        <v>160</v>
      </c>
      <c r="I171" s="38">
        <v>126720</v>
      </c>
    </row>
    <row r="172" spans="1:10" x14ac:dyDescent="0.35">
      <c r="A172" s="31">
        <v>85.5</v>
      </c>
      <c r="B172" s="19"/>
      <c r="C172" s="19" t="s">
        <v>22</v>
      </c>
      <c r="D172" s="37">
        <v>45898</v>
      </c>
      <c r="E172" s="31">
        <v>38851</v>
      </c>
      <c r="F172" s="31" t="s">
        <v>238</v>
      </c>
      <c r="G172" s="31">
        <v>487</v>
      </c>
      <c r="H172" s="31" t="s">
        <v>160</v>
      </c>
      <c r="J172" s="38">
        <v>126720</v>
      </c>
    </row>
    <row r="173" spans="1:10" x14ac:dyDescent="0.35">
      <c r="A173" s="31">
        <v>86</v>
      </c>
      <c r="B173" s="19" t="s">
        <v>17</v>
      </c>
      <c r="C173" s="19"/>
      <c r="D173" s="37">
        <v>45898</v>
      </c>
      <c r="E173" s="31">
        <v>38881</v>
      </c>
      <c r="F173" s="31" t="s">
        <v>239</v>
      </c>
      <c r="G173" s="31">
        <v>2485</v>
      </c>
      <c r="H173" s="31" t="s">
        <v>160</v>
      </c>
      <c r="I173" s="38">
        <v>340</v>
      </c>
    </row>
    <row r="174" spans="1:10" x14ac:dyDescent="0.35">
      <c r="A174" s="31">
        <v>86.5</v>
      </c>
      <c r="B174" s="19"/>
      <c r="C174" s="19" t="s">
        <v>22</v>
      </c>
      <c r="D174" s="37">
        <v>45898</v>
      </c>
      <c r="E174" s="31">
        <v>38881</v>
      </c>
      <c r="F174" s="31" t="s">
        <v>239</v>
      </c>
      <c r="G174" s="31">
        <v>2485</v>
      </c>
      <c r="H174" s="31" t="s">
        <v>160</v>
      </c>
      <c r="J174" s="38">
        <v>340</v>
      </c>
    </row>
    <row r="175" spans="1:10" x14ac:dyDescent="0.35">
      <c r="A175" s="31">
        <v>87</v>
      </c>
      <c r="B175" s="19" t="s">
        <v>17</v>
      </c>
      <c r="C175" s="19"/>
      <c r="D175" s="37">
        <v>45898</v>
      </c>
      <c r="E175" s="31">
        <v>38893</v>
      </c>
      <c r="F175" s="31" t="s">
        <v>239</v>
      </c>
      <c r="G175" s="31">
        <v>2485</v>
      </c>
      <c r="H175" s="31" t="s">
        <v>160</v>
      </c>
      <c r="I175" s="38">
        <v>674.63999999999987</v>
      </c>
    </row>
    <row r="176" spans="1:10" x14ac:dyDescent="0.35">
      <c r="A176" s="31">
        <v>87.5</v>
      </c>
      <c r="B176" s="19"/>
      <c r="C176" s="19" t="s">
        <v>22</v>
      </c>
      <c r="D176" s="37">
        <v>45898</v>
      </c>
      <c r="E176" s="31">
        <v>38893</v>
      </c>
      <c r="F176" s="31" t="s">
        <v>239</v>
      </c>
      <c r="G176" s="31">
        <v>2485</v>
      </c>
      <c r="H176" s="31" t="s">
        <v>160</v>
      </c>
      <c r="J176" s="38">
        <v>674.63999999999987</v>
      </c>
    </row>
    <row r="177" spans="1:10" x14ac:dyDescent="0.35">
      <c r="A177" s="31">
        <v>88</v>
      </c>
      <c r="B177" s="19" t="s">
        <v>17</v>
      </c>
      <c r="C177" s="19"/>
      <c r="D177" s="37">
        <v>45899</v>
      </c>
      <c r="E177" s="31" t="s">
        <v>240</v>
      </c>
      <c r="F177" s="31" t="s">
        <v>47</v>
      </c>
      <c r="G177" s="31">
        <v>2619</v>
      </c>
      <c r="H177" s="31" t="s">
        <v>160</v>
      </c>
      <c r="I177" s="38">
        <v>0</v>
      </c>
    </row>
    <row r="178" spans="1:10" x14ac:dyDescent="0.35">
      <c r="A178" s="31">
        <v>88.5</v>
      </c>
      <c r="B178" s="19"/>
      <c r="C178" s="19" t="s">
        <v>22</v>
      </c>
      <c r="D178" s="37">
        <v>45899</v>
      </c>
      <c r="E178" s="31" t="s">
        <v>240</v>
      </c>
      <c r="F178" s="31" t="s">
        <v>47</v>
      </c>
      <c r="G178" s="31">
        <v>2619</v>
      </c>
      <c r="H178" s="31" t="s">
        <v>160</v>
      </c>
      <c r="J178" s="38">
        <v>0</v>
      </c>
    </row>
    <row r="179" spans="1:10" x14ac:dyDescent="0.35">
      <c r="A179" s="31">
        <v>89</v>
      </c>
      <c r="B179" s="19" t="s">
        <v>17</v>
      </c>
      <c r="C179" s="19"/>
      <c r="D179" s="37">
        <v>45899</v>
      </c>
      <c r="E179" s="31" t="s">
        <v>241</v>
      </c>
      <c r="F179" s="31" t="s">
        <v>242</v>
      </c>
      <c r="G179" s="31">
        <v>714</v>
      </c>
      <c r="H179" s="31" t="s">
        <v>160</v>
      </c>
      <c r="I179" s="38">
        <v>0</v>
      </c>
    </row>
    <row r="180" spans="1:10" x14ac:dyDescent="0.35">
      <c r="A180" s="31">
        <v>89.5</v>
      </c>
      <c r="B180" s="19"/>
      <c r="C180" s="19" t="s">
        <v>22</v>
      </c>
      <c r="D180" s="37">
        <v>45899</v>
      </c>
      <c r="E180" s="31" t="s">
        <v>241</v>
      </c>
      <c r="F180" s="31" t="s">
        <v>242</v>
      </c>
      <c r="G180" s="31">
        <v>714</v>
      </c>
      <c r="H180" s="31" t="s">
        <v>160</v>
      </c>
      <c r="J180" s="38">
        <v>0</v>
      </c>
    </row>
    <row r="181" spans="1:10" x14ac:dyDescent="0.35">
      <c r="A181" s="31">
        <v>90</v>
      </c>
      <c r="B181" s="19" t="s">
        <v>17</v>
      </c>
      <c r="C181" s="19"/>
      <c r="D181" s="37">
        <v>45899</v>
      </c>
      <c r="E181" s="31" t="s">
        <v>243</v>
      </c>
      <c r="F181" s="31" t="s">
        <v>242</v>
      </c>
      <c r="G181" s="31">
        <v>714</v>
      </c>
      <c r="H181" s="31" t="s">
        <v>160</v>
      </c>
      <c r="I181" s="38">
        <v>0</v>
      </c>
    </row>
    <row r="182" spans="1:10" x14ac:dyDescent="0.35">
      <c r="A182" s="31">
        <v>90.5</v>
      </c>
      <c r="B182" s="19"/>
      <c r="C182" s="19" t="s">
        <v>22</v>
      </c>
      <c r="D182" s="37">
        <v>45899</v>
      </c>
      <c r="E182" s="31" t="s">
        <v>243</v>
      </c>
      <c r="F182" s="31" t="s">
        <v>242</v>
      </c>
      <c r="G182" s="31">
        <v>714</v>
      </c>
      <c r="H182" s="31" t="s">
        <v>160</v>
      </c>
      <c r="J182" s="38">
        <v>0</v>
      </c>
    </row>
    <row r="183" spans="1:10" x14ac:dyDescent="0.35">
      <c r="A183" s="31">
        <v>91</v>
      </c>
      <c r="B183" s="19" t="s">
        <v>17</v>
      </c>
      <c r="C183" s="19"/>
      <c r="D183" s="37">
        <v>45899</v>
      </c>
      <c r="E183" s="31" t="s">
        <v>244</v>
      </c>
      <c r="F183" s="31" t="s">
        <v>18</v>
      </c>
      <c r="G183" s="31">
        <v>3409</v>
      </c>
      <c r="H183" s="31" t="s">
        <v>160</v>
      </c>
      <c r="I183" s="38">
        <v>0</v>
      </c>
    </row>
    <row r="184" spans="1:10" x14ac:dyDescent="0.35">
      <c r="A184" s="31">
        <v>91.5</v>
      </c>
      <c r="B184" s="19"/>
      <c r="C184" s="19" t="s">
        <v>22</v>
      </c>
      <c r="D184" s="37">
        <v>45899</v>
      </c>
      <c r="E184" s="31" t="s">
        <v>244</v>
      </c>
      <c r="F184" s="31" t="s">
        <v>18</v>
      </c>
      <c r="G184" s="31">
        <v>3409</v>
      </c>
      <c r="H184" s="31" t="s">
        <v>160</v>
      </c>
      <c r="J184" s="38">
        <v>0</v>
      </c>
    </row>
    <row r="185" spans="1:10" x14ac:dyDescent="0.35">
      <c r="A185" s="31">
        <v>92</v>
      </c>
      <c r="B185" s="19" t="s">
        <v>17</v>
      </c>
      <c r="C185" s="19"/>
      <c r="D185" s="37">
        <v>45899</v>
      </c>
      <c r="E185" s="31" t="s">
        <v>245</v>
      </c>
      <c r="F185" s="31" t="s">
        <v>246</v>
      </c>
      <c r="G185" s="31">
        <v>3527</v>
      </c>
      <c r="H185" s="31" t="s">
        <v>160</v>
      </c>
      <c r="I185" s="38">
        <v>0</v>
      </c>
    </row>
    <row r="186" spans="1:10" x14ac:dyDescent="0.35">
      <c r="A186" s="31">
        <v>92.5</v>
      </c>
      <c r="B186" s="19"/>
      <c r="C186" s="19" t="s">
        <v>22</v>
      </c>
      <c r="D186" s="37">
        <v>45899</v>
      </c>
      <c r="E186" s="31" t="s">
        <v>245</v>
      </c>
      <c r="F186" s="31" t="s">
        <v>246</v>
      </c>
      <c r="G186" s="31">
        <v>3527</v>
      </c>
      <c r="H186" s="31" t="s">
        <v>160</v>
      </c>
      <c r="J186" s="38">
        <v>0</v>
      </c>
    </row>
    <row r="187" spans="1:10" x14ac:dyDescent="0.35">
      <c r="A187" s="31">
        <v>93</v>
      </c>
      <c r="B187" s="19" t="s">
        <v>17</v>
      </c>
      <c r="C187" s="19"/>
      <c r="D187" s="37">
        <v>45899</v>
      </c>
      <c r="E187" s="31" t="s">
        <v>247</v>
      </c>
      <c r="F187" s="31" t="s">
        <v>248</v>
      </c>
      <c r="G187" s="31">
        <v>2348</v>
      </c>
      <c r="H187" s="31" t="s">
        <v>160</v>
      </c>
      <c r="I187" s="38">
        <v>0</v>
      </c>
    </row>
    <row r="188" spans="1:10" x14ac:dyDescent="0.35">
      <c r="A188" s="31">
        <v>93.5</v>
      </c>
      <c r="B188" s="19"/>
      <c r="C188" s="19" t="s">
        <v>22</v>
      </c>
      <c r="D188" s="37">
        <v>45899</v>
      </c>
      <c r="E188" s="31" t="s">
        <v>247</v>
      </c>
      <c r="F188" s="31" t="s">
        <v>248</v>
      </c>
      <c r="G188" s="31">
        <v>2348</v>
      </c>
      <c r="H188" s="31" t="s">
        <v>160</v>
      </c>
      <c r="J188" s="38">
        <v>0</v>
      </c>
    </row>
    <row r="189" spans="1:10" x14ac:dyDescent="0.35">
      <c r="A189" s="31">
        <v>94</v>
      </c>
      <c r="B189" s="19" t="s">
        <v>17</v>
      </c>
      <c r="C189" s="19"/>
      <c r="D189" s="37">
        <v>45899</v>
      </c>
      <c r="E189" s="31" t="s">
        <v>249</v>
      </c>
      <c r="F189" s="31" t="s">
        <v>50</v>
      </c>
      <c r="G189" s="31">
        <v>1938</v>
      </c>
      <c r="H189" s="31" t="s">
        <v>160</v>
      </c>
      <c r="I189" s="38">
        <v>0</v>
      </c>
    </row>
    <row r="190" spans="1:10" x14ac:dyDescent="0.35">
      <c r="A190" s="31">
        <v>94.5</v>
      </c>
      <c r="B190" s="19"/>
      <c r="C190" s="19" t="s">
        <v>22</v>
      </c>
      <c r="D190" s="37">
        <v>45899</v>
      </c>
      <c r="E190" s="31" t="s">
        <v>249</v>
      </c>
      <c r="F190" s="31" t="s">
        <v>50</v>
      </c>
      <c r="G190" s="31">
        <v>1938</v>
      </c>
      <c r="H190" s="31" t="s">
        <v>160</v>
      </c>
      <c r="J190" s="38">
        <v>0</v>
      </c>
    </row>
    <row r="191" spans="1:10" x14ac:dyDescent="0.35">
      <c r="A191" s="31">
        <v>95</v>
      </c>
      <c r="B191" s="19" t="s">
        <v>17</v>
      </c>
      <c r="C191" s="19"/>
      <c r="D191" s="37">
        <v>45899</v>
      </c>
      <c r="E191" s="31" t="s">
        <v>250</v>
      </c>
      <c r="F191" s="31" t="s">
        <v>50</v>
      </c>
      <c r="G191" s="31">
        <v>1938</v>
      </c>
      <c r="H191" s="31" t="s">
        <v>160</v>
      </c>
      <c r="I191" s="38">
        <v>0</v>
      </c>
    </row>
    <row r="192" spans="1:10" x14ac:dyDescent="0.35">
      <c r="A192" s="31">
        <v>95.5</v>
      </c>
      <c r="B192" s="19"/>
      <c r="C192" s="19" t="s">
        <v>22</v>
      </c>
      <c r="D192" s="37">
        <v>45899</v>
      </c>
      <c r="E192" s="31" t="s">
        <v>250</v>
      </c>
      <c r="F192" s="31" t="s">
        <v>50</v>
      </c>
      <c r="G192" s="31">
        <v>1938</v>
      </c>
      <c r="H192" s="31" t="s">
        <v>160</v>
      </c>
      <c r="J192" s="38">
        <v>0</v>
      </c>
    </row>
    <row r="193" spans="1:10" x14ac:dyDescent="0.35">
      <c r="A193" s="31">
        <v>96</v>
      </c>
      <c r="B193" s="19" t="s">
        <v>17</v>
      </c>
      <c r="C193" s="19"/>
      <c r="D193" s="37">
        <v>45899</v>
      </c>
      <c r="E193" s="31" t="s">
        <v>251</v>
      </c>
      <c r="F193" s="31" t="s">
        <v>50</v>
      </c>
      <c r="G193" s="31">
        <v>1938</v>
      </c>
      <c r="H193" s="31" t="s">
        <v>160</v>
      </c>
      <c r="I193" s="38">
        <v>0</v>
      </c>
    </row>
    <row r="194" spans="1:10" x14ac:dyDescent="0.35">
      <c r="A194" s="31">
        <v>96.5</v>
      </c>
      <c r="B194" s="19"/>
      <c r="C194" s="19" t="s">
        <v>22</v>
      </c>
      <c r="D194" s="37">
        <v>45899</v>
      </c>
      <c r="E194" s="31" t="s">
        <v>251</v>
      </c>
      <c r="F194" s="31" t="s">
        <v>50</v>
      </c>
      <c r="G194" s="31">
        <v>1938</v>
      </c>
      <c r="H194" s="31" t="s">
        <v>160</v>
      </c>
      <c r="J194" s="38">
        <v>0</v>
      </c>
    </row>
    <row r="195" spans="1:10" x14ac:dyDescent="0.35">
      <c r="A195" s="31">
        <v>97</v>
      </c>
      <c r="B195" s="19" t="s">
        <v>17</v>
      </c>
      <c r="C195" s="19"/>
      <c r="D195" s="37">
        <v>45899</v>
      </c>
      <c r="E195" s="31" t="s">
        <v>252</v>
      </c>
      <c r="F195" s="31" t="s">
        <v>253</v>
      </c>
      <c r="G195" s="31">
        <v>546</v>
      </c>
      <c r="H195" s="31" t="s">
        <v>160</v>
      </c>
      <c r="I195" s="38">
        <v>3854.9700000000003</v>
      </c>
    </row>
    <row r="196" spans="1:10" x14ac:dyDescent="0.35">
      <c r="A196" s="31">
        <v>97.5</v>
      </c>
      <c r="B196" s="19"/>
      <c r="C196" s="19" t="s">
        <v>22</v>
      </c>
      <c r="D196" s="37">
        <v>45899</v>
      </c>
      <c r="E196" s="31" t="s">
        <v>252</v>
      </c>
      <c r="F196" s="31" t="s">
        <v>253</v>
      </c>
      <c r="G196" s="31">
        <v>546</v>
      </c>
      <c r="H196" s="31" t="s">
        <v>160</v>
      </c>
      <c r="J196" s="38">
        <v>3854.9700000000003</v>
      </c>
    </row>
    <row r="197" spans="1:10" x14ac:dyDescent="0.35">
      <c r="A197" s="31">
        <v>98</v>
      </c>
      <c r="B197" s="19" t="s">
        <v>17</v>
      </c>
      <c r="C197" s="19"/>
      <c r="D197" s="37">
        <v>45899</v>
      </c>
      <c r="E197" s="31" t="s">
        <v>254</v>
      </c>
      <c r="F197" s="31" t="s">
        <v>255</v>
      </c>
      <c r="G197" s="31">
        <v>2676</v>
      </c>
      <c r="H197" s="31" t="s">
        <v>160</v>
      </c>
      <c r="I197" s="38">
        <v>0</v>
      </c>
    </row>
    <row r="198" spans="1:10" x14ac:dyDescent="0.35">
      <c r="A198" s="31">
        <v>98.5</v>
      </c>
      <c r="B198" s="19"/>
      <c r="C198" s="19" t="s">
        <v>22</v>
      </c>
      <c r="D198" s="37">
        <v>45899</v>
      </c>
      <c r="E198" s="31" t="s">
        <v>254</v>
      </c>
      <c r="F198" s="31" t="s">
        <v>255</v>
      </c>
      <c r="G198" s="31">
        <v>2676</v>
      </c>
      <c r="H198" s="31" t="s">
        <v>160</v>
      </c>
      <c r="J198" s="38">
        <v>0</v>
      </c>
    </row>
    <row r="199" spans="1:10" x14ac:dyDescent="0.35">
      <c r="A199" s="31">
        <v>99</v>
      </c>
      <c r="B199" s="19" t="s">
        <v>17</v>
      </c>
      <c r="C199" s="19"/>
      <c r="D199" s="37">
        <v>45899</v>
      </c>
      <c r="E199" s="31" t="s">
        <v>256</v>
      </c>
      <c r="F199" s="31" t="s">
        <v>257</v>
      </c>
      <c r="G199" s="31">
        <v>736</v>
      </c>
      <c r="H199" s="31" t="s">
        <v>160</v>
      </c>
      <c r="I199" s="38">
        <v>0</v>
      </c>
    </row>
    <row r="200" spans="1:10" x14ac:dyDescent="0.35">
      <c r="A200" s="31">
        <v>99.5</v>
      </c>
      <c r="B200" s="19"/>
      <c r="C200" s="19" t="s">
        <v>22</v>
      </c>
      <c r="D200" s="37">
        <v>45899</v>
      </c>
      <c r="E200" s="31" t="s">
        <v>256</v>
      </c>
      <c r="F200" s="31" t="s">
        <v>257</v>
      </c>
      <c r="G200" s="31">
        <v>736</v>
      </c>
      <c r="H200" s="31" t="s">
        <v>160</v>
      </c>
      <c r="J200" s="38">
        <v>0</v>
      </c>
    </row>
    <row r="201" spans="1:10" x14ac:dyDescent="0.35">
      <c r="A201" s="31">
        <v>100</v>
      </c>
      <c r="B201" s="19" t="s">
        <v>17</v>
      </c>
      <c r="C201" s="19"/>
      <c r="D201" s="37">
        <v>45899</v>
      </c>
      <c r="E201" s="31" t="s">
        <v>258</v>
      </c>
      <c r="F201" s="31" t="s">
        <v>259</v>
      </c>
      <c r="G201" s="31">
        <v>3528</v>
      </c>
      <c r="H201" s="31" t="s">
        <v>160</v>
      </c>
      <c r="I201" s="38">
        <v>0</v>
      </c>
    </row>
    <row r="202" spans="1:10" x14ac:dyDescent="0.35">
      <c r="A202" s="31">
        <v>100.5</v>
      </c>
      <c r="B202" s="19"/>
      <c r="C202" s="19" t="s">
        <v>22</v>
      </c>
      <c r="D202" s="37">
        <v>45899</v>
      </c>
      <c r="E202" s="31" t="s">
        <v>258</v>
      </c>
      <c r="F202" s="31" t="s">
        <v>259</v>
      </c>
      <c r="G202" s="31">
        <v>3528</v>
      </c>
      <c r="H202" s="31" t="s">
        <v>160</v>
      </c>
      <c r="J202" s="38">
        <v>0</v>
      </c>
    </row>
    <row r="203" spans="1:10" x14ac:dyDescent="0.35">
      <c r="A203" s="31">
        <v>101</v>
      </c>
      <c r="B203" s="19" t="s">
        <v>17</v>
      </c>
      <c r="C203" s="19"/>
      <c r="D203" s="37">
        <v>45899</v>
      </c>
      <c r="E203" s="31" t="s">
        <v>260</v>
      </c>
      <c r="F203" s="31" t="s">
        <v>261</v>
      </c>
      <c r="G203" s="31">
        <v>3362</v>
      </c>
      <c r="H203" s="31" t="s">
        <v>160</v>
      </c>
      <c r="I203" s="38">
        <v>0</v>
      </c>
    </row>
    <row r="204" spans="1:10" x14ac:dyDescent="0.35">
      <c r="A204" s="31">
        <v>101.5</v>
      </c>
      <c r="B204" s="19"/>
      <c r="C204" s="19" t="s">
        <v>22</v>
      </c>
      <c r="D204" s="37">
        <v>45899</v>
      </c>
      <c r="E204" s="31" t="s">
        <v>260</v>
      </c>
      <c r="F204" s="31" t="s">
        <v>261</v>
      </c>
      <c r="G204" s="31">
        <v>3362</v>
      </c>
      <c r="H204" s="31" t="s">
        <v>160</v>
      </c>
      <c r="J204" s="38">
        <v>0</v>
      </c>
    </row>
    <row r="205" spans="1:10" x14ac:dyDescent="0.35">
      <c r="A205" s="31">
        <v>102</v>
      </c>
      <c r="B205" s="19" t="s">
        <v>17</v>
      </c>
      <c r="C205" s="19"/>
      <c r="D205" s="37">
        <v>45899</v>
      </c>
      <c r="E205" s="31" t="s">
        <v>262</v>
      </c>
      <c r="F205" s="31" t="s">
        <v>263</v>
      </c>
      <c r="G205" s="31">
        <v>3529</v>
      </c>
      <c r="H205" s="31" t="s">
        <v>160</v>
      </c>
      <c r="I205" s="38">
        <v>0</v>
      </c>
    </row>
    <row r="206" spans="1:10" x14ac:dyDescent="0.35">
      <c r="A206" s="31">
        <v>102.5</v>
      </c>
      <c r="B206" s="19"/>
      <c r="C206" s="19" t="s">
        <v>22</v>
      </c>
      <c r="D206" s="37">
        <v>45899</v>
      </c>
      <c r="E206" s="31" t="s">
        <v>262</v>
      </c>
      <c r="F206" s="31" t="s">
        <v>263</v>
      </c>
      <c r="G206" s="31">
        <v>3529</v>
      </c>
      <c r="H206" s="31" t="s">
        <v>160</v>
      </c>
      <c r="J206" s="38">
        <v>0</v>
      </c>
    </row>
    <row r="207" spans="1:10" x14ac:dyDescent="0.35">
      <c r="A207" s="31">
        <v>103</v>
      </c>
      <c r="B207" s="19" t="s">
        <v>17</v>
      </c>
      <c r="C207" s="19"/>
      <c r="D207" s="37">
        <v>45899</v>
      </c>
      <c r="E207" s="31" t="s">
        <v>264</v>
      </c>
      <c r="F207" s="31" t="s">
        <v>263</v>
      </c>
      <c r="G207" s="31">
        <v>3529</v>
      </c>
      <c r="H207" s="31" t="s">
        <v>160</v>
      </c>
      <c r="I207" s="38">
        <v>0</v>
      </c>
    </row>
    <row r="208" spans="1:10" x14ac:dyDescent="0.35">
      <c r="A208" s="31">
        <v>103.5</v>
      </c>
      <c r="B208" s="19"/>
      <c r="C208" s="19" t="s">
        <v>22</v>
      </c>
      <c r="D208" s="37">
        <v>45899</v>
      </c>
      <c r="E208" s="31" t="s">
        <v>264</v>
      </c>
      <c r="F208" s="31" t="s">
        <v>263</v>
      </c>
      <c r="G208" s="31">
        <v>3529</v>
      </c>
      <c r="H208" s="31" t="s">
        <v>160</v>
      </c>
      <c r="J208" s="38">
        <v>0</v>
      </c>
    </row>
    <row r="209" spans="1:10" x14ac:dyDescent="0.35">
      <c r="A209" s="31">
        <v>104</v>
      </c>
      <c r="B209" s="19" t="s">
        <v>17</v>
      </c>
      <c r="C209" s="19"/>
      <c r="D209" s="37">
        <v>45899</v>
      </c>
      <c r="E209" s="31" t="s">
        <v>265</v>
      </c>
      <c r="F209" s="31" t="s">
        <v>242</v>
      </c>
      <c r="G209" s="31">
        <v>714</v>
      </c>
      <c r="H209" s="31" t="s">
        <v>160</v>
      </c>
      <c r="I209" s="38">
        <v>0</v>
      </c>
    </row>
    <row r="210" spans="1:10" x14ac:dyDescent="0.35">
      <c r="A210" s="31">
        <v>104.5</v>
      </c>
      <c r="B210" s="19"/>
      <c r="C210" s="19" t="s">
        <v>22</v>
      </c>
      <c r="D210" s="37">
        <v>45899</v>
      </c>
      <c r="E210" s="31" t="s">
        <v>265</v>
      </c>
      <c r="F210" s="31" t="s">
        <v>242</v>
      </c>
      <c r="G210" s="31">
        <v>714</v>
      </c>
      <c r="H210" s="31" t="s">
        <v>160</v>
      </c>
      <c r="J210" s="38">
        <v>0</v>
      </c>
    </row>
    <row r="211" spans="1:10" x14ac:dyDescent="0.35">
      <c r="A211" s="31">
        <v>105</v>
      </c>
      <c r="B211" s="19" t="s">
        <v>17</v>
      </c>
      <c r="C211" s="19"/>
      <c r="D211" s="37">
        <v>45899</v>
      </c>
      <c r="E211" s="31">
        <v>32888</v>
      </c>
      <c r="F211" s="31" t="s">
        <v>266</v>
      </c>
      <c r="G211" s="31">
        <v>3530</v>
      </c>
      <c r="H211" s="31" t="s">
        <v>160</v>
      </c>
      <c r="I211" s="38">
        <v>0</v>
      </c>
    </row>
    <row r="212" spans="1:10" x14ac:dyDescent="0.35">
      <c r="A212" s="31">
        <v>105.5</v>
      </c>
      <c r="B212" s="19"/>
      <c r="C212" s="19" t="s">
        <v>22</v>
      </c>
      <c r="D212" s="37">
        <v>45899</v>
      </c>
      <c r="E212" s="31">
        <v>32888</v>
      </c>
      <c r="F212" s="31" t="s">
        <v>266</v>
      </c>
      <c r="G212" s="31">
        <v>3530</v>
      </c>
      <c r="H212" s="31" t="s">
        <v>160</v>
      </c>
      <c r="J212" s="38">
        <v>0</v>
      </c>
    </row>
    <row r="213" spans="1:10" x14ac:dyDescent="0.35">
      <c r="A213" s="31">
        <v>106</v>
      </c>
      <c r="B213" s="19" t="s">
        <v>17</v>
      </c>
      <c r="C213" s="19"/>
      <c r="D213" s="37">
        <v>45899</v>
      </c>
      <c r="E213" s="31" t="s">
        <v>267</v>
      </c>
      <c r="F213" s="31" t="s">
        <v>266</v>
      </c>
      <c r="G213" s="31">
        <v>3530</v>
      </c>
      <c r="H213" s="31" t="s">
        <v>160</v>
      </c>
      <c r="I213" s="38">
        <v>0</v>
      </c>
    </row>
    <row r="214" spans="1:10" x14ac:dyDescent="0.35">
      <c r="A214" s="31">
        <v>106.5</v>
      </c>
      <c r="B214" s="19"/>
      <c r="C214" s="19" t="s">
        <v>22</v>
      </c>
      <c r="D214" s="37">
        <v>45899</v>
      </c>
      <c r="E214" s="31" t="s">
        <v>267</v>
      </c>
      <c r="F214" s="31" t="s">
        <v>266</v>
      </c>
      <c r="G214" s="31">
        <v>3530</v>
      </c>
      <c r="H214" s="31" t="s">
        <v>160</v>
      </c>
      <c r="J214" s="38">
        <v>0</v>
      </c>
    </row>
    <row r="215" spans="1:10" x14ac:dyDescent="0.35">
      <c r="A215" s="31">
        <v>107</v>
      </c>
      <c r="B215" s="19" t="s">
        <v>17</v>
      </c>
      <c r="C215" s="19"/>
      <c r="D215" s="37">
        <v>45899</v>
      </c>
      <c r="E215" s="31" t="s">
        <v>268</v>
      </c>
      <c r="F215" s="31" t="s">
        <v>269</v>
      </c>
      <c r="G215" s="31">
        <v>3531</v>
      </c>
      <c r="H215" s="31" t="s">
        <v>160</v>
      </c>
      <c r="I215" s="38">
        <v>0</v>
      </c>
    </row>
    <row r="216" spans="1:10" x14ac:dyDescent="0.35">
      <c r="A216" s="31">
        <v>107.5</v>
      </c>
      <c r="B216" s="19"/>
      <c r="C216" s="19" t="s">
        <v>22</v>
      </c>
      <c r="D216" s="37">
        <v>45899</v>
      </c>
      <c r="E216" s="31" t="s">
        <v>268</v>
      </c>
      <c r="F216" s="31" t="s">
        <v>269</v>
      </c>
      <c r="G216" s="31">
        <v>3531</v>
      </c>
      <c r="H216" s="31" t="s">
        <v>160</v>
      </c>
      <c r="J216" s="38">
        <v>0</v>
      </c>
    </row>
    <row r="217" spans="1:10" x14ac:dyDescent="0.35">
      <c r="A217" s="31">
        <v>108</v>
      </c>
      <c r="B217" s="19" t="s">
        <v>17</v>
      </c>
      <c r="C217" s="19"/>
      <c r="D217" s="37">
        <v>45899</v>
      </c>
      <c r="E217" s="31" t="s">
        <v>270</v>
      </c>
      <c r="F217" s="31" t="s">
        <v>269</v>
      </c>
      <c r="G217" s="31">
        <v>3531</v>
      </c>
      <c r="H217" s="31" t="s">
        <v>160</v>
      </c>
      <c r="I217" s="38">
        <v>0</v>
      </c>
    </row>
    <row r="218" spans="1:10" x14ac:dyDescent="0.35">
      <c r="A218" s="31">
        <v>108.5</v>
      </c>
      <c r="B218" s="19"/>
      <c r="C218" s="19" t="s">
        <v>22</v>
      </c>
      <c r="D218" s="37">
        <v>45899</v>
      </c>
      <c r="E218" s="31" t="s">
        <v>270</v>
      </c>
      <c r="F218" s="31" t="s">
        <v>269</v>
      </c>
      <c r="G218" s="31">
        <v>3531</v>
      </c>
      <c r="H218" s="31" t="s">
        <v>160</v>
      </c>
      <c r="J218" s="38">
        <v>0</v>
      </c>
    </row>
    <row r="219" spans="1:10" x14ac:dyDescent="0.35">
      <c r="A219" s="31">
        <v>109</v>
      </c>
      <c r="B219" s="19" t="s">
        <v>17</v>
      </c>
      <c r="C219" s="19"/>
      <c r="D219" s="37">
        <v>45899</v>
      </c>
      <c r="E219" s="31" t="s">
        <v>271</v>
      </c>
      <c r="F219" s="31" t="s">
        <v>272</v>
      </c>
      <c r="G219" s="31">
        <v>3532</v>
      </c>
      <c r="H219" s="31" t="s">
        <v>160</v>
      </c>
      <c r="I219" s="38">
        <v>0</v>
      </c>
    </row>
    <row r="220" spans="1:10" x14ac:dyDescent="0.35">
      <c r="A220" s="31">
        <v>109.5</v>
      </c>
      <c r="B220" s="19"/>
      <c r="C220" s="19" t="s">
        <v>22</v>
      </c>
      <c r="D220" s="37">
        <v>45899</v>
      </c>
      <c r="E220" s="31" t="s">
        <v>271</v>
      </c>
      <c r="F220" s="31" t="s">
        <v>272</v>
      </c>
      <c r="G220" s="31">
        <v>3532</v>
      </c>
      <c r="H220" s="31" t="s">
        <v>160</v>
      </c>
      <c r="J220" s="38">
        <v>0</v>
      </c>
    </row>
    <row r="221" spans="1:10" x14ac:dyDescent="0.35">
      <c r="A221" s="31">
        <v>110</v>
      </c>
      <c r="B221" s="19" t="s">
        <v>17</v>
      </c>
      <c r="C221" s="19"/>
      <c r="D221" s="37">
        <v>45899</v>
      </c>
      <c r="E221" s="31" t="s">
        <v>273</v>
      </c>
      <c r="F221" s="31" t="s">
        <v>272</v>
      </c>
      <c r="G221" s="31">
        <v>3532</v>
      </c>
      <c r="H221" s="31" t="s">
        <v>160</v>
      </c>
      <c r="I221" s="38">
        <v>0</v>
      </c>
    </row>
    <row r="222" spans="1:10" x14ac:dyDescent="0.35">
      <c r="A222" s="31">
        <v>110.5</v>
      </c>
      <c r="B222" s="19"/>
      <c r="C222" s="19" t="s">
        <v>22</v>
      </c>
      <c r="D222" s="37">
        <v>45899</v>
      </c>
      <c r="E222" s="31" t="s">
        <v>273</v>
      </c>
      <c r="F222" s="31" t="s">
        <v>272</v>
      </c>
      <c r="G222" s="31">
        <v>3532</v>
      </c>
      <c r="H222" s="31" t="s">
        <v>160</v>
      </c>
      <c r="J222" s="38">
        <v>0</v>
      </c>
    </row>
    <row r="223" spans="1:10" x14ac:dyDescent="0.35">
      <c r="A223" s="31">
        <v>111</v>
      </c>
      <c r="B223" s="19" t="s">
        <v>17</v>
      </c>
      <c r="C223" s="19"/>
      <c r="D223" s="37">
        <v>45899</v>
      </c>
      <c r="E223" s="31" t="s">
        <v>274</v>
      </c>
      <c r="F223" s="31" t="s">
        <v>47</v>
      </c>
      <c r="G223" s="31">
        <v>2619</v>
      </c>
      <c r="H223" s="31" t="s">
        <v>160</v>
      </c>
      <c r="I223" s="38">
        <v>0</v>
      </c>
    </row>
    <row r="224" spans="1:10" x14ac:dyDescent="0.35">
      <c r="A224" s="31">
        <v>111.5</v>
      </c>
      <c r="B224" s="19"/>
      <c r="C224" s="19" t="s">
        <v>22</v>
      </c>
      <c r="D224" s="37">
        <v>45899</v>
      </c>
      <c r="E224" s="31" t="s">
        <v>274</v>
      </c>
      <c r="F224" s="31" t="s">
        <v>47</v>
      </c>
      <c r="G224" s="31">
        <v>2619</v>
      </c>
      <c r="H224" s="31" t="s">
        <v>160</v>
      </c>
      <c r="J224" s="38">
        <v>0</v>
      </c>
    </row>
    <row r="225" spans="1:10" x14ac:dyDescent="0.35">
      <c r="A225" s="31">
        <v>112</v>
      </c>
      <c r="B225" s="19" t="s">
        <v>17</v>
      </c>
      <c r="C225" s="19"/>
      <c r="D225" s="37">
        <v>45899</v>
      </c>
      <c r="E225" s="31" t="s">
        <v>275</v>
      </c>
      <c r="F225" s="31" t="s">
        <v>276</v>
      </c>
      <c r="G225" s="31">
        <v>3322</v>
      </c>
      <c r="H225" s="31" t="s">
        <v>160</v>
      </c>
      <c r="I225" s="38">
        <v>0</v>
      </c>
    </row>
    <row r="226" spans="1:10" x14ac:dyDescent="0.35">
      <c r="A226" s="31">
        <v>112.5</v>
      </c>
      <c r="B226" s="19"/>
      <c r="C226" s="19" t="s">
        <v>22</v>
      </c>
      <c r="D226" s="37">
        <v>45899</v>
      </c>
      <c r="E226" s="31" t="s">
        <v>275</v>
      </c>
      <c r="F226" s="31" t="s">
        <v>276</v>
      </c>
      <c r="G226" s="31">
        <v>3322</v>
      </c>
      <c r="H226" s="31" t="s">
        <v>160</v>
      </c>
      <c r="J226" s="38">
        <v>0</v>
      </c>
    </row>
    <row r="227" spans="1:10" x14ac:dyDescent="0.35">
      <c r="A227" s="31">
        <v>113</v>
      </c>
      <c r="B227" s="19" t="s">
        <v>17</v>
      </c>
      <c r="C227" s="19"/>
      <c r="D227" s="37">
        <v>45899</v>
      </c>
      <c r="E227" s="31" t="s">
        <v>277</v>
      </c>
      <c r="F227" s="31" t="s">
        <v>276</v>
      </c>
      <c r="G227" s="31">
        <v>3322</v>
      </c>
      <c r="H227" s="31" t="s">
        <v>160</v>
      </c>
      <c r="I227" s="38">
        <v>0</v>
      </c>
    </row>
    <row r="228" spans="1:10" x14ac:dyDescent="0.35">
      <c r="A228" s="31">
        <v>113.5</v>
      </c>
      <c r="B228" s="19"/>
      <c r="C228" s="19" t="s">
        <v>22</v>
      </c>
      <c r="D228" s="37">
        <v>45899</v>
      </c>
      <c r="E228" s="31" t="s">
        <v>277</v>
      </c>
      <c r="F228" s="31" t="s">
        <v>276</v>
      </c>
      <c r="G228" s="31">
        <v>3322</v>
      </c>
      <c r="H228" s="31" t="s">
        <v>160</v>
      </c>
      <c r="J228" s="38">
        <v>0</v>
      </c>
    </row>
    <row r="229" spans="1:10" x14ac:dyDescent="0.35">
      <c r="A229" s="31">
        <v>114</v>
      </c>
      <c r="B229" s="19" t="s">
        <v>17</v>
      </c>
      <c r="C229" s="19"/>
      <c r="D229" s="37">
        <v>45899</v>
      </c>
      <c r="E229" s="31" t="s">
        <v>278</v>
      </c>
      <c r="F229" s="31" t="s">
        <v>276</v>
      </c>
      <c r="G229" s="31">
        <v>3322</v>
      </c>
      <c r="H229" s="31" t="s">
        <v>160</v>
      </c>
      <c r="I229" s="38">
        <v>0</v>
      </c>
    </row>
    <row r="230" spans="1:10" x14ac:dyDescent="0.35">
      <c r="A230" s="31">
        <v>114.5</v>
      </c>
      <c r="B230" s="19"/>
      <c r="C230" s="19" t="s">
        <v>22</v>
      </c>
      <c r="D230" s="37">
        <v>45899</v>
      </c>
      <c r="E230" s="31" t="s">
        <v>278</v>
      </c>
      <c r="F230" s="31" t="s">
        <v>276</v>
      </c>
      <c r="G230" s="31">
        <v>3322</v>
      </c>
      <c r="H230" s="31" t="s">
        <v>160</v>
      </c>
      <c r="J230" s="38">
        <v>0</v>
      </c>
    </row>
    <row r="231" spans="1:10" x14ac:dyDescent="0.35">
      <c r="A231" s="31">
        <v>115</v>
      </c>
      <c r="B231" s="19" t="s">
        <v>17</v>
      </c>
      <c r="C231" s="19"/>
      <c r="D231" s="37">
        <v>45899</v>
      </c>
      <c r="E231" s="31" t="s">
        <v>279</v>
      </c>
      <c r="F231" s="31" t="s">
        <v>276</v>
      </c>
      <c r="G231" s="31">
        <v>3322</v>
      </c>
      <c r="H231" s="31" t="s">
        <v>160</v>
      </c>
      <c r="I231" s="38">
        <v>0</v>
      </c>
    </row>
    <row r="232" spans="1:10" x14ac:dyDescent="0.35">
      <c r="A232" s="31">
        <v>115.5</v>
      </c>
      <c r="B232" s="19"/>
      <c r="C232" s="19" t="s">
        <v>22</v>
      </c>
      <c r="D232" s="37">
        <v>45899</v>
      </c>
      <c r="E232" s="31" t="s">
        <v>279</v>
      </c>
      <c r="F232" s="31" t="s">
        <v>276</v>
      </c>
      <c r="G232" s="31">
        <v>3322</v>
      </c>
      <c r="H232" s="31" t="s">
        <v>160</v>
      </c>
      <c r="J232" s="38">
        <v>0</v>
      </c>
    </row>
    <row r="233" spans="1:10" x14ac:dyDescent="0.35">
      <c r="A233" s="31">
        <v>116</v>
      </c>
      <c r="B233" s="19" t="s">
        <v>17</v>
      </c>
      <c r="C233" s="19"/>
      <c r="D233" s="37">
        <v>45899</v>
      </c>
      <c r="E233" s="31" t="s">
        <v>280</v>
      </c>
      <c r="F233" s="31" t="s">
        <v>276</v>
      </c>
      <c r="G233" s="31">
        <v>3322</v>
      </c>
      <c r="H233" s="31" t="s">
        <v>160</v>
      </c>
      <c r="I233" s="38">
        <v>0</v>
      </c>
    </row>
    <row r="234" spans="1:10" x14ac:dyDescent="0.35">
      <c r="A234" s="31">
        <v>116.5</v>
      </c>
      <c r="B234" s="19"/>
      <c r="C234" s="19" t="s">
        <v>22</v>
      </c>
      <c r="D234" s="37">
        <v>45899</v>
      </c>
      <c r="E234" s="31" t="s">
        <v>280</v>
      </c>
      <c r="F234" s="31" t="s">
        <v>276</v>
      </c>
      <c r="G234" s="31">
        <v>3322</v>
      </c>
      <c r="H234" s="31" t="s">
        <v>160</v>
      </c>
      <c r="J234" s="38">
        <v>0</v>
      </c>
    </row>
    <row r="235" spans="1:10" x14ac:dyDescent="0.35">
      <c r="A235" s="31">
        <v>117</v>
      </c>
      <c r="B235" s="19" t="s">
        <v>17</v>
      </c>
      <c r="C235" s="19"/>
      <c r="D235" s="37">
        <v>45899</v>
      </c>
      <c r="E235" s="31" t="s">
        <v>281</v>
      </c>
      <c r="F235" s="31" t="s">
        <v>282</v>
      </c>
      <c r="G235" s="31">
        <v>3002</v>
      </c>
      <c r="H235" s="31" t="s">
        <v>160</v>
      </c>
      <c r="I235" s="38">
        <v>0</v>
      </c>
    </row>
    <row r="236" spans="1:10" x14ac:dyDescent="0.35">
      <c r="A236" s="31">
        <v>117.5</v>
      </c>
      <c r="B236" s="19"/>
      <c r="C236" s="19" t="s">
        <v>22</v>
      </c>
      <c r="D236" s="37">
        <v>45899</v>
      </c>
      <c r="E236" s="31" t="s">
        <v>281</v>
      </c>
      <c r="F236" s="31" t="s">
        <v>282</v>
      </c>
      <c r="G236" s="31">
        <v>3002</v>
      </c>
      <c r="H236" s="31" t="s">
        <v>160</v>
      </c>
      <c r="J236" s="38">
        <v>0</v>
      </c>
    </row>
    <row r="237" spans="1:10" x14ac:dyDescent="0.35">
      <c r="A237" s="31">
        <v>118</v>
      </c>
      <c r="B237" s="19" t="s">
        <v>17</v>
      </c>
      <c r="C237" s="19"/>
      <c r="D237" s="37">
        <v>45899</v>
      </c>
      <c r="E237" s="31" t="s">
        <v>283</v>
      </c>
      <c r="F237" s="31" t="s">
        <v>284</v>
      </c>
      <c r="G237" s="31">
        <v>3368</v>
      </c>
      <c r="H237" s="31" t="s">
        <v>160</v>
      </c>
      <c r="I237" s="38">
        <v>0</v>
      </c>
    </row>
    <row r="238" spans="1:10" x14ac:dyDescent="0.35">
      <c r="A238" s="31">
        <v>118.5</v>
      </c>
      <c r="B238" s="19"/>
      <c r="C238" s="19" t="s">
        <v>22</v>
      </c>
      <c r="D238" s="37">
        <v>45899</v>
      </c>
      <c r="E238" s="31" t="s">
        <v>283</v>
      </c>
      <c r="F238" s="31" t="s">
        <v>284</v>
      </c>
      <c r="G238" s="31">
        <v>3368</v>
      </c>
      <c r="H238" s="31" t="s">
        <v>160</v>
      </c>
      <c r="J238" s="38">
        <v>0</v>
      </c>
    </row>
    <row r="239" spans="1:10" x14ac:dyDescent="0.35">
      <c r="A239" s="31">
        <v>119</v>
      </c>
      <c r="B239" s="19" t="s">
        <v>17</v>
      </c>
      <c r="C239" s="19"/>
      <c r="D239" s="37">
        <v>45899</v>
      </c>
      <c r="E239" s="31" t="s">
        <v>285</v>
      </c>
      <c r="F239" s="31" t="s">
        <v>284</v>
      </c>
      <c r="G239" s="31">
        <v>3368</v>
      </c>
      <c r="H239" s="31" t="s">
        <v>160</v>
      </c>
      <c r="I239" s="38">
        <v>0</v>
      </c>
    </row>
    <row r="240" spans="1:10" x14ac:dyDescent="0.35">
      <c r="A240" s="31">
        <v>119.5</v>
      </c>
      <c r="B240" s="19"/>
      <c r="C240" s="19" t="s">
        <v>22</v>
      </c>
      <c r="D240" s="37">
        <v>45899</v>
      </c>
      <c r="E240" s="31" t="s">
        <v>285</v>
      </c>
      <c r="F240" s="31" t="s">
        <v>284</v>
      </c>
      <c r="G240" s="31">
        <v>3368</v>
      </c>
      <c r="H240" s="31" t="s">
        <v>160</v>
      </c>
      <c r="J240" s="38">
        <v>0</v>
      </c>
    </row>
    <row r="241" spans="1:10" x14ac:dyDescent="0.35">
      <c r="A241" s="31">
        <v>120</v>
      </c>
      <c r="B241" s="19" t="s">
        <v>17</v>
      </c>
      <c r="C241" s="19"/>
      <c r="D241" s="37">
        <v>45899</v>
      </c>
      <c r="E241" s="31" t="s">
        <v>286</v>
      </c>
      <c r="F241" s="31" t="s">
        <v>287</v>
      </c>
      <c r="G241" s="31">
        <v>2358</v>
      </c>
      <c r="H241" s="31" t="s">
        <v>160</v>
      </c>
      <c r="I241" s="38">
        <v>0</v>
      </c>
    </row>
    <row r="242" spans="1:10" x14ac:dyDescent="0.35">
      <c r="A242" s="31">
        <v>120.5</v>
      </c>
      <c r="B242" s="19"/>
      <c r="C242" s="19" t="s">
        <v>22</v>
      </c>
      <c r="D242" s="37">
        <v>45899</v>
      </c>
      <c r="E242" s="31" t="s">
        <v>286</v>
      </c>
      <c r="F242" s="31" t="s">
        <v>287</v>
      </c>
      <c r="G242" s="31">
        <v>2358</v>
      </c>
      <c r="H242" s="31" t="s">
        <v>160</v>
      </c>
      <c r="J242" s="38">
        <v>0</v>
      </c>
    </row>
    <row r="243" spans="1:10" x14ac:dyDescent="0.35">
      <c r="A243" s="31">
        <v>121</v>
      </c>
      <c r="B243" s="19" t="s">
        <v>17</v>
      </c>
      <c r="C243" s="19"/>
      <c r="D243" s="37">
        <v>45899</v>
      </c>
      <c r="E243" s="31" t="s">
        <v>288</v>
      </c>
      <c r="F243" s="31" t="s">
        <v>287</v>
      </c>
      <c r="G243" s="31">
        <v>2358</v>
      </c>
      <c r="H243" s="31" t="s">
        <v>160</v>
      </c>
      <c r="I243" s="38">
        <v>0</v>
      </c>
    </row>
    <row r="244" spans="1:10" x14ac:dyDescent="0.35">
      <c r="A244" s="31">
        <v>121.5</v>
      </c>
      <c r="B244" s="19"/>
      <c r="C244" s="19" t="s">
        <v>22</v>
      </c>
      <c r="D244" s="37">
        <v>45899</v>
      </c>
      <c r="E244" s="31" t="s">
        <v>288</v>
      </c>
      <c r="F244" s="31" t="s">
        <v>287</v>
      </c>
      <c r="G244" s="31">
        <v>2358</v>
      </c>
      <c r="H244" s="31" t="s">
        <v>160</v>
      </c>
      <c r="J244" s="38">
        <v>0</v>
      </c>
    </row>
    <row r="245" spans="1:10" x14ac:dyDescent="0.35">
      <c r="A245" s="31">
        <v>122</v>
      </c>
      <c r="B245" s="19" t="s">
        <v>17</v>
      </c>
      <c r="C245" s="19"/>
      <c r="D245" s="37">
        <v>45899</v>
      </c>
      <c r="E245" s="31" t="s">
        <v>289</v>
      </c>
      <c r="F245" s="31" t="s">
        <v>290</v>
      </c>
      <c r="G245" s="31">
        <v>3533</v>
      </c>
      <c r="H245" s="31" t="s">
        <v>160</v>
      </c>
      <c r="I245" s="38">
        <v>0</v>
      </c>
    </row>
    <row r="246" spans="1:10" x14ac:dyDescent="0.35">
      <c r="A246" s="31">
        <v>122.5</v>
      </c>
      <c r="B246" s="19"/>
      <c r="C246" s="19" t="s">
        <v>22</v>
      </c>
      <c r="D246" s="37">
        <v>45899</v>
      </c>
      <c r="E246" s="31" t="s">
        <v>289</v>
      </c>
      <c r="F246" s="31" t="s">
        <v>290</v>
      </c>
      <c r="G246" s="31">
        <v>3533</v>
      </c>
      <c r="H246" s="31" t="s">
        <v>160</v>
      </c>
      <c r="J246" s="38">
        <v>0</v>
      </c>
    </row>
    <row r="247" spans="1:10" x14ac:dyDescent="0.35">
      <c r="A247" s="31">
        <v>123</v>
      </c>
      <c r="B247" s="19" t="s">
        <v>17</v>
      </c>
      <c r="C247" s="19"/>
      <c r="D247" s="37">
        <v>45899</v>
      </c>
      <c r="E247" s="31" t="s">
        <v>291</v>
      </c>
      <c r="F247" s="31" t="s">
        <v>292</v>
      </c>
      <c r="G247" s="31">
        <v>3534</v>
      </c>
      <c r="H247" s="31" t="s">
        <v>160</v>
      </c>
      <c r="I247" s="38">
        <v>0</v>
      </c>
    </row>
    <row r="248" spans="1:10" x14ac:dyDescent="0.35">
      <c r="A248" s="31">
        <v>123.5</v>
      </c>
      <c r="B248" s="19"/>
      <c r="C248" s="19" t="s">
        <v>22</v>
      </c>
      <c r="D248" s="37">
        <v>45899</v>
      </c>
      <c r="E248" s="31" t="s">
        <v>291</v>
      </c>
      <c r="F248" s="31" t="s">
        <v>292</v>
      </c>
      <c r="G248" s="31">
        <v>3534</v>
      </c>
      <c r="H248" s="31" t="s">
        <v>160</v>
      </c>
      <c r="J248" s="38">
        <v>0</v>
      </c>
    </row>
    <row r="249" spans="1:10" x14ac:dyDescent="0.35">
      <c r="A249" s="31">
        <v>124</v>
      </c>
      <c r="B249" s="19" t="s">
        <v>17</v>
      </c>
      <c r="C249" s="19"/>
      <c r="D249" s="37">
        <v>45899</v>
      </c>
      <c r="E249" s="31" t="s">
        <v>293</v>
      </c>
      <c r="F249" s="31" t="s">
        <v>292</v>
      </c>
      <c r="G249" s="31">
        <v>3534</v>
      </c>
      <c r="H249" s="31" t="s">
        <v>160</v>
      </c>
      <c r="I249" s="38">
        <v>0</v>
      </c>
    </row>
    <row r="250" spans="1:10" x14ac:dyDescent="0.35">
      <c r="A250" s="31">
        <v>124.5</v>
      </c>
      <c r="B250" s="19"/>
      <c r="C250" s="19" t="s">
        <v>22</v>
      </c>
      <c r="D250" s="37">
        <v>45899</v>
      </c>
      <c r="E250" s="31" t="s">
        <v>293</v>
      </c>
      <c r="F250" s="31" t="s">
        <v>292</v>
      </c>
      <c r="G250" s="31">
        <v>3534</v>
      </c>
      <c r="H250" s="31" t="s">
        <v>160</v>
      </c>
      <c r="J250" s="38">
        <v>0</v>
      </c>
    </row>
    <row r="251" spans="1:10" x14ac:dyDescent="0.35">
      <c r="A251" s="31">
        <v>125</v>
      </c>
      <c r="B251" s="19" t="s">
        <v>17</v>
      </c>
      <c r="C251" s="19"/>
      <c r="D251" s="37">
        <v>45899</v>
      </c>
      <c r="E251" s="31" t="s">
        <v>294</v>
      </c>
      <c r="F251" s="31" t="s">
        <v>26</v>
      </c>
      <c r="G251" s="31">
        <v>3370</v>
      </c>
      <c r="H251" s="31" t="s">
        <v>160</v>
      </c>
      <c r="I251" s="38">
        <v>12589.500000000002</v>
      </c>
    </row>
    <row r="252" spans="1:10" x14ac:dyDescent="0.35">
      <c r="A252" s="31">
        <v>125.5</v>
      </c>
      <c r="B252" s="19"/>
      <c r="C252" s="19" t="s">
        <v>22</v>
      </c>
      <c r="D252" s="37">
        <v>45899</v>
      </c>
      <c r="E252" s="31" t="s">
        <v>294</v>
      </c>
      <c r="F252" s="31" t="s">
        <v>26</v>
      </c>
      <c r="G252" s="31">
        <v>3370</v>
      </c>
      <c r="H252" s="31" t="s">
        <v>160</v>
      </c>
      <c r="J252" s="38">
        <v>12589.500000000002</v>
      </c>
    </row>
    <row r="253" spans="1:10" x14ac:dyDescent="0.35">
      <c r="A253" s="31">
        <v>126</v>
      </c>
      <c r="B253" s="19" t="s">
        <v>17</v>
      </c>
      <c r="C253" s="19"/>
      <c r="D253" s="37">
        <v>45899</v>
      </c>
      <c r="E253" s="31" t="s">
        <v>295</v>
      </c>
      <c r="F253" s="53" t="s">
        <v>1195</v>
      </c>
      <c r="G253" s="31">
        <v>2328</v>
      </c>
      <c r="H253" s="31" t="s">
        <v>160</v>
      </c>
      <c r="I253" s="38">
        <v>0</v>
      </c>
    </row>
    <row r="254" spans="1:10" x14ac:dyDescent="0.35">
      <c r="A254" s="31">
        <v>126.5</v>
      </c>
      <c r="B254" s="19"/>
      <c r="C254" s="19" t="s">
        <v>22</v>
      </c>
      <c r="D254" s="37">
        <v>45899</v>
      </c>
      <c r="E254" s="31" t="s">
        <v>295</v>
      </c>
      <c r="F254" s="53" t="s">
        <v>1195</v>
      </c>
      <c r="G254" s="31">
        <v>2328</v>
      </c>
      <c r="H254" s="31" t="s">
        <v>160</v>
      </c>
      <c r="J254" s="38">
        <v>0</v>
      </c>
    </row>
    <row r="255" spans="1:10" x14ac:dyDescent="0.35">
      <c r="A255" s="31">
        <v>127</v>
      </c>
      <c r="B255" s="19" t="s">
        <v>17</v>
      </c>
      <c r="C255" s="19"/>
      <c r="D255" s="37">
        <v>45899</v>
      </c>
      <c r="E255" s="31" t="s">
        <v>296</v>
      </c>
      <c r="F255" s="53" t="s">
        <v>1195</v>
      </c>
      <c r="G255" s="31">
        <v>2328</v>
      </c>
      <c r="H255" s="31" t="s">
        <v>160</v>
      </c>
      <c r="I255" s="38">
        <v>0</v>
      </c>
    </row>
    <row r="256" spans="1:10" x14ac:dyDescent="0.35">
      <c r="A256" s="31">
        <v>127.5</v>
      </c>
      <c r="B256" s="19"/>
      <c r="C256" s="19" t="s">
        <v>22</v>
      </c>
      <c r="D256" s="37">
        <v>45899</v>
      </c>
      <c r="E256" s="31" t="s">
        <v>296</v>
      </c>
      <c r="F256" s="53" t="s">
        <v>1195</v>
      </c>
      <c r="G256" s="31">
        <v>2328</v>
      </c>
      <c r="H256" s="31" t="s">
        <v>160</v>
      </c>
      <c r="J256" s="38">
        <v>0</v>
      </c>
    </row>
    <row r="257" spans="1:10" x14ac:dyDescent="0.35">
      <c r="A257" s="31">
        <v>128</v>
      </c>
      <c r="B257" s="19" t="s">
        <v>17</v>
      </c>
      <c r="C257" s="19"/>
      <c r="D257" s="37">
        <v>45899</v>
      </c>
      <c r="E257" s="31" t="s">
        <v>297</v>
      </c>
      <c r="F257" s="53" t="s">
        <v>1195</v>
      </c>
      <c r="G257" s="31">
        <v>2328</v>
      </c>
      <c r="H257" s="31" t="s">
        <v>160</v>
      </c>
      <c r="I257" s="38">
        <v>0</v>
      </c>
    </row>
    <row r="258" spans="1:10" x14ac:dyDescent="0.35">
      <c r="A258" s="31">
        <v>128.5</v>
      </c>
      <c r="B258" s="19"/>
      <c r="C258" s="19" t="s">
        <v>22</v>
      </c>
      <c r="D258" s="37">
        <v>45899</v>
      </c>
      <c r="E258" s="31" t="s">
        <v>297</v>
      </c>
      <c r="F258" s="53" t="s">
        <v>1195</v>
      </c>
      <c r="G258" s="31">
        <v>2328</v>
      </c>
      <c r="H258" s="31" t="s">
        <v>160</v>
      </c>
      <c r="J258" s="38">
        <v>0</v>
      </c>
    </row>
    <row r="259" spans="1:10" x14ac:dyDescent="0.35">
      <c r="A259" s="31">
        <v>129</v>
      </c>
      <c r="B259" s="19" t="s">
        <v>17</v>
      </c>
      <c r="C259" s="19"/>
      <c r="D259" s="37">
        <v>45899</v>
      </c>
      <c r="E259" s="31" t="s">
        <v>298</v>
      </c>
      <c r="F259" s="53" t="s">
        <v>1195</v>
      </c>
      <c r="G259" s="31">
        <v>2328</v>
      </c>
      <c r="H259" s="31" t="s">
        <v>160</v>
      </c>
      <c r="I259" s="38">
        <v>0</v>
      </c>
    </row>
    <row r="260" spans="1:10" x14ac:dyDescent="0.35">
      <c r="A260" s="31">
        <v>129.5</v>
      </c>
      <c r="B260" s="19"/>
      <c r="C260" s="19" t="s">
        <v>22</v>
      </c>
      <c r="D260" s="37">
        <v>45899</v>
      </c>
      <c r="E260" s="31" t="s">
        <v>298</v>
      </c>
      <c r="F260" s="53" t="s">
        <v>1195</v>
      </c>
      <c r="G260" s="31">
        <v>2328</v>
      </c>
      <c r="H260" s="31" t="s">
        <v>160</v>
      </c>
      <c r="J260" s="38">
        <v>0</v>
      </c>
    </row>
    <row r="261" spans="1:10" x14ac:dyDescent="0.35">
      <c r="A261" s="31">
        <v>130</v>
      </c>
      <c r="B261" s="19" t="s">
        <v>17</v>
      </c>
      <c r="C261" s="19"/>
      <c r="D261" s="37">
        <v>45899</v>
      </c>
      <c r="E261" s="31" t="s">
        <v>299</v>
      </c>
      <c r="F261" s="31" t="s">
        <v>33</v>
      </c>
      <c r="G261" s="31">
        <v>2678</v>
      </c>
      <c r="H261" s="31" t="s">
        <v>160</v>
      </c>
      <c r="I261" s="38">
        <v>0</v>
      </c>
    </row>
    <row r="262" spans="1:10" x14ac:dyDescent="0.35">
      <c r="A262" s="31">
        <v>130.5</v>
      </c>
      <c r="B262" s="19"/>
      <c r="C262" s="19" t="s">
        <v>22</v>
      </c>
      <c r="D262" s="37">
        <v>45899</v>
      </c>
      <c r="E262" s="31" t="s">
        <v>299</v>
      </c>
      <c r="F262" s="31" t="s">
        <v>33</v>
      </c>
      <c r="G262" s="31">
        <v>2678</v>
      </c>
      <c r="H262" s="31" t="s">
        <v>160</v>
      </c>
      <c r="J262" s="38">
        <v>0</v>
      </c>
    </row>
    <row r="263" spans="1:10" x14ac:dyDescent="0.35">
      <c r="A263" s="31">
        <v>131</v>
      </c>
      <c r="B263" s="19" t="s">
        <v>17</v>
      </c>
      <c r="C263" s="19"/>
      <c r="D263" s="37">
        <v>45899</v>
      </c>
      <c r="E263" s="31" t="s">
        <v>300</v>
      </c>
      <c r="F263" s="31" t="s">
        <v>276</v>
      </c>
      <c r="G263" s="31">
        <v>3322</v>
      </c>
      <c r="H263" s="31" t="s">
        <v>160</v>
      </c>
      <c r="I263" s="38">
        <v>0</v>
      </c>
    </row>
    <row r="264" spans="1:10" x14ac:dyDescent="0.35">
      <c r="A264" s="31">
        <v>131.5</v>
      </c>
      <c r="B264" s="19"/>
      <c r="C264" s="19" t="s">
        <v>22</v>
      </c>
      <c r="D264" s="37">
        <v>45899</v>
      </c>
      <c r="E264" s="31" t="s">
        <v>300</v>
      </c>
      <c r="F264" s="31" t="s">
        <v>276</v>
      </c>
      <c r="G264" s="31">
        <v>3322</v>
      </c>
      <c r="H264" s="31" t="s">
        <v>160</v>
      </c>
      <c r="J264" s="38">
        <v>0</v>
      </c>
    </row>
    <row r="265" spans="1:10" x14ac:dyDescent="0.35">
      <c r="A265" s="31">
        <v>132</v>
      </c>
      <c r="B265" s="19" t="s">
        <v>17</v>
      </c>
      <c r="C265" s="19"/>
      <c r="D265" s="37">
        <v>45899</v>
      </c>
      <c r="E265" s="31" t="s">
        <v>301</v>
      </c>
      <c r="F265" s="31" t="s">
        <v>36</v>
      </c>
      <c r="G265" s="31">
        <v>3367</v>
      </c>
      <c r="H265" s="31" t="s">
        <v>160</v>
      </c>
      <c r="I265" s="38">
        <v>0</v>
      </c>
    </row>
    <row r="266" spans="1:10" x14ac:dyDescent="0.35">
      <c r="A266" s="31">
        <v>132.5</v>
      </c>
      <c r="B266" s="19"/>
      <c r="C266" s="19" t="s">
        <v>22</v>
      </c>
      <c r="D266" s="37">
        <v>45899</v>
      </c>
      <c r="E266" s="31" t="s">
        <v>301</v>
      </c>
      <c r="F266" s="31" t="s">
        <v>36</v>
      </c>
      <c r="G266" s="31">
        <v>3367</v>
      </c>
      <c r="H266" s="31" t="s">
        <v>160</v>
      </c>
      <c r="J266" s="38">
        <v>0</v>
      </c>
    </row>
    <row r="267" spans="1:10" x14ac:dyDescent="0.35">
      <c r="A267" s="31">
        <v>133</v>
      </c>
      <c r="B267" s="19" t="s">
        <v>17</v>
      </c>
      <c r="C267" s="19"/>
      <c r="D267" s="37">
        <v>45899</v>
      </c>
      <c r="E267" s="31" t="s">
        <v>302</v>
      </c>
      <c r="F267" s="31" t="s">
        <v>303</v>
      </c>
      <c r="G267" s="31">
        <v>3311</v>
      </c>
      <c r="H267" s="31" t="s">
        <v>160</v>
      </c>
      <c r="I267" s="38">
        <v>0</v>
      </c>
    </row>
    <row r="268" spans="1:10" x14ac:dyDescent="0.35">
      <c r="A268" s="31">
        <v>133.5</v>
      </c>
      <c r="B268" s="19"/>
      <c r="C268" s="19" t="s">
        <v>22</v>
      </c>
      <c r="D268" s="37">
        <v>45899</v>
      </c>
      <c r="E268" s="31" t="s">
        <v>302</v>
      </c>
      <c r="F268" s="31" t="s">
        <v>303</v>
      </c>
      <c r="G268" s="31">
        <v>3311</v>
      </c>
      <c r="H268" s="31" t="s">
        <v>160</v>
      </c>
      <c r="J268" s="38">
        <v>0</v>
      </c>
    </row>
    <row r="269" spans="1:10" x14ac:dyDescent="0.35">
      <c r="A269" s="31">
        <v>134</v>
      </c>
      <c r="B269" s="19" t="s">
        <v>17</v>
      </c>
      <c r="C269" s="19"/>
      <c r="D269" s="37">
        <v>45899</v>
      </c>
      <c r="E269" s="31" t="s">
        <v>304</v>
      </c>
      <c r="F269" s="31" t="s">
        <v>305</v>
      </c>
      <c r="G269" s="31">
        <v>3535</v>
      </c>
      <c r="H269" s="31" t="s">
        <v>160</v>
      </c>
      <c r="I269" s="38">
        <v>0</v>
      </c>
    </row>
    <row r="270" spans="1:10" x14ac:dyDescent="0.35">
      <c r="A270" s="31">
        <v>134.5</v>
      </c>
      <c r="B270" s="19"/>
      <c r="C270" s="19" t="s">
        <v>22</v>
      </c>
      <c r="D270" s="37">
        <v>45899</v>
      </c>
      <c r="E270" s="31" t="s">
        <v>304</v>
      </c>
      <c r="F270" s="31" t="s">
        <v>305</v>
      </c>
      <c r="G270" s="31">
        <v>3535</v>
      </c>
      <c r="H270" s="31" t="s">
        <v>160</v>
      </c>
      <c r="J270" s="38">
        <v>0</v>
      </c>
    </row>
    <row r="271" spans="1:10" x14ac:dyDescent="0.35">
      <c r="A271" s="31">
        <v>135</v>
      </c>
      <c r="B271" s="19" t="s">
        <v>17</v>
      </c>
      <c r="C271" s="19"/>
      <c r="D271" s="37">
        <v>45899</v>
      </c>
      <c r="E271" s="31" t="s">
        <v>306</v>
      </c>
      <c r="F271" s="31" t="s">
        <v>18</v>
      </c>
      <c r="G271" s="31">
        <v>3409</v>
      </c>
      <c r="H271" s="31" t="s">
        <v>160</v>
      </c>
      <c r="I271" s="38">
        <v>0</v>
      </c>
    </row>
    <row r="272" spans="1:10" x14ac:dyDescent="0.35">
      <c r="A272" s="31">
        <v>135.5</v>
      </c>
      <c r="B272" s="19"/>
      <c r="C272" s="19" t="s">
        <v>22</v>
      </c>
      <c r="D272" s="37">
        <v>45899</v>
      </c>
      <c r="E272" s="31" t="s">
        <v>306</v>
      </c>
      <c r="F272" s="31" t="s">
        <v>18</v>
      </c>
      <c r="G272" s="31">
        <v>3409</v>
      </c>
      <c r="H272" s="31" t="s">
        <v>160</v>
      </c>
      <c r="J272" s="38">
        <v>0</v>
      </c>
    </row>
    <row r="273" spans="1:10" x14ac:dyDescent="0.35">
      <c r="A273" s="31">
        <v>136</v>
      </c>
      <c r="B273" s="19" t="s">
        <v>17</v>
      </c>
      <c r="C273" s="19"/>
      <c r="D273" s="37">
        <v>45899</v>
      </c>
      <c r="E273" s="31" t="s">
        <v>307</v>
      </c>
      <c r="F273" s="31" t="s">
        <v>50</v>
      </c>
      <c r="G273" s="31">
        <v>1938</v>
      </c>
      <c r="H273" s="31" t="s">
        <v>160</v>
      </c>
      <c r="I273" s="38">
        <v>0</v>
      </c>
    </row>
    <row r="274" spans="1:10" x14ac:dyDescent="0.35">
      <c r="A274" s="31">
        <v>136.5</v>
      </c>
      <c r="B274" s="19"/>
      <c r="C274" s="19" t="s">
        <v>22</v>
      </c>
      <c r="D274" s="37">
        <v>45899</v>
      </c>
      <c r="E274" s="31" t="s">
        <v>307</v>
      </c>
      <c r="F274" s="31" t="s">
        <v>50</v>
      </c>
      <c r="G274" s="31">
        <v>1938</v>
      </c>
      <c r="H274" s="31" t="s">
        <v>160</v>
      </c>
      <c r="J274" s="38">
        <v>0</v>
      </c>
    </row>
    <row r="275" spans="1:10" x14ac:dyDescent="0.35">
      <c r="A275" s="31">
        <v>137</v>
      </c>
      <c r="B275" s="19" t="s">
        <v>17</v>
      </c>
      <c r="C275" s="19"/>
      <c r="D275" s="37">
        <v>45899</v>
      </c>
      <c r="E275" s="31" t="s">
        <v>308</v>
      </c>
      <c r="F275" s="31" t="s">
        <v>33</v>
      </c>
      <c r="G275" s="31">
        <v>2678</v>
      </c>
      <c r="H275" s="31" t="s">
        <v>160</v>
      </c>
      <c r="I275" s="38">
        <v>0</v>
      </c>
    </row>
    <row r="276" spans="1:10" x14ac:dyDescent="0.35">
      <c r="A276" s="31">
        <v>137.5</v>
      </c>
      <c r="B276" s="19"/>
      <c r="C276" s="19" t="s">
        <v>22</v>
      </c>
      <c r="D276" s="37">
        <v>45899</v>
      </c>
      <c r="E276" s="31" t="s">
        <v>308</v>
      </c>
      <c r="F276" s="31" t="s">
        <v>33</v>
      </c>
      <c r="G276" s="31">
        <v>2678</v>
      </c>
      <c r="H276" s="31" t="s">
        <v>160</v>
      </c>
      <c r="J276" s="38">
        <v>0</v>
      </c>
    </row>
    <row r="277" spans="1:10" x14ac:dyDescent="0.35">
      <c r="A277" s="31">
        <v>138</v>
      </c>
      <c r="B277" s="19" t="s">
        <v>17</v>
      </c>
      <c r="C277" s="19"/>
      <c r="D277" s="37">
        <v>45899</v>
      </c>
      <c r="E277" s="31" t="s">
        <v>309</v>
      </c>
      <c r="F277" s="31" t="s">
        <v>33</v>
      </c>
      <c r="G277" s="31">
        <v>2678</v>
      </c>
      <c r="H277" s="31" t="s">
        <v>160</v>
      </c>
      <c r="I277" s="38">
        <v>0</v>
      </c>
    </row>
    <row r="278" spans="1:10" x14ac:dyDescent="0.35">
      <c r="A278" s="31">
        <v>138.5</v>
      </c>
      <c r="B278" s="19"/>
      <c r="C278" s="19" t="s">
        <v>22</v>
      </c>
      <c r="D278" s="37">
        <v>45899</v>
      </c>
      <c r="E278" s="31" t="s">
        <v>309</v>
      </c>
      <c r="F278" s="31" t="s">
        <v>33</v>
      </c>
      <c r="G278" s="31">
        <v>2678</v>
      </c>
      <c r="H278" s="31" t="s">
        <v>160</v>
      </c>
      <c r="J278" s="38">
        <v>0</v>
      </c>
    </row>
    <row r="279" spans="1:10" x14ac:dyDescent="0.35">
      <c r="A279" s="31">
        <v>139</v>
      </c>
      <c r="B279" s="19" t="s">
        <v>17</v>
      </c>
      <c r="C279" s="19"/>
      <c r="D279" s="37">
        <v>45899</v>
      </c>
      <c r="E279" s="31" t="s">
        <v>310</v>
      </c>
      <c r="F279" s="31" t="s">
        <v>33</v>
      </c>
      <c r="G279" s="31">
        <v>2678</v>
      </c>
      <c r="H279" s="31" t="s">
        <v>160</v>
      </c>
      <c r="I279" s="38">
        <v>0</v>
      </c>
    </row>
    <row r="280" spans="1:10" x14ac:dyDescent="0.35">
      <c r="A280" s="31">
        <v>139.5</v>
      </c>
      <c r="B280" s="19"/>
      <c r="C280" s="19" t="s">
        <v>22</v>
      </c>
      <c r="D280" s="37">
        <v>45899</v>
      </c>
      <c r="E280" s="31" t="s">
        <v>310</v>
      </c>
      <c r="F280" s="31" t="s">
        <v>33</v>
      </c>
      <c r="G280" s="31">
        <v>2678</v>
      </c>
      <c r="H280" s="31" t="s">
        <v>160</v>
      </c>
      <c r="J280" s="38">
        <v>0</v>
      </c>
    </row>
    <row r="281" spans="1:10" x14ac:dyDescent="0.35">
      <c r="A281" s="31">
        <v>140</v>
      </c>
      <c r="B281" s="19" t="s">
        <v>17</v>
      </c>
      <c r="C281" s="19"/>
      <c r="D281" s="37">
        <v>45899</v>
      </c>
      <c r="E281" s="31" t="s">
        <v>311</v>
      </c>
      <c r="F281" s="31" t="s">
        <v>33</v>
      </c>
      <c r="G281" s="31">
        <v>2678</v>
      </c>
      <c r="H281" s="31" t="s">
        <v>160</v>
      </c>
      <c r="I281" s="38">
        <v>0</v>
      </c>
    </row>
    <row r="282" spans="1:10" x14ac:dyDescent="0.35">
      <c r="A282" s="31">
        <v>140.5</v>
      </c>
      <c r="B282" s="19"/>
      <c r="C282" s="19" t="s">
        <v>22</v>
      </c>
      <c r="D282" s="37">
        <v>45899</v>
      </c>
      <c r="E282" s="31" t="s">
        <v>311</v>
      </c>
      <c r="F282" s="31" t="s">
        <v>33</v>
      </c>
      <c r="G282" s="31">
        <v>2678</v>
      </c>
      <c r="H282" s="31" t="s">
        <v>160</v>
      </c>
      <c r="J282" s="38">
        <v>0</v>
      </c>
    </row>
    <row r="283" spans="1:10" x14ac:dyDescent="0.35">
      <c r="A283" s="31">
        <v>141</v>
      </c>
      <c r="B283" s="19" t="s">
        <v>17</v>
      </c>
      <c r="C283" s="19"/>
      <c r="D283" s="37">
        <v>45899</v>
      </c>
      <c r="E283" s="31" t="s">
        <v>312</v>
      </c>
      <c r="F283" s="31" t="s">
        <v>33</v>
      </c>
      <c r="G283" s="31">
        <v>2678</v>
      </c>
      <c r="H283" s="31" t="s">
        <v>160</v>
      </c>
      <c r="I283" s="38">
        <v>0</v>
      </c>
    </row>
    <row r="284" spans="1:10" x14ac:dyDescent="0.35">
      <c r="A284" s="31">
        <v>141.5</v>
      </c>
      <c r="B284" s="19"/>
      <c r="C284" s="19" t="s">
        <v>22</v>
      </c>
      <c r="D284" s="37">
        <v>45899</v>
      </c>
      <c r="E284" s="31" t="s">
        <v>312</v>
      </c>
      <c r="F284" s="31" t="s">
        <v>33</v>
      </c>
      <c r="G284" s="31">
        <v>2678</v>
      </c>
      <c r="H284" s="31" t="s">
        <v>160</v>
      </c>
      <c r="J284" s="38">
        <v>0</v>
      </c>
    </row>
    <row r="285" spans="1:10" x14ac:dyDescent="0.35">
      <c r="A285" s="31">
        <v>142</v>
      </c>
      <c r="B285" s="19" t="s">
        <v>17</v>
      </c>
      <c r="C285" s="19"/>
      <c r="D285" s="37">
        <v>45899</v>
      </c>
      <c r="E285" s="31" t="s">
        <v>313</v>
      </c>
      <c r="F285" s="31" t="s">
        <v>33</v>
      </c>
      <c r="G285" s="31">
        <v>2678</v>
      </c>
      <c r="H285" s="31" t="s">
        <v>160</v>
      </c>
      <c r="I285" s="38">
        <v>0</v>
      </c>
    </row>
    <row r="286" spans="1:10" x14ac:dyDescent="0.35">
      <c r="A286" s="31">
        <v>142.5</v>
      </c>
      <c r="B286" s="19"/>
      <c r="C286" s="19" t="s">
        <v>22</v>
      </c>
      <c r="D286" s="37">
        <v>45899</v>
      </c>
      <c r="E286" s="31" t="s">
        <v>313</v>
      </c>
      <c r="F286" s="31" t="s">
        <v>33</v>
      </c>
      <c r="G286" s="31">
        <v>2678</v>
      </c>
      <c r="H286" s="31" t="s">
        <v>160</v>
      </c>
      <c r="J286" s="38">
        <v>0</v>
      </c>
    </row>
    <row r="287" spans="1:10" x14ac:dyDescent="0.35">
      <c r="A287" s="31">
        <v>143</v>
      </c>
      <c r="B287" s="19" t="s">
        <v>17</v>
      </c>
      <c r="C287" s="19"/>
      <c r="D287" s="37">
        <v>45899</v>
      </c>
      <c r="E287" s="31" t="s">
        <v>314</v>
      </c>
      <c r="F287" s="31" t="s">
        <v>50</v>
      </c>
      <c r="G287" s="31">
        <v>1938</v>
      </c>
      <c r="H287" s="31" t="s">
        <v>160</v>
      </c>
      <c r="I287" s="38">
        <v>0</v>
      </c>
    </row>
    <row r="288" spans="1:10" x14ac:dyDescent="0.35">
      <c r="A288" s="31">
        <v>143.5</v>
      </c>
      <c r="B288" s="19"/>
      <c r="C288" s="19" t="s">
        <v>22</v>
      </c>
      <c r="D288" s="37">
        <v>45899</v>
      </c>
      <c r="E288" s="31" t="s">
        <v>314</v>
      </c>
      <c r="F288" s="31" t="s">
        <v>50</v>
      </c>
      <c r="G288" s="31">
        <v>1938</v>
      </c>
      <c r="H288" s="31" t="s">
        <v>160</v>
      </c>
      <c r="J288" s="38">
        <v>0</v>
      </c>
    </row>
    <row r="289" spans="1:10" x14ac:dyDescent="0.35">
      <c r="A289" s="31">
        <v>144</v>
      </c>
      <c r="B289" s="19" t="s">
        <v>17</v>
      </c>
      <c r="C289" s="19"/>
      <c r="D289" s="37">
        <v>45899</v>
      </c>
      <c r="E289" s="31" t="s">
        <v>315</v>
      </c>
      <c r="F289" s="31" t="s">
        <v>316</v>
      </c>
      <c r="G289" s="31">
        <v>704</v>
      </c>
      <c r="H289" s="31" t="s">
        <v>160</v>
      </c>
      <c r="I289" s="38">
        <v>0</v>
      </c>
    </row>
    <row r="290" spans="1:10" x14ac:dyDescent="0.35">
      <c r="A290" s="31">
        <v>144.5</v>
      </c>
      <c r="B290" s="19"/>
      <c r="C290" s="19" t="s">
        <v>22</v>
      </c>
      <c r="D290" s="37">
        <v>45899</v>
      </c>
      <c r="E290" s="31" t="s">
        <v>315</v>
      </c>
      <c r="F290" s="31" t="s">
        <v>316</v>
      </c>
      <c r="G290" s="31">
        <v>704</v>
      </c>
      <c r="H290" s="31" t="s">
        <v>160</v>
      </c>
      <c r="J290" s="38">
        <v>0</v>
      </c>
    </row>
    <row r="291" spans="1:10" x14ac:dyDescent="0.35">
      <c r="A291" s="31">
        <v>145</v>
      </c>
      <c r="B291" s="19" t="s">
        <v>17</v>
      </c>
      <c r="C291" s="19"/>
      <c r="D291" s="37">
        <v>45899</v>
      </c>
      <c r="E291" s="31" t="s">
        <v>317</v>
      </c>
      <c r="F291" s="31" t="s">
        <v>44</v>
      </c>
      <c r="G291" s="31">
        <v>3361</v>
      </c>
      <c r="H291" s="31" t="s">
        <v>160</v>
      </c>
      <c r="I291" s="38">
        <v>0</v>
      </c>
    </row>
    <row r="292" spans="1:10" x14ac:dyDescent="0.35">
      <c r="A292" s="31">
        <v>145.5</v>
      </c>
      <c r="B292" s="19"/>
      <c r="C292" s="19" t="s">
        <v>22</v>
      </c>
      <c r="D292" s="37">
        <v>45899</v>
      </c>
      <c r="E292" s="31" t="s">
        <v>317</v>
      </c>
      <c r="F292" s="31" t="s">
        <v>44</v>
      </c>
      <c r="G292" s="31">
        <v>3361</v>
      </c>
      <c r="H292" s="31" t="s">
        <v>160</v>
      </c>
      <c r="J292" s="38">
        <v>0</v>
      </c>
    </row>
    <row r="293" spans="1:10" x14ac:dyDescent="0.35">
      <c r="A293" s="31">
        <v>146</v>
      </c>
      <c r="B293" s="19" t="s">
        <v>17</v>
      </c>
      <c r="C293" s="19"/>
      <c r="D293" s="37">
        <v>45899</v>
      </c>
      <c r="E293" s="31" t="s">
        <v>318</v>
      </c>
      <c r="F293" s="31" t="s">
        <v>44</v>
      </c>
      <c r="G293" s="31">
        <v>3361</v>
      </c>
      <c r="H293" s="31" t="s">
        <v>160</v>
      </c>
      <c r="I293" s="38">
        <v>0</v>
      </c>
    </row>
    <row r="294" spans="1:10" x14ac:dyDescent="0.35">
      <c r="A294" s="31">
        <v>146.5</v>
      </c>
      <c r="B294" s="19"/>
      <c r="C294" s="19" t="s">
        <v>22</v>
      </c>
      <c r="D294" s="37">
        <v>45899</v>
      </c>
      <c r="E294" s="31" t="s">
        <v>318</v>
      </c>
      <c r="F294" s="31" t="s">
        <v>44</v>
      </c>
      <c r="G294" s="31">
        <v>3361</v>
      </c>
      <c r="H294" s="31" t="s">
        <v>160</v>
      </c>
      <c r="J294" s="38">
        <v>0</v>
      </c>
    </row>
    <row r="295" spans="1:10" x14ac:dyDescent="0.35">
      <c r="A295" s="31">
        <v>147</v>
      </c>
      <c r="B295" s="19" t="s">
        <v>17</v>
      </c>
      <c r="C295" s="19"/>
      <c r="D295" s="37">
        <v>45899</v>
      </c>
      <c r="E295" s="31" t="s">
        <v>319</v>
      </c>
      <c r="F295" s="31" t="s">
        <v>44</v>
      </c>
      <c r="G295" s="31">
        <v>3361</v>
      </c>
      <c r="H295" s="31" t="s">
        <v>160</v>
      </c>
      <c r="I295" s="38">
        <v>0</v>
      </c>
    </row>
    <row r="296" spans="1:10" x14ac:dyDescent="0.35">
      <c r="A296" s="31">
        <v>147.5</v>
      </c>
      <c r="B296" s="19"/>
      <c r="C296" s="19" t="s">
        <v>22</v>
      </c>
      <c r="D296" s="37">
        <v>45899</v>
      </c>
      <c r="E296" s="31" t="s">
        <v>319</v>
      </c>
      <c r="F296" s="31" t="s">
        <v>44</v>
      </c>
      <c r="G296" s="31">
        <v>3361</v>
      </c>
      <c r="H296" s="31" t="s">
        <v>160</v>
      </c>
      <c r="J296" s="38">
        <v>0</v>
      </c>
    </row>
    <row r="297" spans="1:10" x14ac:dyDescent="0.35">
      <c r="A297" s="31">
        <v>148</v>
      </c>
      <c r="B297" s="19" t="s">
        <v>17</v>
      </c>
      <c r="C297" s="19"/>
      <c r="D297" s="37">
        <v>45899</v>
      </c>
      <c r="E297" s="31" t="s">
        <v>320</v>
      </c>
      <c r="F297" s="31" t="s">
        <v>115</v>
      </c>
      <c r="G297" s="31">
        <v>2520</v>
      </c>
      <c r="H297" s="31" t="s">
        <v>160</v>
      </c>
      <c r="I297" s="38">
        <v>0</v>
      </c>
    </row>
    <row r="298" spans="1:10" x14ac:dyDescent="0.35">
      <c r="A298" s="31">
        <v>148.5</v>
      </c>
      <c r="B298" s="19"/>
      <c r="C298" s="19" t="s">
        <v>22</v>
      </c>
      <c r="D298" s="37">
        <v>45899</v>
      </c>
      <c r="E298" s="31" t="s">
        <v>320</v>
      </c>
      <c r="F298" s="31" t="s">
        <v>115</v>
      </c>
      <c r="G298" s="31">
        <v>2520</v>
      </c>
      <c r="H298" s="31" t="s">
        <v>160</v>
      </c>
      <c r="J298" s="38">
        <v>0</v>
      </c>
    </row>
    <row r="299" spans="1:10" x14ac:dyDescent="0.35">
      <c r="A299" s="31">
        <v>149</v>
      </c>
      <c r="B299" s="19" t="s">
        <v>17</v>
      </c>
      <c r="C299" s="19"/>
      <c r="D299" s="37">
        <v>45899</v>
      </c>
      <c r="E299" s="31" t="s">
        <v>321</v>
      </c>
      <c r="F299" s="31" t="s">
        <v>322</v>
      </c>
      <c r="G299" s="31">
        <v>3364</v>
      </c>
      <c r="H299" s="31" t="s">
        <v>160</v>
      </c>
      <c r="I299" s="38">
        <v>0</v>
      </c>
    </row>
    <row r="300" spans="1:10" x14ac:dyDescent="0.35">
      <c r="A300" s="31">
        <v>149.5</v>
      </c>
      <c r="B300" s="19"/>
      <c r="C300" s="19" t="s">
        <v>22</v>
      </c>
      <c r="D300" s="37">
        <v>45899</v>
      </c>
      <c r="E300" s="31" t="s">
        <v>321</v>
      </c>
      <c r="F300" s="31" t="s">
        <v>322</v>
      </c>
      <c r="G300" s="31">
        <v>3364</v>
      </c>
      <c r="H300" s="31" t="s">
        <v>160</v>
      </c>
      <c r="J300" s="38">
        <v>0</v>
      </c>
    </row>
    <row r="301" spans="1:10" x14ac:dyDescent="0.35">
      <c r="A301" s="31">
        <v>150</v>
      </c>
      <c r="B301" s="19" t="s">
        <v>17</v>
      </c>
      <c r="C301" s="19"/>
      <c r="D301" s="37">
        <v>45899</v>
      </c>
      <c r="E301" s="31" t="s">
        <v>323</v>
      </c>
      <c r="F301" s="31" t="s">
        <v>255</v>
      </c>
      <c r="G301" s="31">
        <v>2676</v>
      </c>
      <c r="H301" s="31" t="s">
        <v>160</v>
      </c>
      <c r="I301" s="38">
        <v>0</v>
      </c>
    </row>
    <row r="302" spans="1:10" x14ac:dyDescent="0.35">
      <c r="A302" s="31">
        <v>150.5</v>
      </c>
      <c r="B302" s="19"/>
      <c r="C302" s="19" t="s">
        <v>22</v>
      </c>
      <c r="D302" s="37">
        <v>45899</v>
      </c>
      <c r="E302" s="31" t="s">
        <v>323</v>
      </c>
      <c r="F302" s="31" t="s">
        <v>255</v>
      </c>
      <c r="G302" s="31">
        <v>2676</v>
      </c>
      <c r="H302" s="31" t="s">
        <v>160</v>
      </c>
      <c r="J302" s="38">
        <v>0</v>
      </c>
    </row>
    <row r="303" spans="1:10" x14ac:dyDescent="0.35">
      <c r="A303" s="31">
        <v>151</v>
      </c>
      <c r="B303" s="19" t="s">
        <v>17</v>
      </c>
      <c r="C303" s="19"/>
      <c r="D303" s="37">
        <v>45899</v>
      </c>
      <c r="E303" s="31" t="s">
        <v>324</v>
      </c>
      <c r="F303" s="31" t="s">
        <v>44</v>
      </c>
      <c r="G303" s="31">
        <v>3361</v>
      </c>
      <c r="H303" s="31" t="s">
        <v>160</v>
      </c>
      <c r="I303" s="38">
        <v>9548.99</v>
      </c>
    </row>
    <row r="304" spans="1:10" x14ac:dyDescent="0.35">
      <c r="A304" s="31">
        <v>151.5</v>
      </c>
      <c r="B304" s="19"/>
      <c r="C304" s="19" t="s">
        <v>22</v>
      </c>
      <c r="D304" s="37">
        <v>45899</v>
      </c>
      <c r="E304" s="31" t="s">
        <v>324</v>
      </c>
      <c r="F304" s="31" t="s">
        <v>44</v>
      </c>
      <c r="G304" s="31">
        <v>3361</v>
      </c>
      <c r="H304" s="31" t="s">
        <v>160</v>
      </c>
      <c r="J304" s="38">
        <v>9548.99</v>
      </c>
    </row>
    <row r="305" spans="1:10" x14ac:dyDescent="0.35">
      <c r="A305" s="31">
        <v>152</v>
      </c>
      <c r="B305" s="19" t="s">
        <v>17</v>
      </c>
      <c r="C305" s="19"/>
      <c r="D305" s="37">
        <v>45899</v>
      </c>
      <c r="E305" s="31" t="s">
        <v>325</v>
      </c>
      <c r="F305" s="31" t="s">
        <v>284</v>
      </c>
      <c r="G305" s="31">
        <v>3368</v>
      </c>
      <c r="H305" s="31" t="s">
        <v>160</v>
      </c>
      <c r="I305" s="38">
        <v>0</v>
      </c>
    </row>
    <row r="306" spans="1:10" x14ac:dyDescent="0.35">
      <c r="A306" s="31">
        <v>152.5</v>
      </c>
      <c r="B306" s="19"/>
      <c r="C306" s="19" t="s">
        <v>22</v>
      </c>
      <c r="D306" s="37">
        <v>45899</v>
      </c>
      <c r="E306" s="31" t="s">
        <v>325</v>
      </c>
      <c r="F306" s="31" t="s">
        <v>284</v>
      </c>
      <c r="G306" s="31">
        <v>3368</v>
      </c>
      <c r="H306" s="31" t="s">
        <v>160</v>
      </c>
      <c r="J306" s="38">
        <v>0</v>
      </c>
    </row>
    <row r="307" spans="1:10" x14ac:dyDescent="0.35">
      <c r="A307" s="31">
        <v>153</v>
      </c>
      <c r="B307" s="19" t="s">
        <v>17</v>
      </c>
      <c r="C307" s="19"/>
      <c r="D307" s="37">
        <v>45899</v>
      </c>
      <c r="E307" s="31" t="s">
        <v>326</v>
      </c>
      <c r="F307" s="31" t="s">
        <v>284</v>
      </c>
      <c r="G307" s="31">
        <v>3368</v>
      </c>
      <c r="H307" s="31" t="s">
        <v>160</v>
      </c>
      <c r="I307" s="38">
        <v>0</v>
      </c>
    </row>
    <row r="308" spans="1:10" x14ac:dyDescent="0.35">
      <c r="A308" s="31">
        <v>153.5</v>
      </c>
      <c r="B308" s="19"/>
      <c r="C308" s="19" t="s">
        <v>22</v>
      </c>
      <c r="D308" s="37">
        <v>45899</v>
      </c>
      <c r="E308" s="31" t="s">
        <v>326</v>
      </c>
      <c r="F308" s="31" t="s">
        <v>284</v>
      </c>
      <c r="G308" s="31">
        <v>3368</v>
      </c>
      <c r="H308" s="31" t="s">
        <v>160</v>
      </c>
      <c r="J308" s="38">
        <v>0</v>
      </c>
    </row>
    <row r="309" spans="1:10" x14ac:dyDescent="0.35">
      <c r="A309" s="31">
        <v>154</v>
      </c>
      <c r="B309" s="19" t="s">
        <v>17</v>
      </c>
      <c r="C309" s="19"/>
      <c r="D309" s="37">
        <v>45899</v>
      </c>
      <c r="E309" s="31" t="s">
        <v>327</v>
      </c>
      <c r="F309" s="31" t="s">
        <v>284</v>
      </c>
      <c r="G309" s="31">
        <v>3368</v>
      </c>
      <c r="H309" s="31" t="s">
        <v>160</v>
      </c>
      <c r="I309" s="38">
        <v>0</v>
      </c>
    </row>
    <row r="310" spans="1:10" x14ac:dyDescent="0.35">
      <c r="A310" s="31">
        <v>154.5</v>
      </c>
      <c r="B310" s="19"/>
      <c r="C310" s="19" t="s">
        <v>22</v>
      </c>
      <c r="D310" s="37">
        <v>45899</v>
      </c>
      <c r="E310" s="31" t="s">
        <v>327</v>
      </c>
      <c r="F310" s="31" t="s">
        <v>284</v>
      </c>
      <c r="G310" s="31">
        <v>3368</v>
      </c>
      <c r="H310" s="31" t="s">
        <v>160</v>
      </c>
      <c r="J310" s="38">
        <v>0</v>
      </c>
    </row>
    <row r="311" spans="1:10" x14ac:dyDescent="0.35">
      <c r="A311" s="31">
        <v>155</v>
      </c>
      <c r="B311" s="19" t="s">
        <v>17</v>
      </c>
      <c r="C311" s="19"/>
      <c r="D311" s="37">
        <v>45899</v>
      </c>
      <c r="E311" s="31" t="s">
        <v>328</v>
      </c>
      <c r="F311" s="31" t="s">
        <v>284</v>
      </c>
      <c r="G311" s="31">
        <v>3368</v>
      </c>
      <c r="H311" s="31" t="s">
        <v>160</v>
      </c>
      <c r="I311" s="38">
        <v>0</v>
      </c>
    </row>
    <row r="312" spans="1:10" x14ac:dyDescent="0.35">
      <c r="A312" s="31">
        <v>155.5</v>
      </c>
      <c r="B312" s="19"/>
      <c r="C312" s="19" t="s">
        <v>22</v>
      </c>
      <c r="D312" s="37">
        <v>45899</v>
      </c>
      <c r="E312" s="31" t="s">
        <v>328</v>
      </c>
      <c r="F312" s="31" t="s">
        <v>284</v>
      </c>
      <c r="G312" s="31">
        <v>3368</v>
      </c>
      <c r="H312" s="31" t="s">
        <v>160</v>
      </c>
      <c r="J312" s="38">
        <v>0</v>
      </c>
    </row>
    <row r="313" spans="1:10" x14ac:dyDescent="0.35">
      <c r="A313" s="31">
        <v>156</v>
      </c>
      <c r="B313" s="19" t="s">
        <v>17</v>
      </c>
      <c r="C313" s="19"/>
      <c r="D313" s="37">
        <v>45899</v>
      </c>
      <c r="E313" s="31" t="s">
        <v>329</v>
      </c>
      <c r="F313" s="31" t="s">
        <v>284</v>
      </c>
      <c r="G313" s="31">
        <v>3368</v>
      </c>
      <c r="H313" s="31" t="s">
        <v>160</v>
      </c>
      <c r="I313" s="38">
        <v>0</v>
      </c>
    </row>
    <row r="314" spans="1:10" x14ac:dyDescent="0.35">
      <c r="A314" s="31">
        <v>156.5</v>
      </c>
      <c r="B314" s="19"/>
      <c r="C314" s="19" t="s">
        <v>22</v>
      </c>
      <c r="D314" s="37">
        <v>45899</v>
      </c>
      <c r="E314" s="31" t="s">
        <v>329</v>
      </c>
      <c r="F314" s="31" t="s">
        <v>284</v>
      </c>
      <c r="G314" s="31">
        <v>3368</v>
      </c>
      <c r="H314" s="31" t="s">
        <v>160</v>
      </c>
      <c r="J314" s="38">
        <v>0</v>
      </c>
    </row>
    <row r="315" spans="1:10" x14ac:dyDescent="0.35">
      <c r="A315" s="31">
        <v>157</v>
      </c>
      <c r="B315" s="19" t="s">
        <v>17</v>
      </c>
      <c r="C315" s="19"/>
      <c r="D315" s="37">
        <v>45899</v>
      </c>
      <c r="E315" s="31" t="s">
        <v>330</v>
      </c>
      <c r="F315" s="31" t="s">
        <v>47</v>
      </c>
      <c r="G315" s="31">
        <v>2619</v>
      </c>
      <c r="H315" s="31" t="s">
        <v>160</v>
      </c>
      <c r="I315" s="38">
        <v>0</v>
      </c>
    </row>
    <row r="316" spans="1:10" x14ac:dyDescent="0.35">
      <c r="A316" s="31">
        <v>157.5</v>
      </c>
      <c r="B316" s="19"/>
      <c r="C316" s="19" t="s">
        <v>22</v>
      </c>
      <c r="D316" s="37">
        <v>45899</v>
      </c>
      <c r="E316" s="31" t="s">
        <v>330</v>
      </c>
      <c r="F316" s="31" t="s">
        <v>47</v>
      </c>
      <c r="G316" s="31">
        <v>2619</v>
      </c>
      <c r="H316" s="31" t="s">
        <v>160</v>
      </c>
      <c r="J316" s="38">
        <v>0</v>
      </c>
    </row>
    <row r="317" spans="1:10" x14ac:dyDescent="0.35">
      <c r="A317" s="31">
        <v>158</v>
      </c>
      <c r="B317" s="19" t="s">
        <v>17</v>
      </c>
      <c r="C317" s="19"/>
      <c r="D317" s="37">
        <v>45899</v>
      </c>
      <c r="E317" s="31" t="s">
        <v>331</v>
      </c>
      <c r="F317" s="53" t="s">
        <v>1240</v>
      </c>
      <c r="G317" s="31">
        <v>2804</v>
      </c>
      <c r="H317" s="31" t="s">
        <v>160</v>
      </c>
      <c r="I317" s="38">
        <v>0</v>
      </c>
    </row>
    <row r="318" spans="1:10" x14ac:dyDescent="0.35">
      <c r="A318" s="31">
        <v>158.5</v>
      </c>
      <c r="B318" s="19"/>
      <c r="C318" s="19" t="s">
        <v>22</v>
      </c>
      <c r="D318" s="37">
        <v>45899</v>
      </c>
      <c r="E318" s="31" t="s">
        <v>331</v>
      </c>
      <c r="F318" s="53" t="s">
        <v>1240</v>
      </c>
      <c r="G318" s="31">
        <v>2804</v>
      </c>
      <c r="H318" s="31" t="s">
        <v>160</v>
      </c>
      <c r="J318" s="38">
        <v>0</v>
      </c>
    </row>
    <row r="319" spans="1:10" x14ac:dyDescent="0.35">
      <c r="A319" s="31">
        <v>159</v>
      </c>
      <c r="B319" s="19" t="s">
        <v>17</v>
      </c>
      <c r="C319" s="19"/>
      <c r="D319" s="37">
        <v>45899</v>
      </c>
      <c r="E319" s="31" t="s">
        <v>333</v>
      </c>
      <c r="F319" s="53" t="s">
        <v>1240</v>
      </c>
      <c r="G319" s="31">
        <v>2804</v>
      </c>
      <c r="H319" s="31" t="s">
        <v>160</v>
      </c>
      <c r="I319" s="38">
        <v>1120</v>
      </c>
    </row>
    <row r="320" spans="1:10" x14ac:dyDescent="0.35">
      <c r="A320" s="31">
        <v>159.5</v>
      </c>
      <c r="B320" s="19"/>
      <c r="C320" s="19" t="s">
        <v>22</v>
      </c>
      <c r="D320" s="37">
        <v>45899</v>
      </c>
      <c r="E320" s="31" t="s">
        <v>333</v>
      </c>
      <c r="F320" s="53" t="s">
        <v>1240</v>
      </c>
      <c r="G320" s="31">
        <v>2804</v>
      </c>
      <c r="H320" s="31" t="s">
        <v>160</v>
      </c>
      <c r="J320" s="38">
        <v>1120</v>
      </c>
    </row>
    <row r="321" spans="1:10" x14ac:dyDescent="0.35">
      <c r="A321" s="31">
        <v>160</v>
      </c>
      <c r="B321" s="19" t="s">
        <v>17</v>
      </c>
      <c r="C321" s="19"/>
      <c r="D321" s="37">
        <v>45899</v>
      </c>
      <c r="E321" s="31" t="s">
        <v>334</v>
      </c>
      <c r="F321" s="31" t="s">
        <v>225</v>
      </c>
      <c r="G321" s="31">
        <v>2618</v>
      </c>
      <c r="H321" s="31" t="s">
        <v>160</v>
      </c>
      <c r="I321" s="38">
        <v>0</v>
      </c>
    </row>
    <row r="322" spans="1:10" x14ac:dyDescent="0.35">
      <c r="A322" s="31">
        <v>160.5</v>
      </c>
      <c r="B322" s="19"/>
      <c r="C322" s="19" t="s">
        <v>22</v>
      </c>
      <c r="D322" s="37">
        <v>45899</v>
      </c>
      <c r="E322" s="31" t="s">
        <v>334</v>
      </c>
      <c r="F322" s="31" t="s">
        <v>225</v>
      </c>
      <c r="G322" s="31">
        <v>2618</v>
      </c>
      <c r="H322" s="31" t="s">
        <v>160</v>
      </c>
      <c r="J322" s="38">
        <v>0</v>
      </c>
    </row>
    <row r="323" spans="1:10" x14ac:dyDescent="0.35">
      <c r="A323" s="31">
        <v>161</v>
      </c>
      <c r="B323" s="19" t="s">
        <v>17</v>
      </c>
      <c r="C323" s="19"/>
      <c r="D323" s="37">
        <v>45899</v>
      </c>
      <c r="E323" s="31" t="s">
        <v>335</v>
      </c>
      <c r="F323" s="31" t="s">
        <v>225</v>
      </c>
      <c r="G323" s="31">
        <v>2618</v>
      </c>
      <c r="H323" s="31" t="s">
        <v>160</v>
      </c>
      <c r="I323" s="38">
        <v>0</v>
      </c>
    </row>
    <row r="324" spans="1:10" x14ac:dyDescent="0.35">
      <c r="A324" s="31">
        <v>161.5</v>
      </c>
      <c r="B324" s="19"/>
      <c r="C324" s="19" t="s">
        <v>22</v>
      </c>
      <c r="D324" s="37">
        <v>45899</v>
      </c>
      <c r="E324" s="31" t="s">
        <v>335</v>
      </c>
      <c r="F324" s="31" t="s">
        <v>225</v>
      </c>
      <c r="G324" s="31">
        <v>2618</v>
      </c>
      <c r="H324" s="31" t="s">
        <v>160</v>
      </c>
      <c r="J324" s="38">
        <v>0</v>
      </c>
    </row>
    <row r="325" spans="1:10" x14ac:dyDescent="0.35">
      <c r="A325" s="31">
        <v>162</v>
      </c>
      <c r="B325" s="19" t="s">
        <v>17</v>
      </c>
      <c r="C325" s="19"/>
      <c r="D325" s="37">
        <v>45899</v>
      </c>
      <c r="E325" s="31" t="s">
        <v>336</v>
      </c>
      <c r="F325" s="31" t="s">
        <v>337</v>
      </c>
      <c r="G325" s="31">
        <v>3389</v>
      </c>
      <c r="H325" s="31" t="s">
        <v>160</v>
      </c>
      <c r="I325" s="38">
        <v>0</v>
      </c>
    </row>
    <row r="326" spans="1:10" x14ac:dyDescent="0.35">
      <c r="A326" s="31">
        <v>162.5</v>
      </c>
      <c r="B326" s="19"/>
      <c r="C326" s="19" t="s">
        <v>22</v>
      </c>
      <c r="D326" s="37">
        <v>45899</v>
      </c>
      <c r="E326" s="31" t="s">
        <v>336</v>
      </c>
      <c r="F326" s="31" t="s">
        <v>337</v>
      </c>
      <c r="G326" s="31">
        <v>3389</v>
      </c>
      <c r="H326" s="31" t="s">
        <v>160</v>
      </c>
      <c r="J326" s="38">
        <v>0</v>
      </c>
    </row>
    <row r="327" spans="1:10" x14ac:dyDescent="0.35">
      <c r="A327" s="31">
        <v>163</v>
      </c>
      <c r="B327" s="19" t="s">
        <v>17</v>
      </c>
      <c r="C327" s="19"/>
      <c r="D327" s="37">
        <v>45899</v>
      </c>
      <c r="E327" s="31" t="s">
        <v>338</v>
      </c>
      <c r="F327" s="31" t="s">
        <v>337</v>
      </c>
      <c r="G327" s="31">
        <v>3389</v>
      </c>
      <c r="H327" s="31" t="s">
        <v>160</v>
      </c>
      <c r="I327" s="38">
        <v>0</v>
      </c>
    </row>
    <row r="328" spans="1:10" x14ac:dyDescent="0.35">
      <c r="A328" s="31">
        <v>163.5</v>
      </c>
      <c r="B328" s="19"/>
      <c r="C328" s="19" t="s">
        <v>22</v>
      </c>
      <c r="D328" s="37">
        <v>45899</v>
      </c>
      <c r="E328" s="31" t="s">
        <v>338</v>
      </c>
      <c r="F328" s="31" t="s">
        <v>337</v>
      </c>
      <c r="G328" s="31">
        <v>3389</v>
      </c>
      <c r="H328" s="31" t="s">
        <v>160</v>
      </c>
      <c r="J328" s="38">
        <v>0</v>
      </c>
    </row>
    <row r="329" spans="1:10" x14ac:dyDescent="0.35">
      <c r="A329" s="31">
        <v>164</v>
      </c>
      <c r="B329" s="19" t="s">
        <v>17</v>
      </c>
      <c r="C329" s="19"/>
      <c r="D329" s="37">
        <v>45899</v>
      </c>
      <c r="E329" s="31" t="s">
        <v>339</v>
      </c>
      <c r="F329" s="31" t="s">
        <v>337</v>
      </c>
      <c r="G329" s="31">
        <v>3389</v>
      </c>
      <c r="H329" s="31" t="s">
        <v>160</v>
      </c>
      <c r="I329" s="38">
        <v>0</v>
      </c>
    </row>
    <row r="330" spans="1:10" x14ac:dyDescent="0.35">
      <c r="A330" s="31">
        <v>164.5</v>
      </c>
      <c r="B330" s="19"/>
      <c r="C330" s="19" t="s">
        <v>22</v>
      </c>
      <c r="D330" s="37">
        <v>45899</v>
      </c>
      <c r="E330" s="31" t="s">
        <v>339</v>
      </c>
      <c r="F330" s="31" t="s">
        <v>337</v>
      </c>
      <c r="G330" s="31">
        <v>3389</v>
      </c>
      <c r="H330" s="31" t="s">
        <v>160</v>
      </c>
      <c r="J330" s="38">
        <v>0</v>
      </c>
    </row>
    <row r="331" spans="1:10" x14ac:dyDescent="0.35">
      <c r="A331" s="31">
        <v>165</v>
      </c>
      <c r="B331" s="19" t="s">
        <v>17</v>
      </c>
      <c r="C331" s="19"/>
      <c r="D331" s="37">
        <v>45899</v>
      </c>
      <c r="E331" s="31" t="s">
        <v>340</v>
      </c>
      <c r="F331" s="31" t="s">
        <v>337</v>
      </c>
      <c r="G331" s="31">
        <v>3389</v>
      </c>
      <c r="H331" s="31" t="s">
        <v>160</v>
      </c>
      <c r="I331" s="38">
        <v>0</v>
      </c>
    </row>
    <row r="332" spans="1:10" x14ac:dyDescent="0.35">
      <c r="A332" s="31">
        <v>165.5</v>
      </c>
      <c r="B332" s="19"/>
      <c r="C332" s="19" t="s">
        <v>22</v>
      </c>
      <c r="D332" s="37">
        <v>45899</v>
      </c>
      <c r="E332" s="31" t="s">
        <v>340</v>
      </c>
      <c r="F332" s="31" t="s">
        <v>337</v>
      </c>
      <c r="G332" s="31">
        <v>3389</v>
      </c>
      <c r="H332" s="31" t="s">
        <v>160</v>
      </c>
      <c r="J332" s="38">
        <v>0</v>
      </c>
    </row>
    <row r="333" spans="1:10" x14ac:dyDescent="0.35">
      <c r="A333" s="31">
        <v>166</v>
      </c>
      <c r="B333" s="19" t="s">
        <v>17</v>
      </c>
      <c r="C333" s="19"/>
      <c r="D333" s="37">
        <v>45899</v>
      </c>
      <c r="E333" s="31" t="s">
        <v>341</v>
      </c>
      <c r="F333" s="31" t="s">
        <v>337</v>
      </c>
      <c r="G333" s="31">
        <v>3389</v>
      </c>
      <c r="H333" s="31" t="s">
        <v>160</v>
      </c>
      <c r="I333" s="38">
        <v>0</v>
      </c>
    </row>
    <row r="334" spans="1:10" x14ac:dyDescent="0.35">
      <c r="A334" s="31">
        <v>166.5</v>
      </c>
      <c r="B334" s="19"/>
      <c r="C334" s="19" t="s">
        <v>22</v>
      </c>
      <c r="D334" s="37">
        <v>45899</v>
      </c>
      <c r="E334" s="31" t="s">
        <v>341</v>
      </c>
      <c r="F334" s="31" t="s">
        <v>337</v>
      </c>
      <c r="G334" s="31">
        <v>3389</v>
      </c>
      <c r="H334" s="31" t="s">
        <v>160</v>
      </c>
      <c r="J334" s="38">
        <v>0</v>
      </c>
    </row>
    <row r="335" spans="1:10" x14ac:dyDescent="0.35">
      <c r="A335" s="31">
        <v>167</v>
      </c>
      <c r="B335" s="19" t="s">
        <v>17</v>
      </c>
      <c r="C335" s="19"/>
      <c r="D335" s="37">
        <v>45899</v>
      </c>
      <c r="E335" s="31" t="s">
        <v>342</v>
      </c>
      <c r="F335" s="31" t="s">
        <v>343</v>
      </c>
      <c r="G335" s="31">
        <v>571</v>
      </c>
      <c r="H335" s="31" t="s">
        <v>160</v>
      </c>
      <c r="I335" s="38">
        <v>0</v>
      </c>
    </row>
    <row r="336" spans="1:10" x14ac:dyDescent="0.35">
      <c r="A336" s="31">
        <v>167.5</v>
      </c>
      <c r="B336" s="19"/>
      <c r="C336" s="19" t="s">
        <v>22</v>
      </c>
      <c r="D336" s="37">
        <v>45899</v>
      </c>
      <c r="E336" s="31" t="s">
        <v>342</v>
      </c>
      <c r="F336" s="31" t="s">
        <v>343</v>
      </c>
      <c r="G336" s="31">
        <v>571</v>
      </c>
      <c r="H336" s="31" t="s">
        <v>160</v>
      </c>
      <c r="J336" s="38">
        <v>0</v>
      </c>
    </row>
    <row r="337" spans="1:10" x14ac:dyDescent="0.35">
      <c r="A337" s="31">
        <v>168</v>
      </c>
      <c r="B337" s="19" t="s">
        <v>17</v>
      </c>
      <c r="C337" s="19"/>
      <c r="D337" s="37">
        <v>45899</v>
      </c>
      <c r="E337" s="31" t="s">
        <v>344</v>
      </c>
      <c r="F337" s="31" t="s">
        <v>343</v>
      </c>
      <c r="G337" s="31">
        <v>571</v>
      </c>
      <c r="H337" s="31" t="s">
        <v>160</v>
      </c>
      <c r="I337" s="38">
        <v>0</v>
      </c>
    </row>
    <row r="338" spans="1:10" x14ac:dyDescent="0.35">
      <c r="A338" s="31">
        <v>168.5</v>
      </c>
      <c r="B338" s="19"/>
      <c r="C338" s="19" t="s">
        <v>22</v>
      </c>
      <c r="D338" s="37">
        <v>45899</v>
      </c>
      <c r="E338" s="31" t="s">
        <v>344</v>
      </c>
      <c r="F338" s="31" t="s">
        <v>343</v>
      </c>
      <c r="G338" s="31">
        <v>571</v>
      </c>
      <c r="H338" s="31" t="s">
        <v>160</v>
      </c>
      <c r="J338" s="38">
        <v>0</v>
      </c>
    </row>
    <row r="339" spans="1:10" x14ac:dyDescent="0.35">
      <c r="A339" s="31">
        <v>169</v>
      </c>
      <c r="B339" s="19" t="s">
        <v>17</v>
      </c>
      <c r="C339" s="19"/>
      <c r="D339" s="37">
        <v>45899</v>
      </c>
      <c r="E339" s="31" t="s">
        <v>345</v>
      </c>
      <c r="F339" s="31" t="s">
        <v>346</v>
      </c>
      <c r="G339" s="31">
        <v>3395</v>
      </c>
      <c r="H339" s="31" t="s">
        <v>160</v>
      </c>
      <c r="I339" s="38">
        <v>0</v>
      </c>
    </row>
    <row r="340" spans="1:10" x14ac:dyDescent="0.35">
      <c r="A340" s="31">
        <v>169.5</v>
      </c>
      <c r="B340" s="19"/>
      <c r="C340" s="19" t="s">
        <v>22</v>
      </c>
      <c r="D340" s="37">
        <v>45899</v>
      </c>
      <c r="E340" s="31" t="s">
        <v>345</v>
      </c>
      <c r="F340" s="31" t="s">
        <v>346</v>
      </c>
      <c r="G340" s="31">
        <v>3395</v>
      </c>
      <c r="H340" s="31" t="s">
        <v>160</v>
      </c>
      <c r="J340" s="38">
        <v>0</v>
      </c>
    </row>
    <row r="341" spans="1:10" x14ac:dyDescent="0.35">
      <c r="A341" s="31">
        <v>170</v>
      </c>
      <c r="B341" s="19" t="s">
        <v>17</v>
      </c>
      <c r="C341" s="19"/>
      <c r="D341" s="37">
        <v>45899</v>
      </c>
      <c r="E341" s="31" t="s">
        <v>347</v>
      </c>
      <c r="F341" s="31" t="s">
        <v>346</v>
      </c>
      <c r="G341" s="31">
        <v>3395</v>
      </c>
      <c r="H341" s="31" t="s">
        <v>160</v>
      </c>
      <c r="I341" s="38">
        <v>0</v>
      </c>
    </row>
    <row r="342" spans="1:10" x14ac:dyDescent="0.35">
      <c r="A342" s="31">
        <v>170.5</v>
      </c>
      <c r="B342" s="19"/>
      <c r="C342" s="19" t="s">
        <v>22</v>
      </c>
      <c r="D342" s="37">
        <v>45899</v>
      </c>
      <c r="E342" s="31" t="s">
        <v>347</v>
      </c>
      <c r="F342" s="31" t="s">
        <v>346</v>
      </c>
      <c r="G342" s="31">
        <v>3395</v>
      </c>
      <c r="H342" s="31" t="s">
        <v>160</v>
      </c>
      <c r="J342" s="38">
        <v>0</v>
      </c>
    </row>
    <row r="343" spans="1:10" x14ac:dyDescent="0.35">
      <c r="A343" s="31">
        <v>171</v>
      </c>
      <c r="B343" s="19" t="s">
        <v>17</v>
      </c>
      <c r="C343" s="19"/>
      <c r="D343" s="37">
        <v>45899</v>
      </c>
      <c r="E343" s="31" t="s">
        <v>348</v>
      </c>
      <c r="F343" s="31" t="s">
        <v>349</v>
      </c>
      <c r="G343" s="31">
        <v>576</v>
      </c>
      <c r="H343" s="31" t="s">
        <v>160</v>
      </c>
      <c r="I343" s="38">
        <v>0</v>
      </c>
    </row>
    <row r="344" spans="1:10" x14ac:dyDescent="0.35">
      <c r="A344" s="31">
        <v>171.5</v>
      </c>
      <c r="B344" s="19"/>
      <c r="C344" s="19" t="s">
        <v>22</v>
      </c>
      <c r="D344" s="37">
        <v>45899</v>
      </c>
      <c r="E344" s="31" t="s">
        <v>348</v>
      </c>
      <c r="F344" s="31" t="s">
        <v>349</v>
      </c>
      <c r="G344" s="31">
        <v>576</v>
      </c>
      <c r="H344" s="31" t="s">
        <v>160</v>
      </c>
      <c r="J344" s="38">
        <v>0</v>
      </c>
    </row>
    <row r="345" spans="1:10" x14ac:dyDescent="0.35">
      <c r="A345" s="31">
        <v>172</v>
      </c>
      <c r="B345" s="19" t="s">
        <v>17</v>
      </c>
      <c r="C345" s="19"/>
      <c r="D345" s="37">
        <v>45899</v>
      </c>
      <c r="E345" s="31" t="s">
        <v>350</v>
      </c>
      <c r="F345" s="31" t="s">
        <v>349</v>
      </c>
      <c r="G345" s="31">
        <v>576</v>
      </c>
      <c r="H345" s="31" t="s">
        <v>160</v>
      </c>
      <c r="I345" s="38">
        <v>0</v>
      </c>
    </row>
    <row r="346" spans="1:10" x14ac:dyDescent="0.35">
      <c r="A346" s="31">
        <v>172.5</v>
      </c>
      <c r="B346" s="19"/>
      <c r="C346" s="19" t="s">
        <v>22</v>
      </c>
      <c r="D346" s="37">
        <v>45899</v>
      </c>
      <c r="E346" s="31" t="s">
        <v>350</v>
      </c>
      <c r="F346" s="31" t="s">
        <v>349</v>
      </c>
      <c r="G346" s="31">
        <v>576</v>
      </c>
      <c r="H346" s="31" t="s">
        <v>160</v>
      </c>
      <c r="J346" s="38">
        <v>0</v>
      </c>
    </row>
    <row r="347" spans="1:10" x14ac:dyDescent="0.35">
      <c r="A347" s="31">
        <v>173</v>
      </c>
      <c r="B347" s="19" t="s">
        <v>17</v>
      </c>
      <c r="C347" s="19"/>
      <c r="D347" s="37">
        <v>45899</v>
      </c>
      <c r="E347" s="31" t="s">
        <v>351</v>
      </c>
      <c r="F347" s="31" t="s">
        <v>352</v>
      </c>
      <c r="G347" s="31">
        <v>3339</v>
      </c>
      <c r="H347" s="31" t="s">
        <v>160</v>
      </c>
      <c r="I347" s="38">
        <v>0</v>
      </c>
    </row>
    <row r="348" spans="1:10" x14ac:dyDescent="0.35">
      <c r="A348" s="31">
        <v>173.5</v>
      </c>
      <c r="B348" s="19"/>
      <c r="C348" s="19" t="s">
        <v>22</v>
      </c>
      <c r="D348" s="37">
        <v>45899</v>
      </c>
      <c r="E348" s="31" t="s">
        <v>351</v>
      </c>
      <c r="F348" s="31" t="s">
        <v>352</v>
      </c>
      <c r="G348" s="31">
        <v>3339</v>
      </c>
      <c r="H348" s="31" t="s">
        <v>160</v>
      </c>
      <c r="J348" s="38">
        <v>0</v>
      </c>
    </row>
    <row r="349" spans="1:10" x14ac:dyDescent="0.35">
      <c r="A349" s="31">
        <v>174</v>
      </c>
      <c r="B349" s="19" t="s">
        <v>17</v>
      </c>
      <c r="C349" s="19"/>
      <c r="D349" s="37">
        <v>45899</v>
      </c>
      <c r="E349" s="31" t="s">
        <v>353</v>
      </c>
      <c r="F349" s="31" t="s">
        <v>352</v>
      </c>
      <c r="G349" s="31">
        <v>3339</v>
      </c>
      <c r="H349" s="31" t="s">
        <v>160</v>
      </c>
      <c r="I349" s="38">
        <v>343.59</v>
      </c>
    </row>
    <row r="350" spans="1:10" x14ac:dyDescent="0.35">
      <c r="A350" s="31">
        <v>174.5</v>
      </c>
      <c r="B350" s="19"/>
      <c r="C350" s="19" t="s">
        <v>22</v>
      </c>
      <c r="D350" s="37">
        <v>45899</v>
      </c>
      <c r="E350" s="31" t="s">
        <v>353</v>
      </c>
      <c r="F350" s="31" t="s">
        <v>352</v>
      </c>
      <c r="G350" s="31">
        <v>3339</v>
      </c>
      <c r="H350" s="31" t="s">
        <v>160</v>
      </c>
      <c r="J350" s="38">
        <v>343.59</v>
      </c>
    </row>
    <row r="351" spans="1:10" x14ac:dyDescent="0.35">
      <c r="A351" s="31">
        <v>175</v>
      </c>
      <c r="B351" s="19" t="s">
        <v>17</v>
      </c>
      <c r="C351" s="19"/>
      <c r="D351" s="37">
        <v>45899</v>
      </c>
      <c r="E351" s="31" t="s">
        <v>354</v>
      </c>
      <c r="F351" s="31" t="s">
        <v>352</v>
      </c>
      <c r="G351" s="31">
        <v>3339</v>
      </c>
      <c r="H351" s="31" t="s">
        <v>160</v>
      </c>
      <c r="I351" s="38">
        <v>0</v>
      </c>
    </row>
    <row r="352" spans="1:10" x14ac:dyDescent="0.35">
      <c r="A352" s="31">
        <v>175.5</v>
      </c>
      <c r="B352" s="19"/>
      <c r="C352" s="19" t="s">
        <v>22</v>
      </c>
      <c r="D352" s="37">
        <v>45899</v>
      </c>
      <c r="E352" s="31" t="s">
        <v>354</v>
      </c>
      <c r="F352" s="31" t="s">
        <v>352</v>
      </c>
      <c r="G352" s="31">
        <v>3339</v>
      </c>
      <c r="H352" s="31" t="s">
        <v>160</v>
      </c>
      <c r="J352" s="38">
        <v>0</v>
      </c>
    </row>
    <row r="353" spans="1:10" x14ac:dyDescent="0.35">
      <c r="A353" s="31">
        <v>176</v>
      </c>
      <c r="B353" s="19" t="s">
        <v>17</v>
      </c>
      <c r="C353" s="19"/>
      <c r="D353" s="37">
        <v>45899</v>
      </c>
      <c r="E353" s="31" t="s">
        <v>355</v>
      </c>
      <c r="F353" s="31" t="s">
        <v>352</v>
      </c>
      <c r="G353" s="31">
        <v>3339</v>
      </c>
      <c r="H353" s="31" t="s">
        <v>160</v>
      </c>
      <c r="I353" s="38">
        <v>0</v>
      </c>
    </row>
    <row r="354" spans="1:10" x14ac:dyDescent="0.35">
      <c r="A354" s="31">
        <v>176.5</v>
      </c>
      <c r="B354" s="19"/>
      <c r="C354" s="19" t="s">
        <v>22</v>
      </c>
      <c r="D354" s="37">
        <v>45899</v>
      </c>
      <c r="E354" s="31" t="s">
        <v>355</v>
      </c>
      <c r="F354" s="31" t="s">
        <v>352</v>
      </c>
      <c r="G354" s="31">
        <v>3339</v>
      </c>
      <c r="H354" s="31" t="s">
        <v>160</v>
      </c>
      <c r="J354" s="38">
        <v>0</v>
      </c>
    </row>
    <row r="355" spans="1:10" x14ac:dyDescent="0.35">
      <c r="A355" s="31">
        <v>177</v>
      </c>
      <c r="B355" s="19" t="s">
        <v>17</v>
      </c>
      <c r="C355" s="19"/>
      <c r="D355" s="37">
        <v>45899</v>
      </c>
      <c r="E355" s="31" t="s">
        <v>356</v>
      </c>
      <c r="F355" s="31" t="s">
        <v>352</v>
      </c>
      <c r="G355" s="31">
        <v>3339</v>
      </c>
      <c r="H355" s="31" t="s">
        <v>160</v>
      </c>
      <c r="I355" s="38">
        <v>0</v>
      </c>
    </row>
    <row r="356" spans="1:10" x14ac:dyDescent="0.35">
      <c r="A356" s="31">
        <v>177.5</v>
      </c>
      <c r="B356" s="19"/>
      <c r="C356" s="19" t="s">
        <v>22</v>
      </c>
      <c r="D356" s="37">
        <v>45899</v>
      </c>
      <c r="E356" s="31" t="s">
        <v>356</v>
      </c>
      <c r="F356" s="31" t="s">
        <v>352</v>
      </c>
      <c r="G356" s="31">
        <v>3339</v>
      </c>
      <c r="H356" s="31" t="s">
        <v>160</v>
      </c>
      <c r="J356" s="38">
        <v>0</v>
      </c>
    </row>
    <row r="357" spans="1:10" x14ac:dyDescent="0.35">
      <c r="A357" s="31">
        <v>178</v>
      </c>
      <c r="B357" s="19" t="s">
        <v>17</v>
      </c>
      <c r="C357" s="19"/>
      <c r="D357" s="37">
        <v>45899</v>
      </c>
      <c r="E357" s="31" t="s">
        <v>357</v>
      </c>
      <c r="F357" s="31" t="s">
        <v>52</v>
      </c>
      <c r="G357" s="31">
        <v>3323</v>
      </c>
      <c r="H357" s="31" t="s">
        <v>160</v>
      </c>
      <c r="I357" s="38">
        <v>0</v>
      </c>
    </row>
    <row r="358" spans="1:10" x14ac:dyDescent="0.35">
      <c r="A358" s="31">
        <v>178.5</v>
      </c>
      <c r="B358" s="19"/>
      <c r="C358" s="19" t="s">
        <v>22</v>
      </c>
      <c r="D358" s="37">
        <v>45899</v>
      </c>
      <c r="E358" s="31" t="s">
        <v>357</v>
      </c>
      <c r="F358" s="31" t="s">
        <v>52</v>
      </c>
      <c r="G358" s="31">
        <v>3323</v>
      </c>
      <c r="H358" s="31" t="s">
        <v>160</v>
      </c>
      <c r="J358" s="38">
        <v>0</v>
      </c>
    </row>
    <row r="359" spans="1:10" x14ac:dyDescent="0.35">
      <c r="A359" s="31">
        <v>179</v>
      </c>
      <c r="B359" s="19" t="s">
        <v>17</v>
      </c>
      <c r="C359" s="19"/>
      <c r="D359" s="37">
        <v>45899</v>
      </c>
      <c r="E359" s="31" t="s">
        <v>358</v>
      </c>
      <c r="F359" s="31" t="s">
        <v>52</v>
      </c>
      <c r="G359" s="31">
        <v>3323</v>
      </c>
      <c r="H359" s="31" t="s">
        <v>160</v>
      </c>
      <c r="I359" s="38">
        <v>0</v>
      </c>
    </row>
    <row r="360" spans="1:10" x14ac:dyDescent="0.35">
      <c r="A360" s="31">
        <v>179.5</v>
      </c>
      <c r="B360" s="19"/>
      <c r="C360" s="19" t="s">
        <v>22</v>
      </c>
      <c r="D360" s="37">
        <v>45899</v>
      </c>
      <c r="E360" s="31" t="s">
        <v>358</v>
      </c>
      <c r="F360" s="31" t="s">
        <v>52</v>
      </c>
      <c r="G360" s="31">
        <v>3323</v>
      </c>
      <c r="H360" s="31" t="s">
        <v>160</v>
      </c>
      <c r="J360" s="38">
        <v>0</v>
      </c>
    </row>
    <row r="361" spans="1:10" x14ac:dyDescent="0.35">
      <c r="A361" s="31">
        <v>180</v>
      </c>
      <c r="B361" s="19" t="s">
        <v>17</v>
      </c>
      <c r="C361" s="19"/>
      <c r="D361" s="37">
        <v>45899</v>
      </c>
      <c r="E361" s="31" t="s">
        <v>359</v>
      </c>
      <c r="F361" s="31" t="s">
        <v>52</v>
      </c>
      <c r="G361" s="31">
        <v>3323</v>
      </c>
      <c r="H361" s="31" t="s">
        <v>160</v>
      </c>
      <c r="I361" s="38">
        <v>0</v>
      </c>
    </row>
    <row r="362" spans="1:10" x14ac:dyDescent="0.35">
      <c r="A362" s="31">
        <v>180.5</v>
      </c>
      <c r="B362" s="19"/>
      <c r="C362" s="19" t="s">
        <v>22</v>
      </c>
      <c r="D362" s="37">
        <v>45899</v>
      </c>
      <c r="E362" s="31" t="s">
        <v>359</v>
      </c>
      <c r="F362" s="31" t="s">
        <v>52</v>
      </c>
      <c r="G362" s="31">
        <v>3323</v>
      </c>
      <c r="H362" s="31" t="s">
        <v>160</v>
      </c>
      <c r="J362" s="38">
        <v>0</v>
      </c>
    </row>
    <row r="363" spans="1:10" x14ac:dyDescent="0.35">
      <c r="A363" s="31">
        <v>181</v>
      </c>
      <c r="B363" s="19" t="s">
        <v>17</v>
      </c>
      <c r="C363" s="19"/>
      <c r="D363" s="37">
        <v>45899</v>
      </c>
      <c r="E363" s="31" t="s">
        <v>360</v>
      </c>
      <c r="F363" s="31" t="s">
        <v>361</v>
      </c>
      <c r="G363" s="31">
        <v>3536</v>
      </c>
      <c r="H363" s="31" t="s">
        <v>160</v>
      </c>
      <c r="I363" s="38">
        <v>0</v>
      </c>
    </row>
    <row r="364" spans="1:10" x14ac:dyDescent="0.35">
      <c r="A364" s="31">
        <v>181.5</v>
      </c>
      <c r="B364" s="19"/>
      <c r="C364" s="19" t="s">
        <v>22</v>
      </c>
      <c r="D364" s="37">
        <v>45899</v>
      </c>
      <c r="E364" s="31" t="s">
        <v>360</v>
      </c>
      <c r="F364" s="31" t="s">
        <v>361</v>
      </c>
      <c r="G364" s="31">
        <v>3536</v>
      </c>
      <c r="H364" s="31" t="s">
        <v>160</v>
      </c>
      <c r="J364" s="38">
        <v>0</v>
      </c>
    </row>
    <row r="365" spans="1:10" x14ac:dyDescent="0.35">
      <c r="A365" s="31">
        <v>182</v>
      </c>
      <c r="B365" s="19" t="s">
        <v>17</v>
      </c>
      <c r="C365" s="19"/>
      <c r="D365" s="37">
        <v>45899</v>
      </c>
      <c r="E365" s="31" t="s">
        <v>362</v>
      </c>
      <c r="F365" s="31" t="s">
        <v>363</v>
      </c>
      <c r="G365" s="31">
        <v>3537</v>
      </c>
      <c r="H365" s="31" t="s">
        <v>160</v>
      </c>
      <c r="I365" s="38">
        <v>0</v>
      </c>
    </row>
    <row r="366" spans="1:10" x14ac:dyDescent="0.35">
      <c r="A366" s="31">
        <v>182.5</v>
      </c>
      <c r="B366" s="19"/>
      <c r="C366" s="19" t="s">
        <v>22</v>
      </c>
      <c r="D366" s="37">
        <v>45899</v>
      </c>
      <c r="E366" s="31" t="s">
        <v>362</v>
      </c>
      <c r="F366" s="31" t="s">
        <v>363</v>
      </c>
      <c r="G366" s="31">
        <v>3537</v>
      </c>
      <c r="H366" s="31" t="s">
        <v>160</v>
      </c>
      <c r="J366" s="38">
        <v>0</v>
      </c>
    </row>
    <row r="367" spans="1:10" x14ac:dyDescent="0.35">
      <c r="A367" s="31">
        <v>183</v>
      </c>
      <c r="B367" s="19" t="s">
        <v>17</v>
      </c>
      <c r="C367" s="19"/>
      <c r="D367" s="37">
        <v>45899</v>
      </c>
      <c r="E367" s="31" t="s">
        <v>364</v>
      </c>
      <c r="F367" s="31" t="s">
        <v>337</v>
      </c>
      <c r="G367" s="31">
        <v>3389</v>
      </c>
      <c r="H367" s="31" t="s">
        <v>160</v>
      </c>
      <c r="I367" s="38">
        <v>0</v>
      </c>
    </row>
    <row r="368" spans="1:10" x14ac:dyDescent="0.35">
      <c r="A368" s="31">
        <v>183.5</v>
      </c>
      <c r="B368" s="19"/>
      <c r="C368" s="19" t="s">
        <v>22</v>
      </c>
      <c r="D368" s="37">
        <v>45899</v>
      </c>
      <c r="E368" s="31" t="s">
        <v>364</v>
      </c>
      <c r="F368" s="31" t="s">
        <v>337</v>
      </c>
      <c r="G368" s="31">
        <v>3389</v>
      </c>
      <c r="H368" s="31" t="s">
        <v>160</v>
      </c>
      <c r="J368" s="38">
        <v>0</v>
      </c>
    </row>
    <row r="369" spans="1:10" x14ac:dyDescent="0.35">
      <c r="A369" s="31">
        <v>184</v>
      </c>
      <c r="B369" s="19" t="s">
        <v>17</v>
      </c>
      <c r="C369" s="19"/>
      <c r="D369" s="37">
        <v>45899</v>
      </c>
      <c r="E369" s="31" t="s">
        <v>365</v>
      </c>
      <c r="F369" s="31" t="s">
        <v>337</v>
      </c>
      <c r="G369" s="31">
        <v>3389</v>
      </c>
      <c r="H369" s="31" t="s">
        <v>160</v>
      </c>
      <c r="I369" s="38">
        <v>0</v>
      </c>
    </row>
    <row r="370" spans="1:10" x14ac:dyDescent="0.35">
      <c r="A370" s="31">
        <v>184.5</v>
      </c>
      <c r="B370" s="19"/>
      <c r="C370" s="19" t="s">
        <v>22</v>
      </c>
      <c r="D370" s="37">
        <v>45899</v>
      </c>
      <c r="E370" s="31" t="s">
        <v>365</v>
      </c>
      <c r="F370" s="31" t="s">
        <v>337</v>
      </c>
      <c r="G370" s="31">
        <v>3389</v>
      </c>
      <c r="H370" s="31" t="s">
        <v>160</v>
      </c>
      <c r="J370" s="38">
        <v>0</v>
      </c>
    </row>
    <row r="371" spans="1:10" x14ac:dyDescent="0.35">
      <c r="A371" s="31">
        <v>185</v>
      </c>
      <c r="B371" s="19" t="s">
        <v>17</v>
      </c>
      <c r="C371" s="19"/>
      <c r="D371" s="37">
        <v>45899</v>
      </c>
      <c r="E371" s="31" t="s">
        <v>366</v>
      </c>
      <c r="F371" s="31" t="s">
        <v>337</v>
      </c>
      <c r="G371" s="31">
        <v>3389</v>
      </c>
      <c r="H371" s="31" t="s">
        <v>160</v>
      </c>
      <c r="I371" s="38">
        <v>0</v>
      </c>
    </row>
    <row r="372" spans="1:10" x14ac:dyDescent="0.35">
      <c r="A372" s="31">
        <v>185.5</v>
      </c>
      <c r="B372" s="19"/>
      <c r="C372" s="19" t="s">
        <v>22</v>
      </c>
      <c r="D372" s="37">
        <v>45899</v>
      </c>
      <c r="E372" s="31" t="s">
        <v>366</v>
      </c>
      <c r="F372" s="31" t="s">
        <v>337</v>
      </c>
      <c r="G372" s="31">
        <v>3389</v>
      </c>
      <c r="H372" s="31" t="s">
        <v>160</v>
      </c>
      <c r="J372" s="38">
        <v>0</v>
      </c>
    </row>
    <row r="373" spans="1:10" x14ac:dyDescent="0.35">
      <c r="A373" s="31">
        <v>186</v>
      </c>
      <c r="B373" s="19" t="s">
        <v>17</v>
      </c>
      <c r="C373" s="19"/>
      <c r="D373" s="37">
        <v>45899</v>
      </c>
      <c r="E373" s="31" t="s">
        <v>367</v>
      </c>
      <c r="F373" s="31" t="s">
        <v>337</v>
      </c>
      <c r="G373" s="31">
        <v>3389</v>
      </c>
      <c r="H373" s="31" t="s">
        <v>160</v>
      </c>
      <c r="I373" s="38">
        <v>0</v>
      </c>
    </row>
    <row r="374" spans="1:10" x14ac:dyDescent="0.35">
      <c r="A374" s="31">
        <v>186.5</v>
      </c>
      <c r="B374" s="19"/>
      <c r="C374" s="19" t="s">
        <v>22</v>
      </c>
      <c r="D374" s="37">
        <v>45899</v>
      </c>
      <c r="E374" s="31" t="s">
        <v>367</v>
      </c>
      <c r="F374" s="31" t="s">
        <v>337</v>
      </c>
      <c r="G374" s="31">
        <v>3389</v>
      </c>
      <c r="H374" s="31" t="s">
        <v>160</v>
      </c>
      <c r="J374" s="38">
        <v>0</v>
      </c>
    </row>
    <row r="375" spans="1:10" x14ac:dyDescent="0.35">
      <c r="A375" s="31">
        <v>187</v>
      </c>
      <c r="B375" s="19" t="s">
        <v>17</v>
      </c>
      <c r="C375" s="19"/>
      <c r="D375" s="37">
        <v>45899</v>
      </c>
      <c r="E375" s="31" t="s">
        <v>368</v>
      </c>
      <c r="F375" s="31" t="s">
        <v>337</v>
      </c>
      <c r="G375" s="31">
        <v>3389</v>
      </c>
      <c r="H375" s="31" t="s">
        <v>160</v>
      </c>
      <c r="I375" s="38">
        <v>0</v>
      </c>
    </row>
    <row r="376" spans="1:10" x14ac:dyDescent="0.35">
      <c r="A376" s="31">
        <v>187.5</v>
      </c>
      <c r="B376" s="19"/>
      <c r="C376" s="19" t="s">
        <v>22</v>
      </c>
      <c r="D376" s="37">
        <v>45899</v>
      </c>
      <c r="E376" s="31" t="s">
        <v>368</v>
      </c>
      <c r="F376" s="31" t="s">
        <v>337</v>
      </c>
      <c r="G376" s="31">
        <v>3389</v>
      </c>
      <c r="H376" s="31" t="s">
        <v>160</v>
      </c>
      <c r="J376" s="38">
        <v>0</v>
      </c>
    </row>
    <row r="377" spans="1:10" x14ac:dyDescent="0.35">
      <c r="A377" s="31">
        <v>188</v>
      </c>
      <c r="B377" s="19" t="s">
        <v>17</v>
      </c>
      <c r="C377" s="19"/>
      <c r="D377" s="37">
        <v>45899</v>
      </c>
      <c r="E377" s="31" t="s">
        <v>369</v>
      </c>
      <c r="F377" s="31" t="s">
        <v>337</v>
      </c>
      <c r="G377" s="31">
        <v>3389</v>
      </c>
      <c r="H377" s="31" t="s">
        <v>160</v>
      </c>
      <c r="I377" s="38">
        <v>0</v>
      </c>
    </row>
    <row r="378" spans="1:10" x14ac:dyDescent="0.35">
      <c r="A378" s="31">
        <v>188.5</v>
      </c>
      <c r="B378" s="19"/>
      <c r="C378" s="19" t="s">
        <v>22</v>
      </c>
      <c r="D378" s="37">
        <v>45899</v>
      </c>
      <c r="E378" s="31" t="s">
        <v>369</v>
      </c>
      <c r="F378" s="31" t="s">
        <v>337</v>
      </c>
      <c r="G378" s="31">
        <v>3389</v>
      </c>
      <c r="H378" s="31" t="s">
        <v>160</v>
      </c>
      <c r="J378" s="38">
        <v>0</v>
      </c>
    </row>
    <row r="379" spans="1:10" x14ac:dyDescent="0.35">
      <c r="A379" s="31">
        <v>189</v>
      </c>
      <c r="B379" s="19" t="s">
        <v>17</v>
      </c>
      <c r="C379" s="19"/>
      <c r="D379" s="37">
        <v>45899</v>
      </c>
      <c r="E379" s="31">
        <v>34675</v>
      </c>
      <c r="F379" s="31" t="s">
        <v>370</v>
      </c>
      <c r="G379" s="31">
        <v>474</v>
      </c>
      <c r="H379" s="31" t="s">
        <v>160</v>
      </c>
      <c r="I379" s="38">
        <v>0</v>
      </c>
    </row>
    <row r="380" spans="1:10" x14ac:dyDescent="0.35">
      <c r="A380" s="31">
        <v>189.5</v>
      </c>
      <c r="B380" s="19"/>
      <c r="C380" s="19" t="s">
        <v>22</v>
      </c>
      <c r="D380" s="37">
        <v>45899</v>
      </c>
      <c r="E380" s="31">
        <v>34675</v>
      </c>
      <c r="F380" s="31" t="s">
        <v>370</v>
      </c>
      <c r="G380" s="31">
        <v>474</v>
      </c>
      <c r="H380" s="31" t="s">
        <v>160</v>
      </c>
      <c r="J380" s="38">
        <v>0</v>
      </c>
    </row>
    <row r="381" spans="1:10" x14ac:dyDescent="0.35">
      <c r="A381" s="31">
        <v>190</v>
      </c>
      <c r="B381" s="19" t="s">
        <v>17</v>
      </c>
      <c r="C381" s="19"/>
      <c r="D381" s="37">
        <v>45899</v>
      </c>
      <c r="E381" s="31" t="s">
        <v>371</v>
      </c>
      <c r="F381" s="31" t="s">
        <v>176</v>
      </c>
      <c r="G381" s="31">
        <v>2628</v>
      </c>
      <c r="H381" s="31" t="s">
        <v>160</v>
      </c>
      <c r="I381" s="38">
        <v>0</v>
      </c>
    </row>
    <row r="382" spans="1:10" x14ac:dyDescent="0.35">
      <c r="A382" s="31">
        <v>190.5</v>
      </c>
      <c r="B382" s="19"/>
      <c r="C382" s="19" t="s">
        <v>22</v>
      </c>
      <c r="D382" s="37">
        <v>45899</v>
      </c>
      <c r="E382" s="31" t="s">
        <v>371</v>
      </c>
      <c r="F382" s="31" t="s">
        <v>176</v>
      </c>
      <c r="G382" s="31">
        <v>2628</v>
      </c>
      <c r="H382" s="31" t="s">
        <v>160</v>
      </c>
      <c r="J382" s="38">
        <v>0</v>
      </c>
    </row>
    <row r="383" spans="1:10" x14ac:dyDescent="0.35">
      <c r="A383" s="31">
        <v>191</v>
      </c>
      <c r="B383" s="19" t="s">
        <v>17</v>
      </c>
      <c r="C383" s="19"/>
      <c r="D383" s="37">
        <v>45899</v>
      </c>
      <c r="E383" s="31" t="s">
        <v>372</v>
      </c>
      <c r="F383" s="31" t="s">
        <v>176</v>
      </c>
      <c r="G383" s="31">
        <v>2628</v>
      </c>
      <c r="H383" s="31" t="s">
        <v>160</v>
      </c>
      <c r="I383" s="38">
        <v>0</v>
      </c>
    </row>
    <row r="384" spans="1:10" x14ac:dyDescent="0.35">
      <c r="A384" s="31">
        <v>191.5</v>
      </c>
      <c r="B384" s="19"/>
      <c r="C384" s="19" t="s">
        <v>22</v>
      </c>
      <c r="D384" s="37">
        <v>45899</v>
      </c>
      <c r="E384" s="31" t="s">
        <v>372</v>
      </c>
      <c r="F384" s="31" t="s">
        <v>176</v>
      </c>
      <c r="G384" s="31">
        <v>2628</v>
      </c>
      <c r="H384" s="31" t="s">
        <v>160</v>
      </c>
      <c r="J384" s="38">
        <v>0</v>
      </c>
    </row>
    <row r="385" spans="1:10" x14ac:dyDescent="0.35">
      <c r="A385" s="31">
        <v>192</v>
      </c>
      <c r="B385" s="19" t="s">
        <v>17</v>
      </c>
      <c r="C385" s="19"/>
      <c r="D385" s="37">
        <v>45899</v>
      </c>
      <c r="E385" s="31" t="s">
        <v>373</v>
      </c>
      <c r="F385" s="31" t="s">
        <v>176</v>
      </c>
      <c r="G385" s="31">
        <v>2628</v>
      </c>
      <c r="H385" s="31" t="s">
        <v>160</v>
      </c>
      <c r="I385" s="38">
        <v>0</v>
      </c>
    </row>
    <row r="386" spans="1:10" x14ac:dyDescent="0.35">
      <c r="A386" s="31">
        <v>192.5</v>
      </c>
      <c r="B386" s="19"/>
      <c r="C386" s="19" t="s">
        <v>22</v>
      </c>
      <c r="D386" s="37">
        <v>45899</v>
      </c>
      <c r="E386" s="31" t="s">
        <v>373</v>
      </c>
      <c r="F386" s="31" t="s">
        <v>176</v>
      </c>
      <c r="G386" s="31">
        <v>2628</v>
      </c>
      <c r="H386" s="31" t="s">
        <v>160</v>
      </c>
      <c r="J386" s="38">
        <v>0</v>
      </c>
    </row>
    <row r="387" spans="1:10" x14ac:dyDescent="0.35">
      <c r="A387" s="31">
        <v>193</v>
      </c>
      <c r="B387" s="19" t="s">
        <v>17</v>
      </c>
      <c r="C387" s="19"/>
      <c r="D387" s="37">
        <v>45899</v>
      </c>
      <c r="E387" s="31" t="s">
        <v>374</v>
      </c>
      <c r="F387" s="31" t="s">
        <v>176</v>
      </c>
      <c r="G387" s="31">
        <v>2628</v>
      </c>
      <c r="H387" s="31" t="s">
        <v>160</v>
      </c>
      <c r="I387" s="38">
        <v>0</v>
      </c>
    </row>
    <row r="388" spans="1:10" x14ac:dyDescent="0.35">
      <c r="A388" s="31">
        <v>193.5</v>
      </c>
      <c r="B388" s="19"/>
      <c r="C388" s="19" t="s">
        <v>22</v>
      </c>
      <c r="D388" s="37">
        <v>45899</v>
      </c>
      <c r="E388" s="31" t="s">
        <v>374</v>
      </c>
      <c r="F388" s="31" t="s">
        <v>176</v>
      </c>
      <c r="G388" s="31">
        <v>2628</v>
      </c>
      <c r="H388" s="31" t="s">
        <v>160</v>
      </c>
      <c r="J388" s="38">
        <v>0</v>
      </c>
    </row>
    <row r="389" spans="1:10" x14ac:dyDescent="0.35">
      <c r="A389" s="31">
        <v>194</v>
      </c>
      <c r="B389" s="19" t="s">
        <v>17</v>
      </c>
      <c r="C389" s="19"/>
      <c r="D389" s="37">
        <v>45899</v>
      </c>
      <c r="E389" s="31" t="s">
        <v>375</v>
      </c>
      <c r="F389" s="31" t="s">
        <v>176</v>
      </c>
      <c r="G389" s="31">
        <v>2628</v>
      </c>
      <c r="H389" s="31" t="s">
        <v>160</v>
      </c>
      <c r="I389" s="38">
        <v>0</v>
      </c>
    </row>
    <row r="390" spans="1:10" x14ac:dyDescent="0.35">
      <c r="A390" s="31">
        <v>194.5</v>
      </c>
      <c r="B390" s="19"/>
      <c r="C390" s="19" t="s">
        <v>22</v>
      </c>
      <c r="D390" s="37">
        <v>45899</v>
      </c>
      <c r="E390" s="31" t="s">
        <v>375</v>
      </c>
      <c r="F390" s="31" t="s">
        <v>176</v>
      </c>
      <c r="G390" s="31">
        <v>2628</v>
      </c>
      <c r="H390" s="31" t="s">
        <v>160</v>
      </c>
      <c r="J390" s="38">
        <v>0</v>
      </c>
    </row>
    <row r="391" spans="1:10" x14ac:dyDescent="0.35">
      <c r="A391" s="31">
        <v>195</v>
      </c>
      <c r="B391" s="19" t="s">
        <v>17</v>
      </c>
      <c r="C391" s="19"/>
      <c r="D391" s="37">
        <v>45899</v>
      </c>
      <c r="E391" s="31" t="s">
        <v>376</v>
      </c>
      <c r="F391" s="31" t="s">
        <v>176</v>
      </c>
      <c r="G391" s="31">
        <v>2628</v>
      </c>
      <c r="H391" s="31" t="s">
        <v>160</v>
      </c>
      <c r="I391" s="38">
        <v>0</v>
      </c>
    </row>
    <row r="392" spans="1:10" x14ac:dyDescent="0.35">
      <c r="A392" s="31">
        <v>195.5</v>
      </c>
      <c r="B392" s="19"/>
      <c r="C392" s="19" t="s">
        <v>22</v>
      </c>
      <c r="D392" s="37">
        <v>45899</v>
      </c>
      <c r="E392" s="31" t="s">
        <v>376</v>
      </c>
      <c r="F392" s="31" t="s">
        <v>176</v>
      </c>
      <c r="G392" s="31">
        <v>2628</v>
      </c>
      <c r="H392" s="31" t="s">
        <v>160</v>
      </c>
      <c r="J392" s="38">
        <v>0</v>
      </c>
    </row>
    <row r="393" spans="1:10" x14ac:dyDescent="0.35">
      <c r="A393" s="31">
        <v>196</v>
      </c>
      <c r="B393" s="19" t="s">
        <v>17</v>
      </c>
      <c r="C393" s="19"/>
      <c r="D393" s="37">
        <v>45899</v>
      </c>
      <c r="E393" s="31" t="s">
        <v>377</v>
      </c>
      <c r="F393" s="31" t="s">
        <v>176</v>
      </c>
      <c r="G393" s="31">
        <v>2628</v>
      </c>
      <c r="H393" s="31" t="s">
        <v>160</v>
      </c>
      <c r="I393" s="38">
        <v>0</v>
      </c>
    </row>
    <row r="394" spans="1:10" x14ac:dyDescent="0.35">
      <c r="A394" s="31">
        <v>196.5</v>
      </c>
      <c r="B394" s="19"/>
      <c r="C394" s="19" t="s">
        <v>22</v>
      </c>
      <c r="D394" s="37">
        <v>45899</v>
      </c>
      <c r="E394" s="31" t="s">
        <v>377</v>
      </c>
      <c r="F394" s="31" t="s">
        <v>176</v>
      </c>
      <c r="G394" s="31">
        <v>2628</v>
      </c>
      <c r="H394" s="31" t="s">
        <v>160</v>
      </c>
      <c r="J394" s="38">
        <v>0</v>
      </c>
    </row>
    <row r="395" spans="1:10" x14ac:dyDescent="0.35">
      <c r="A395" s="31">
        <v>197</v>
      </c>
      <c r="B395" s="19" t="s">
        <v>17</v>
      </c>
      <c r="C395" s="19"/>
      <c r="D395" s="37">
        <v>45899</v>
      </c>
      <c r="E395" s="31" t="s">
        <v>378</v>
      </c>
      <c r="F395" s="31" t="s">
        <v>176</v>
      </c>
      <c r="G395" s="31">
        <v>2628</v>
      </c>
      <c r="H395" s="31" t="s">
        <v>160</v>
      </c>
      <c r="I395" s="38">
        <v>0</v>
      </c>
    </row>
    <row r="396" spans="1:10" x14ac:dyDescent="0.35">
      <c r="A396" s="31">
        <v>197.5</v>
      </c>
      <c r="B396" s="19"/>
      <c r="C396" s="19" t="s">
        <v>22</v>
      </c>
      <c r="D396" s="37">
        <v>45899</v>
      </c>
      <c r="E396" s="31" t="s">
        <v>378</v>
      </c>
      <c r="F396" s="31" t="s">
        <v>176</v>
      </c>
      <c r="G396" s="31">
        <v>2628</v>
      </c>
      <c r="H396" s="31" t="s">
        <v>160</v>
      </c>
      <c r="J396" s="38">
        <v>0</v>
      </c>
    </row>
    <row r="397" spans="1:10" x14ac:dyDescent="0.35">
      <c r="A397" s="31">
        <v>198</v>
      </c>
      <c r="B397" s="19" t="s">
        <v>17</v>
      </c>
      <c r="C397" s="19"/>
      <c r="D397" s="37">
        <v>45899</v>
      </c>
      <c r="E397" s="31" t="s">
        <v>379</v>
      </c>
      <c r="F397" s="31" t="s">
        <v>176</v>
      </c>
      <c r="G397" s="31">
        <v>2628</v>
      </c>
      <c r="H397" s="31" t="s">
        <v>160</v>
      </c>
      <c r="I397" s="38">
        <v>0</v>
      </c>
    </row>
    <row r="398" spans="1:10" x14ac:dyDescent="0.35">
      <c r="A398" s="31">
        <v>198.5</v>
      </c>
      <c r="B398" s="19"/>
      <c r="C398" s="19" t="s">
        <v>22</v>
      </c>
      <c r="D398" s="37">
        <v>45899</v>
      </c>
      <c r="E398" s="31" t="s">
        <v>379</v>
      </c>
      <c r="F398" s="31" t="s">
        <v>176</v>
      </c>
      <c r="G398" s="31">
        <v>2628</v>
      </c>
      <c r="H398" s="31" t="s">
        <v>160</v>
      </c>
      <c r="J398" s="38">
        <v>0</v>
      </c>
    </row>
    <row r="399" spans="1:10" x14ac:dyDescent="0.35">
      <c r="A399" s="31">
        <v>199</v>
      </c>
      <c r="B399" s="19" t="s">
        <v>17</v>
      </c>
      <c r="C399" s="19"/>
      <c r="D399" s="37">
        <v>45899</v>
      </c>
      <c r="E399" s="31" t="s">
        <v>380</v>
      </c>
      <c r="F399" s="31" t="s">
        <v>381</v>
      </c>
      <c r="G399" s="31">
        <v>3538</v>
      </c>
      <c r="H399" s="31" t="s">
        <v>160</v>
      </c>
      <c r="I399" s="38">
        <v>0</v>
      </c>
    </row>
    <row r="400" spans="1:10" x14ac:dyDescent="0.35">
      <c r="A400" s="31">
        <v>199.5</v>
      </c>
      <c r="B400" s="19"/>
      <c r="C400" s="19" t="s">
        <v>22</v>
      </c>
      <c r="D400" s="37">
        <v>45899</v>
      </c>
      <c r="E400" s="31" t="s">
        <v>380</v>
      </c>
      <c r="F400" s="31" t="s">
        <v>381</v>
      </c>
      <c r="G400" s="31">
        <v>3538</v>
      </c>
      <c r="H400" s="31" t="s">
        <v>160</v>
      </c>
      <c r="J400" s="38">
        <v>0</v>
      </c>
    </row>
    <row r="401" spans="1:10" x14ac:dyDescent="0.35">
      <c r="A401" s="31">
        <v>200</v>
      </c>
      <c r="B401" s="19" t="s">
        <v>17</v>
      </c>
      <c r="C401" s="19"/>
      <c r="D401" s="37">
        <v>45899</v>
      </c>
      <c r="E401" s="31" t="s">
        <v>382</v>
      </c>
      <c r="F401" s="31" t="s">
        <v>383</v>
      </c>
      <c r="G401" s="31">
        <v>3402</v>
      </c>
      <c r="H401" s="31" t="s">
        <v>160</v>
      </c>
      <c r="I401" s="38">
        <v>0</v>
      </c>
    </row>
    <row r="402" spans="1:10" x14ac:dyDescent="0.35">
      <c r="A402" s="31">
        <v>200.5</v>
      </c>
      <c r="B402" s="19"/>
      <c r="C402" s="19" t="s">
        <v>22</v>
      </c>
      <c r="D402" s="37">
        <v>45899</v>
      </c>
      <c r="E402" s="31" t="s">
        <v>382</v>
      </c>
      <c r="F402" s="31" t="s">
        <v>383</v>
      </c>
      <c r="G402" s="31">
        <v>3402</v>
      </c>
      <c r="H402" s="31" t="s">
        <v>160</v>
      </c>
      <c r="J402" s="38">
        <v>0</v>
      </c>
    </row>
    <row r="403" spans="1:10" x14ac:dyDescent="0.35">
      <c r="A403" s="31">
        <v>201</v>
      </c>
      <c r="B403" s="19" t="s">
        <v>17</v>
      </c>
      <c r="C403" s="19"/>
      <c r="D403" s="37">
        <v>45899</v>
      </c>
      <c r="E403" s="31" t="s">
        <v>384</v>
      </c>
      <c r="F403" s="31" t="s">
        <v>50</v>
      </c>
      <c r="G403" s="31">
        <v>1938</v>
      </c>
      <c r="H403" s="31" t="s">
        <v>160</v>
      </c>
      <c r="I403" s="38">
        <v>0</v>
      </c>
    </row>
    <row r="404" spans="1:10" x14ac:dyDescent="0.35">
      <c r="A404" s="31">
        <v>201.5</v>
      </c>
      <c r="B404" s="19"/>
      <c r="C404" s="19" t="s">
        <v>22</v>
      </c>
      <c r="D404" s="37">
        <v>45899</v>
      </c>
      <c r="E404" s="31" t="s">
        <v>384</v>
      </c>
      <c r="F404" s="31" t="s">
        <v>50</v>
      </c>
      <c r="G404" s="31">
        <v>1938</v>
      </c>
      <c r="H404" s="31" t="s">
        <v>160</v>
      </c>
      <c r="J404" s="38">
        <v>0</v>
      </c>
    </row>
    <row r="405" spans="1:10" x14ac:dyDescent="0.35">
      <c r="A405" s="31">
        <v>202</v>
      </c>
      <c r="B405" s="19" t="s">
        <v>17</v>
      </c>
      <c r="C405" s="19"/>
      <c r="D405" s="37">
        <v>45899</v>
      </c>
      <c r="E405" s="31" t="s">
        <v>385</v>
      </c>
      <c r="F405" s="31" t="s">
        <v>50</v>
      </c>
      <c r="G405" s="31">
        <v>1938</v>
      </c>
      <c r="H405" s="31" t="s">
        <v>160</v>
      </c>
      <c r="I405" s="38">
        <v>0</v>
      </c>
    </row>
    <row r="406" spans="1:10" x14ac:dyDescent="0.35">
      <c r="A406" s="31">
        <v>202.5</v>
      </c>
      <c r="B406" s="19"/>
      <c r="C406" s="19" t="s">
        <v>22</v>
      </c>
      <c r="D406" s="37">
        <v>45899</v>
      </c>
      <c r="E406" s="31" t="s">
        <v>385</v>
      </c>
      <c r="F406" s="31" t="s">
        <v>50</v>
      </c>
      <c r="G406" s="31">
        <v>1938</v>
      </c>
      <c r="H406" s="31" t="s">
        <v>160</v>
      </c>
      <c r="J406" s="38">
        <v>0</v>
      </c>
    </row>
    <row r="407" spans="1:10" x14ac:dyDescent="0.35">
      <c r="A407" s="31">
        <v>203</v>
      </c>
      <c r="B407" s="19" t="s">
        <v>17</v>
      </c>
      <c r="C407" s="19"/>
      <c r="D407" s="37">
        <v>45899</v>
      </c>
      <c r="E407" s="31" t="s">
        <v>386</v>
      </c>
      <c r="F407" s="31" t="s">
        <v>387</v>
      </c>
      <c r="G407" s="31">
        <v>3357</v>
      </c>
      <c r="H407" s="31" t="s">
        <v>160</v>
      </c>
      <c r="I407" s="38">
        <v>0</v>
      </c>
    </row>
    <row r="408" spans="1:10" x14ac:dyDescent="0.35">
      <c r="A408" s="31">
        <v>203.5</v>
      </c>
      <c r="B408" s="19"/>
      <c r="C408" s="19" t="s">
        <v>22</v>
      </c>
      <c r="D408" s="37">
        <v>45899</v>
      </c>
      <c r="E408" s="31" t="s">
        <v>386</v>
      </c>
      <c r="F408" s="31" t="s">
        <v>387</v>
      </c>
      <c r="G408" s="31">
        <v>3357</v>
      </c>
      <c r="H408" s="31" t="s">
        <v>160</v>
      </c>
      <c r="J408" s="38">
        <v>0</v>
      </c>
    </row>
    <row r="409" spans="1:10" x14ac:dyDescent="0.35">
      <c r="A409" s="31">
        <v>204</v>
      </c>
      <c r="B409" s="19" t="s">
        <v>17</v>
      </c>
      <c r="C409" s="19"/>
      <c r="D409" s="37">
        <v>45899</v>
      </c>
      <c r="E409" s="31" t="s">
        <v>388</v>
      </c>
      <c r="F409" s="31" t="s">
        <v>387</v>
      </c>
      <c r="G409" s="31">
        <v>3357</v>
      </c>
      <c r="H409" s="31" t="s">
        <v>160</v>
      </c>
      <c r="I409" s="38">
        <v>0</v>
      </c>
    </row>
    <row r="410" spans="1:10" x14ac:dyDescent="0.35">
      <c r="A410" s="31">
        <v>204.5</v>
      </c>
      <c r="B410" s="19"/>
      <c r="C410" s="19" t="s">
        <v>22</v>
      </c>
      <c r="D410" s="37">
        <v>45899</v>
      </c>
      <c r="E410" s="31" t="s">
        <v>388</v>
      </c>
      <c r="F410" s="31" t="s">
        <v>387</v>
      </c>
      <c r="G410" s="31">
        <v>3357</v>
      </c>
      <c r="H410" s="31" t="s">
        <v>160</v>
      </c>
      <c r="J410" s="38">
        <v>0</v>
      </c>
    </row>
    <row r="411" spans="1:10" x14ac:dyDescent="0.35">
      <c r="A411" s="31">
        <v>205</v>
      </c>
      <c r="B411" s="19" t="s">
        <v>17</v>
      </c>
      <c r="C411" s="19"/>
      <c r="D411" s="37">
        <v>45899</v>
      </c>
      <c r="E411" s="31" t="s">
        <v>389</v>
      </c>
      <c r="F411" s="31" t="s">
        <v>387</v>
      </c>
      <c r="G411" s="31">
        <v>3357</v>
      </c>
      <c r="H411" s="31" t="s">
        <v>160</v>
      </c>
      <c r="I411" s="38">
        <v>0</v>
      </c>
    </row>
    <row r="412" spans="1:10" x14ac:dyDescent="0.35">
      <c r="A412" s="31">
        <v>205.5</v>
      </c>
      <c r="B412" s="19"/>
      <c r="C412" s="19" t="s">
        <v>22</v>
      </c>
      <c r="D412" s="37">
        <v>45899</v>
      </c>
      <c r="E412" s="31" t="s">
        <v>389</v>
      </c>
      <c r="F412" s="31" t="s">
        <v>387</v>
      </c>
      <c r="G412" s="31">
        <v>3357</v>
      </c>
      <c r="H412" s="31" t="s">
        <v>160</v>
      </c>
      <c r="J412" s="38">
        <v>0</v>
      </c>
    </row>
    <row r="413" spans="1:10" x14ac:dyDescent="0.35">
      <c r="A413" s="31">
        <v>206</v>
      </c>
      <c r="B413" s="19" t="s">
        <v>17</v>
      </c>
      <c r="C413" s="19"/>
      <c r="D413" s="37">
        <v>45899</v>
      </c>
      <c r="E413" s="31" t="s">
        <v>390</v>
      </c>
      <c r="F413" s="31" t="s">
        <v>391</v>
      </c>
      <c r="G413" s="31">
        <v>3392</v>
      </c>
      <c r="H413" s="31" t="s">
        <v>160</v>
      </c>
      <c r="I413" s="38">
        <v>0</v>
      </c>
    </row>
    <row r="414" spans="1:10" x14ac:dyDescent="0.35">
      <c r="A414" s="31">
        <v>206.5</v>
      </c>
      <c r="B414" s="19"/>
      <c r="C414" s="19" t="s">
        <v>22</v>
      </c>
      <c r="D414" s="37">
        <v>45899</v>
      </c>
      <c r="E414" s="31" t="s">
        <v>390</v>
      </c>
      <c r="F414" s="31" t="s">
        <v>391</v>
      </c>
      <c r="G414" s="31">
        <v>3392</v>
      </c>
      <c r="H414" s="31" t="s">
        <v>160</v>
      </c>
      <c r="J414" s="38">
        <v>0</v>
      </c>
    </row>
    <row r="415" spans="1:10" x14ac:dyDescent="0.35">
      <c r="A415" s="31">
        <v>207</v>
      </c>
      <c r="B415" s="19" t="s">
        <v>17</v>
      </c>
      <c r="C415" s="19"/>
      <c r="D415" s="37">
        <v>45899</v>
      </c>
      <c r="E415" s="31" t="s">
        <v>392</v>
      </c>
      <c r="F415" s="31" t="s">
        <v>349</v>
      </c>
      <c r="G415" s="31">
        <v>576</v>
      </c>
      <c r="H415" s="31" t="s">
        <v>160</v>
      </c>
      <c r="I415" s="38">
        <v>0</v>
      </c>
    </row>
    <row r="416" spans="1:10" x14ac:dyDescent="0.35">
      <c r="A416" s="31">
        <v>207.5</v>
      </c>
      <c r="B416" s="19"/>
      <c r="C416" s="19" t="s">
        <v>22</v>
      </c>
      <c r="D416" s="37">
        <v>45899</v>
      </c>
      <c r="E416" s="31" t="s">
        <v>392</v>
      </c>
      <c r="F416" s="31" t="s">
        <v>349</v>
      </c>
      <c r="G416" s="31">
        <v>576</v>
      </c>
      <c r="H416" s="31" t="s">
        <v>160</v>
      </c>
      <c r="J416" s="38">
        <v>0</v>
      </c>
    </row>
    <row r="417" spans="1:10" x14ac:dyDescent="0.35">
      <c r="A417" s="31">
        <v>208</v>
      </c>
      <c r="B417" s="19" t="s">
        <v>17</v>
      </c>
      <c r="C417" s="19"/>
      <c r="D417" s="37">
        <v>45899</v>
      </c>
      <c r="E417" s="31" t="s">
        <v>393</v>
      </c>
      <c r="F417" s="31" t="s">
        <v>349</v>
      </c>
      <c r="G417" s="31">
        <v>576</v>
      </c>
      <c r="H417" s="31" t="s">
        <v>160</v>
      </c>
      <c r="I417" s="38">
        <v>0</v>
      </c>
    </row>
    <row r="418" spans="1:10" x14ac:dyDescent="0.35">
      <c r="A418" s="31">
        <v>208.5</v>
      </c>
      <c r="B418" s="19"/>
      <c r="C418" s="19" t="s">
        <v>22</v>
      </c>
      <c r="D418" s="37">
        <v>45899</v>
      </c>
      <c r="E418" s="31" t="s">
        <v>393</v>
      </c>
      <c r="F418" s="31" t="s">
        <v>349</v>
      </c>
      <c r="G418" s="31">
        <v>576</v>
      </c>
      <c r="H418" s="31" t="s">
        <v>160</v>
      </c>
      <c r="J418" s="38">
        <v>0</v>
      </c>
    </row>
    <row r="419" spans="1:10" x14ac:dyDescent="0.35">
      <c r="A419" s="31">
        <v>209</v>
      </c>
      <c r="B419" s="19" t="s">
        <v>17</v>
      </c>
      <c r="C419" s="19"/>
      <c r="D419" s="37">
        <v>45899</v>
      </c>
      <c r="E419" s="31" t="s">
        <v>394</v>
      </c>
      <c r="F419" s="31" t="s">
        <v>395</v>
      </c>
      <c r="G419" s="31">
        <v>3401</v>
      </c>
      <c r="H419" s="31" t="s">
        <v>160</v>
      </c>
      <c r="I419" s="38">
        <v>0</v>
      </c>
    </row>
    <row r="420" spans="1:10" x14ac:dyDescent="0.35">
      <c r="A420" s="31">
        <v>209.5</v>
      </c>
      <c r="B420" s="19"/>
      <c r="C420" s="19" t="s">
        <v>22</v>
      </c>
      <c r="D420" s="37">
        <v>45899</v>
      </c>
      <c r="E420" s="31" t="s">
        <v>394</v>
      </c>
      <c r="F420" s="31" t="s">
        <v>395</v>
      </c>
      <c r="G420" s="31">
        <v>3401</v>
      </c>
      <c r="H420" s="31" t="s">
        <v>160</v>
      </c>
      <c r="J420" s="38">
        <v>0</v>
      </c>
    </row>
    <row r="421" spans="1:10" x14ac:dyDescent="0.35">
      <c r="A421" s="31">
        <v>210</v>
      </c>
      <c r="B421" s="19" t="s">
        <v>17</v>
      </c>
      <c r="C421" s="19"/>
      <c r="D421" s="37">
        <v>45899</v>
      </c>
      <c r="E421" s="31" t="s">
        <v>396</v>
      </c>
      <c r="F421" s="31" t="s">
        <v>395</v>
      </c>
      <c r="G421" s="31">
        <v>3401</v>
      </c>
      <c r="H421" s="31" t="s">
        <v>160</v>
      </c>
      <c r="I421" s="38">
        <v>0</v>
      </c>
    </row>
    <row r="422" spans="1:10" x14ac:dyDescent="0.35">
      <c r="A422" s="31">
        <v>210.5</v>
      </c>
      <c r="B422" s="19"/>
      <c r="C422" s="19" t="s">
        <v>22</v>
      </c>
      <c r="D422" s="37">
        <v>45899</v>
      </c>
      <c r="E422" s="31" t="s">
        <v>396</v>
      </c>
      <c r="F422" s="31" t="s">
        <v>395</v>
      </c>
      <c r="G422" s="31">
        <v>3401</v>
      </c>
      <c r="H422" s="31" t="s">
        <v>160</v>
      </c>
      <c r="J422" s="38">
        <v>0</v>
      </c>
    </row>
    <row r="423" spans="1:10" x14ac:dyDescent="0.35">
      <c r="A423" s="31">
        <v>211</v>
      </c>
      <c r="B423" s="19" t="s">
        <v>17</v>
      </c>
      <c r="C423" s="19"/>
      <c r="D423" s="37">
        <v>45899</v>
      </c>
      <c r="E423" s="31">
        <v>34959</v>
      </c>
      <c r="F423" s="31" t="s">
        <v>276</v>
      </c>
      <c r="G423" s="31">
        <v>3322</v>
      </c>
      <c r="H423" s="31" t="s">
        <v>160</v>
      </c>
      <c r="I423" s="38">
        <v>0</v>
      </c>
    </row>
    <row r="424" spans="1:10" x14ac:dyDescent="0.35">
      <c r="A424" s="31">
        <v>211.5</v>
      </c>
      <c r="B424" s="19"/>
      <c r="C424" s="19" t="s">
        <v>22</v>
      </c>
      <c r="D424" s="37">
        <v>45899</v>
      </c>
      <c r="E424" s="31">
        <v>34959</v>
      </c>
      <c r="F424" s="31" t="s">
        <v>276</v>
      </c>
      <c r="G424" s="31">
        <v>3322</v>
      </c>
      <c r="H424" s="31" t="s">
        <v>160</v>
      </c>
      <c r="J424" s="38">
        <v>0</v>
      </c>
    </row>
    <row r="425" spans="1:10" x14ac:dyDescent="0.35">
      <c r="A425" s="31">
        <v>212</v>
      </c>
      <c r="B425" s="19" t="s">
        <v>17</v>
      </c>
      <c r="C425" s="19"/>
      <c r="D425" s="37">
        <v>45899</v>
      </c>
      <c r="E425" s="31" t="s">
        <v>397</v>
      </c>
      <c r="F425" s="31" t="s">
        <v>48</v>
      </c>
      <c r="G425" s="31">
        <v>2752</v>
      </c>
      <c r="H425" s="31" t="s">
        <v>160</v>
      </c>
      <c r="I425" s="38">
        <v>0</v>
      </c>
    </row>
    <row r="426" spans="1:10" x14ac:dyDescent="0.35">
      <c r="A426" s="31">
        <v>212.5</v>
      </c>
      <c r="B426" s="19"/>
      <c r="C426" s="19" t="s">
        <v>22</v>
      </c>
      <c r="D426" s="37">
        <v>45899</v>
      </c>
      <c r="E426" s="31" t="s">
        <v>397</v>
      </c>
      <c r="F426" s="31" t="s">
        <v>48</v>
      </c>
      <c r="G426" s="31">
        <v>2752</v>
      </c>
      <c r="H426" s="31" t="s">
        <v>160</v>
      </c>
      <c r="J426" s="38">
        <v>0</v>
      </c>
    </row>
    <row r="427" spans="1:10" x14ac:dyDescent="0.35">
      <c r="A427" s="31">
        <v>213</v>
      </c>
      <c r="B427" s="19" t="s">
        <v>17</v>
      </c>
      <c r="C427" s="19"/>
      <c r="D427" s="37">
        <v>45899</v>
      </c>
      <c r="E427" s="31" t="s">
        <v>398</v>
      </c>
      <c r="F427" s="31" t="s">
        <v>343</v>
      </c>
      <c r="G427" s="31">
        <v>571</v>
      </c>
      <c r="H427" s="31" t="s">
        <v>160</v>
      </c>
      <c r="I427" s="38">
        <v>0</v>
      </c>
    </row>
    <row r="428" spans="1:10" x14ac:dyDescent="0.35">
      <c r="A428" s="31">
        <v>213.5</v>
      </c>
      <c r="B428" s="19"/>
      <c r="C428" s="19" t="s">
        <v>22</v>
      </c>
      <c r="D428" s="37">
        <v>45899</v>
      </c>
      <c r="E428" s="31" t="s">
        <v>398</v>
      </c>
      <c r="F428" s="31" t="s">
        <v>343</v>
      </c>
      <c r="G428" s="31">
        <v>571</v>
      </c>
      <c r="H428" s="31" t="s">
        <v>160</v>
      </c>
      <c r="J428" s="38">
        <v>0</v>
      </c>
    </row>
    <row r="429" spans="1:10" x14ac:dyDescent="0.35">
      <c r="A429" s="31">
        <v>214</v>
      </c>
      <c r="B429" s="19" t="s">
        <v>17</v>
      </c>
      <c r="C429" s="19"/>
      <c r="D429" s="37">
        <v>45899</v>
      </c>
      <c r="E429" s="31" t="s">
        <v>399</v>
      </c>
      <c r="F429" s="53" t="s">
        <v>1241</v>
      </c>
      <c r="G429" s="31">
        <v>516</v>
      </c>
      <c r="H429" s="31" t="s">
        <v>160</v>
      </c>
      <c r="I429" s="38">
        <v>0</v>
      </c>
    </row>
    <row r="430" spans="1:10" x14ac:dyDescent="0.35">
      <c r="A430" s="31">
        <v>214.5</v>
      </c>
      <c r="B430" s="19"/>
      <c r="C430" s="19" t="s">
        <v>22</v>
      </c>
      <c r="D430" s="37">
        <v>45899</v>
      </c>
      <c r="E430" s="31" t="s">
        <v>399</v>
      </c>
      <c r="F430" s="53" t="s">
        <v>1241</v>
      </c>
      <c r="G430" s="31">
        <v>516</v>
      </c>
      <c r="H430" s="31" t="s">
        <v>160</v>
      </c>
      <c r="J430" s="38">
        <v>0</v>
      </c>
    </row>
    <row r="431" spans="1:10" x14ac:dyDescent="0.35">
      <c r="A431" s="31">
        <v>215</v>
      </c>
      <c r="B431" s="19" t="s">
        <v>17</v>
      </c>
      <c r="C431" s="19"/>
      <c r="D431" s="37">
        <v>45899</v>
      </c>
      <c r="E431" s="31" t="s">
        <v>401</v>
      </c>
      <c r="F431" s="31" t="s">
        <v>343</v>
      </c>
      <c r="G431" s="31">
        <v>571</v>
      </c>
      <c r="H431" s="31" t="s">
        <v>160</v>
      </c>
      <c r="I431" s="38">
        <v>0</v>
      </c>
    </row>
    <row r="432" spans="1:10" x14ac:dyDescent="0.35">
      <c r="A432" s="31">
        <v>215.5</v>
      </c>
      <c r="B432" s="19"/>
      <c r="C432" s="19" t="s">
        <v>22</v>
      </c>
      <c r="D432" s="37">
        <v>45899</v>
      </c>
      <c r="E432" s="31" t="s">
        <v>401</v>
      </c>
      <c r="F432" s="31" t="s">
        <v>343</v>
      </c>
      <c r="G432" s="31">
        <v>571</v>
      </c>
      <c r="H432" s="31" t="s">
        <v>160</v>
      </c>
      <c r="J432" s="38">
        <v>0</v>
      </c>
    </row>
    <row r="433" spans="1:10" x14ac:dyDescent="0.35">
      <c r="A433" s="31">
        <v>216</v>
      </c>
      <c r="B433" s="19" t="s">
        <v>17</v>
      </c>
      <c r="C433" s="19"/>
      <c r="D433" s="37">
        <v>45899</v>
      </c>
      <c r="E433" s="31" t="s">
        <v>402</v>
      </c>
      <c r="F433" s="31" t="s">
        <v>343</v>
      </c>
      <c r="G433" s="31">
        <v>571</v>
      </c>
      <c r="H433" s="31" t="s">
        <v>160</v>
      </c>
      <c r="I433" s="38">
        <v>0</v>
      </c>
    </row>
    <row r="434" spans="1:10" x14ac:dyDescent="0.35">
      <c r="A434" s="31">
        <v>216.5</v>
      </c>
      <c r="B434" s="19"/>
      <c r="C434" s="19" t="s">
        <v>22</v>
      </c>
      <c r="D434" s="37">
        <v>45899</v>
      </c>
      <c r="E434" s="31" t="s">
        <v>402</v>
      </c>
      <c r="F434" s="31" t="s">
        <v>343</v>
      </c>
      <c r="G434" s="31">
        <v>571</v>
      </c>
      <c r="H434" s="31" t="s">
        <v>160</v>
      </c>
      <c r="J434" s="38">
        <v>0</v>
      </c>
    </row>
    <row r="435" spans="1:10" x14ac:dyDescent="0.35">
      <c r="A435" s="31">
        <v>217</v>
      </c>
      <c r="B435" s="19" t="s">
        <v>17</v>
      </c>
      <c r="C435" s="19"/>
      <c r="D435" s="37">
        <v>45899</v>
      </c>
      <c r="E435" s="31" t="s">
        <v>403</v>
      </c>
      <c r="F435" s="31" t="s">
        <v>115</v>
      </c>
      <c r="G435" s="31">
        <v>2520</v>
      </c>
      <c r="H435" s="31" t="s">
        <v>160</v>
      </c>
      <c r="I435" s="38">
        <v>0</v>
      </c>
    </row>
    <row r="436" spans="1:10" x14ac:dyDescent="0.35">
      <c r="A436" s="31">
        <v>217.5</v>
      </c>
      <c r="B436" s="19"/>
      <c r="C436" s="19" t="s">
        <v>22</v>
      </c>
      <c r="D436" s="37">
        <v>45899</v>
      </c>
      <c r="E436" s="31" t="s">
        <v>403</v>
      </c>
      <c r="F436" s="31" t="s">
        <v>115</v>
      </c>
      <c r="G436" s="31">
        <v>2520</v>
      </c>
      <c r="H436" s="31" t="s">
        <v>160</v>
      </c>
      <c r="J436" s="38">
        <v>0</v>
      </c>
    </row>
    <row r="437" spans="1:10" x14ac:dyDescent="0.35">
      <c r="A437" s="31">
        <v>218</v>
      </c>
      <c r="B437" s="19" t="s">
        <v>17</v>
      </c>
      <c r="C437" s="19"/>
      <c r="D437" s="37">
        <v>45899</v>
      </c>
      <c r="E437" s="31" t="s">
        <v>404</v>
      </c>
      <c r="F437" s="31" t="s">
        <v>405</v>
      </c>
      <c r="G437" s="31">
        <v>690</v>
      </c>
      <c r="H437" s="31" t="s">
        <v>160</v>
      </c>
      <c r="I437" s="38">
        <v>0</v>
      </c>
    </row>
    <row r="438" spans="1:10" x14ac:dyDescent="0.35">
      <c r="A438" s="31">
        <v>218.5</v>
      </c>
      <c r="B438" s="19"/>
      <c r="C438" s="19" t="s">
        <v>22</v>
      </c>
      <c r="D438" s="37">
        <v>45899</v>
      </c>
      <c r="E438" s="31" t="s">
        <v>404</v>
      </c>
      <c r="F438" s="31" t="s">
        <v>405</v>
      </c>
      <c r="G438" s="31">
        <v>690</v>
      </c>
      <c r="H438" s="31" t="s">
        <v>160</v>
      </c>
      <c r="J438" s="38">
        <v>0</v>
      </c>
    </row>
    <row r="439" spans="1:10" x14ac:dyDescent="0.35">
      <c r="A439" s="31">
        <v>219</v>
      </c>
      <c r="B439" s="19" t="s">
        <v>17</v>
      </c>
      <c r="C439" s="19"/>
      <c r="D439" s="37">
        <v>45899</v>
      </c>
      <c r="E439" s="31" t="s">
        <v>406</v>
      </c>
      <c r="F439" s="31" t="s">
        <v>405</v>
      </c>
      <c r="G439" s="31">
        <v>690</v>
      </c>
      <c r="H439" s="31" t="s">
        <v>160</v>
      </c>
      <c r="I439" s="38">
        <v>0</v>
      </c>
    </row>
    <row r="440" spans="1:10" x14ac:dyDescent="0.35">
      <c r="A440" s="31">
        <v>219.5</v>
      </c>
      <c r="B440" s="19"/>
      <c r="C440" s="19" t="s">
        <v>22</v>
      </c>
      <c r="D440" s="37">
        <v>45899</v>
      </c>
      <c r="E440" s="31" t="s">
        <v>406</v>
      </c>
      <c r="F440" s="31" t="s">
        <v>405</v>
      </c>
      <c r="G440" s="31">
        <v>690</v>
      </c>
      <c r="H440" s="31" t="s">
        <v>160</v>
      </c>
      <c r="J440" s="38">
        <v>0</v>
      </c>
    </row>
    <row r="441" spans="1:10" x14ac:dyDescent="0.35">
      <c r="A441" s="31">
        <v>220</v>
      </c>
      <c r="B441" s="19" t="s">
        <v>17</v>
      </c>
      <c r="C441" s="19"/>
      <c r="D441" s="37">
        <v>45899</v>
      </c>
      <c r="E441" s="31" t="s">
        <v>407</v>
      </c>
      <c r="F441" s="31" t="s">
        <v>408</v>
      </c>
      <c r="G441" s="31">
        <v>3539</v>
      </c>
      <c r="H441" s="31" t="s">
        <v>160</v>
      </c>
      <c r="I441" s="38">
        <v>0</v>
      </c>
    </row>
    <row r="442" spans="1:10" x14ac:dyDescent="0.35">
      <c r="A442" s="31">
        <v>220.5</v>
      </c>
      <c r="B442" s="19"/>
      <c r="C442" s="19" t="s">
        <v>22</v>
      </c>
      <c r="D442" s="37">
        <v>45899</v>
      </c>
      <c r="E442" s="31" t="s">
        <v>407</v>
      </c>
      <c r="F442" s="31" t="s">
        <v>408</v>
      </c>
      <c r="G442" s="31">
        <v>3539</v>
      </c>
      <c r="H442" s="31" t="s">
        <v>160</v>
      </c>
      <c r="J442" s="38">
        <v>0</v>
      </c>
    </row>
    <row r="443" spans="1:10" x14ac:dyDescent="0.35">
      <c r="A443" s="31">
        <v>221</v>
      </c>
      <c r="B443" s="19" t="s">
        <v>17</v>
      </c>
      <c r="C443" s="19"/>
      <c r="D443" s="37">
        <v>45899</v>
      </c>
      <c r="E443" s="31" t="s">
        <v>409</v>
      </c>
      <c r="F443" s="31" t="s">
        <v>410</v>
      </c>
      <c r="G443" s="31">
        <v>3540</v>
      </c>
      <c r="H443" s="31" t="s">
        <v>160</v>
      </c>
      <c r="I443" s="38">
        <v>267.47000000000003</v>
      </c>
    </row>
    <row r="444" spans="1:10" x14ac:dyDescent="0.35">
      <c r="A444" s="31">
        <v>221.5</v>
      </c>
      <c r="B444" s="19"/>
      <c r="C444" s="19" t="s">
        <v>22</v>
      </c>
      <c r="D444" s="37">
        <v>45899</v>
      </c>
      <c r="E444" s="31" t="s">
        <v>409</v>
      </c>
      <c r="F444" s="31" t="s">
        <v>410</v>
      </c>
      <c r="G444" s="31">
        <v>3540</v>
      </c>
      <c r="H444" s="31" t="s">
        <v>160</v>
      </c>
      <c r="J444" s="38">
        <v>267.47000000000003</v>
      </c>
    </row>
    <row r="445" spans="1:10" x14ac:dyDescent="0.35">
      <c r="A445" s="31">
        <v>222</v>
      </c>
      <c r="B445" s="19" t="s">
        <v>17</v>
      </c>
      <c r="C445" s="19"/>
      <c r="D445" s="37">
        <v>45899</v>
      </c>
      <c r="E445" s="31" t="s">
        <v>411</v>
      </c>
      <c r="F445" s="31" t="s">
        <v>412</v>
      </c>
      <c r="G445" s="31">
        <v>2707</v>
      </c>
      <c r="H445" s="31" t="s">
        <v>160</v>
      </c>
      <c r="I445" s="38">
        <v>0</v>
      </c>
    </row>
    <row r="446" spans="1:10" x14ac:dyDescent="0.35">
      <c r="A446" s="31">
        <v>222.5</v>
      </c>
      <c r="B446" s="19"/>
      <c r="C446" s="19" t="s">
        <v>22</v>
      </c>
      <c r="D446" s="37">
        <v>45899</v>
      </c>
      <c r="E446" s="31" t="s">
        <v>411</v>
      </c>
      <c r="F446" s="31" t="s">
        <v>412</v>
      </c>
      <c r="G446" s="31">
        <v>2707</v>
      </c>
      <c r="H446" s="31" t="s">
        <v>160</v>
      </c>
      <c r="J446" s="38">
        <v>0</v>
      </c>
    </row>
    <row r="447" spans="1:10" x14ac:dyDescent="0.35">
      <c r="A447" s="31">
        <v>223</v>
      </c>
      <c r="B447" s="19" t="s">
        <v>17</v>
      </c>
      <c r="C447" s="19"/>
      <c r="D447" s="37">
        <v>45899</v>
      </c>
      <c r="E447" s="31" t="s">
        <v>413</v>
      </c>
      <c r="F447" s="31" t="s">
        <v>414</v>
      </c>
      <c r="G447" s="31">
        <v>3541</v>
      </c>
      <c r="H447" s="31" t="s">
        <v>160</v>
      </c>
      <c r="I447" s="38">
        <v>0</v>
      </c>
    </row>
    <row r="448" spans="1:10" x14ac:dyDescent="0.35">
      <c r="A448" s="31">
        <v>223.5</v>
      </c>
      <c r="B448" s="19"/>
      <c r="C448" s="19" t="s">
        <v>22</v>
      </c>
      <c r="D448" s="37">
        <v>45899</v>
      </c>
      <c r="E448" s="31" t="s">
        <v>413</v>
      </c>
      <c r="F448" s="31" t="s">
        <v>414</v>
      </c>
      <c r="G448" s="31">
        <v>3541</v>
      </c>
      <c r="H448" s="31" t="s">
        <v>160</v>
      </c>
      <c r="J448" s="38">
        <v>0</v>
      </c>
    </row>
    <row r="449" spans="1:10" x14ac:dyDescent="0.35">
      <c r="A449" s="31">
        <v>224</v>
      </c>
      <c r="B449" s="19" t="s">
        <v>17</v>
      </c>
      <c r="C449" s="19"/>
      <c r="D449" s="37">
        <v>45899</v>
      </c>
      <c r="E449" s="31" t="s">
        <v>415</v>
      </c>
      <c r="F449" s="31" t="s">
        <v>416</v>
      </c>
      <c r="G449" s="31">
        <v>2607</v>
      </c>
      <c r="H449" s="31" t="s">
        <v>160</v>
      </c>
      <c r="I449" s="38">
        <v>0</v>
      </c>
    </row>
    <row r="450" spans="1:10" x14ac:dyDescent="0.35">
      <c r="A450" s="31">
        <v>224.5</v>
      </c>
      <c r="B450" s="19"/>
      <c r="C450" s="19" t="s">
        <v>22</v>
      </c>
      <c r="D450" s="37">
        <v>45899</v>
      </c>
      <c r="E450" s="31" t="s">
        <v>415</v>
      </c>
      <c r="F450" s="31" t="s">
        <v>416</v>
      </c>
      <c r="G450" s="31">
        <v>2607</v>
      </c>
      <c r="H450" s="31" t="s">
        <v>160</v>
      </c>
      <c r="J450" s="38">
        <v>0</v>
      </c>
    </row>
    <row r="451" spans="1:10" x14ac:dyDescent="0.35">
      <c r="A451" s="31">
        <v>225</v>
      </c>
      <c r="B451" s="19" t="s">
        <v>17</v>
      </c>
      <c r="C451" s="19"/>
      <c r="D451" s="37">
        <v>45899</v>
      </c>
      <c r="E451" s="31" t="s">
        <v>417</v>
      </c>
      <c r="F451" s="53" t="s">
        <v>418</v>
      </c>
      <c r="G451" s="31">
        <v>3329</v>
      </c>
      <c r="H451" s="31" t="s">
        <v>160</v>
      </c>
      <c r="I451" s="38">
        <v>0</v>
      </c>
    </row>
    <row r="452" spans="1:10" x14ac:dyDescent="0.35">
      <c r="A452" s="31">
        <v>225.5</v>
      </c>
      <c r="B452" s="19"/>
      <c r="C452" s="19" t="s">
        <v>22</v>
      </c>
      <c r="D452" s="37">
        <v>45899</v>
      </c>
      <c r="E452" s="31" t="s">
        <v>417</v>
      </c>
      <c r="F452" s="53" t="s">
        <v>418</v>
      </c>
      <c r="G452" s="31">
        <v>3329</v>
      </c>
      <c r="H452" s="31" t="s">
        <v>160</v>
      </c>
      <c r="J452" s="38">
        <v>0</v>
      </c>
    </row>
    <row r="453" spans="1:10" x14ac:dyDescent="0.35">
      <c r="A453" s="31">
        <v>226</v>
      </c>
      <c r="B453" s="19" t="s">
        <v>17</v>
      </c>
      <c r="C453" s="19"/>
      <c r="D453" s="37">
        <v>45899</v>
      </c>
      <c r="E453" s="31" t="s">
        <v>419</v>
      </c>
      <c r="F453" s="31" t="s">
        <v>125</v>
      </c>
      <c r="G453" s="31">
        <v>3355</v>
      </c>
      <c r="H453" s="31" t="s">
        <v>160</v>
      </c>
      <c r="I453" s="38">
        <v>0</v>
      </c>
    </row>
    <row r="454" spans="1:10" x14ac:dyDescent="0.35">
      <c r="A454" s="31">
        <v>226.5</v>
      </c>
      <c r="B454" s="19"/>
      <c r="C454" s="19" t="s">
        <v>22</v>
      </c>
      <c r="D454" s="37">
        <v>45899</v>
      </c>
      <c r="E454" s="31" t="s">
        <v>419</v>
      </c>
      <c r="F454" s="31" t="s">
        <v>125</v>
      </c>
      <c r="G454" s="31">
        <v>3355</v>
      </c>
      <c r="H454" s="31" t="s">
        <v>160</v>
      </c>
      <c r="J454" s="38">
        <v>0</v>
      </c>
    </row>
    <row r="455" spans="1:10" x14ac:dyDescent="0.35">
      <c r="A455" s="31">
        <v>227</v>
      </c>
      <c r="B455" s="19" t="s">
        <v>17</v>
      </c>
      <c r="C455" s="19"/>
      <c r="D455" s="37">
        <v>45899</v>
      </c>
      <c r="E455" s="31" t="s">
        <v>420</v>
      </c>
      <c r="F455" s="31" t="s">
        <v>125</v>
      </c>
      <c r="G455" s="31">
        <v>3355</v>
      </c>
      <c r="H455" s="31" t="s">
        <v>160</v>
      </c>
      <c r="I455" s="38">
        <v>0</v>
      </c>
    </row>
    <row r="456" spans="1:10" x14ac:dyDescent="0.35">
      <c r="A456" s="31">
        <v>227.5</v>
      </c>
      <c r="B456" s="19"/>
      <c r="C456" s="19" t="s">
        <v>22</v>
      </c>
      <c r="D456" s="37">
        <v>45899</v>
      </c>
      <c r="E456" s="31" t="s">
        <v>420</v>
      </c>
      <c r="F456" s="31" t="s">
        <v>125</v>
      </c>
      <c r="G456" s="31">
        <v>3355</v>
      </c>
      <c r="H456" s="31" t="s">
        <v>160</v>
      </c>
      <c r="J456" s="38">
        <v>0</v>
      </c>
    </row>
    <row r="457" spans="1:10" x14ac:dyDescent="0.35">
      <c r="A457" s="31">
        <v>228</v>
      </c>
      <c r="B457" s="19" t="s">
        <v>17</v>
      </c>
      <c r="C457" s="19"/>
      <c r="D457" s="37">
        <v>45899</v>
      </c>
      <c r="E457" s="31" t="s">
        <v>421</v>
      </c>
      <c r="F457" s="31" t="s">
        <v>125</v>
      </c>
      <c r="G457" s="31">
        <v>3355</v>
      </c>
      <c r="H457" s="31" t="s">
        <v>160</v>
      </c>
      <c r="I457" s="38">
        <v>10.48</v>
      </c>
    </row>
    <row r="458" spans="1:10" x14ac:dyDescent="0.35">
      <c r="A458" s="31">
        <v>228.5</v>
      </c>
      <c r="B458" s="19"/>
      <c r="C458" s="19" t="s">
        <v>22</v>
      </c>
      <c r="D458" s="37">
        <v>45899</v>
      </c>
      <c r="E458" s="31" t="s">
        <v>421</v>
      </c>
      <c r="F458" s="31" t="s">
        <v>125</v>
      </c>
      <c r="G458" s="31">
        <v>3355</v>
      </c>
      <c r="H458" s="31" t="s">
        <v>160</v>
      </c>
      <c r="J458" s="38">
        <v>10.48</v>
      </c>
    </row>
    <row r="459" spans="1:10" x14ac:dyDescent="0.35">
      <c r="A459" s="31">
        <v>229</v>
      </c>
      <c r="B459" s="19" t="s">
        <v>17</v>
      </c>
      <c r="C459" s="19"/>
      <c r="D459" s="37">
        <v>45899</v>
      </c>
      <c r="E459" s="31" t="s">
        <v>422</v>
      </c>
      <c r="F459" s="31" t="s">
        <v>125</v>
      </c>
      <c r="G459" s="31">
        <v>3355</v>
      </c>
      <c r="H459" s="31" t="s">
        <v>160</v>
      </c>
      <c r="I459" s="38">
        <v>0</v>
      </c>
    </row>
    <row r="460" spans="1:10" x14ac:dyDescent="0.35">
      <c r="A460" s="31">
        <v>229.5</v>
      </c>
      <c r="B460" s="19"/>
      <c r="C460" s="19" t="s">
        <v>22</v>
      </c>
      <c r="D460" s="37">
        <v>45899</v>
      </c>
      <c r="E460" s="31" t="s">
        <v>422</v>
      </c>
      <c r="F460" s="31" t="s">
        <v>125</v>
      </c>
      <c r="G460" s="31">
        <v>3355</v>
      </c>
      <c r="H460" s="31" t="s">
        <v>160</v>
      </c>
      <c r="J460" s="38">
        <v>0</v>
      </c>
    </row>
    <row r="461" spans="1:10" x14ac:dyDescent="0.35">
      <c r="A461" s="31">
        <v>230</v>
      </c>
      <c r="B461" s="19" t="s">
        <v>17</v>
      </c>
      <c r="C461" s="19"/>
      <c r="D461" s="37">
        <v>45899</v>
      </c>
      <c r="E461" s="31" t="s">
        <v>423</v>
      </c>
      <c r="F461" s="31" t="s">
        <v>125</v>
      </c>
      <c r="G461" s="31">
        <v>3355</v>
      </c>
      <c r="H461" s="31" t="s">
        <v>160</v>
      </c>
      <c r="I461" s="38">
        <v>0</v>
      </c>
    </row>
    <row r="462" spans="1:10" x14ac:dyDescent="0.35">
      <c r="A462" s="31">
        <v>230.5</v>
      </c>
      <c r="B462" s="19"/>
      <c r="C462" s="19" t="s">
        <v>22</v>
      </c>
      <c r="D462" s="37">
        <v>45899</v>
      </c>
      <c r="E462" s="31" t="s">
        <v>423</v>
      </c>
      <c r="F462" s="31" t="s">
        <v>125</v>
      </c>
      <c r="G462" s="31">
        <v>3355</v>
      </c>
      <c r="H462" s="31" t="s">
        <v>160</v>
      </c>
      <c r="J462" s="38">
        <v>0</v>
      </c>
    </row>
    <row r="463" spans="1:10" x14ac:dyDescent="0.35">
      <c r="A463" s="31">
        <v>231</v>
      </c>
      <c r="B463" s="19" t="s">
        <v>17</v>
      </c>
      <c r="C463" s="19"/>
      <c r="D463" s="37">
        <v>45899</v>
      </c>
      <c r="E463" s="31" t="s">
        <v>424</v>
      </c>
      <c r="F463" s="31" t="s">
        <v>125</v>
      </c>
      <c r="G463" s="31">
        <v>3355</v>
      </c>
      <c r="H463" s="31" t="s">
        <v>160</v>
      </c>
      <c r="I463" s="38">
        <v>0</v>
      </c>
    </row>
    <row r="464" spans="1:10" x14ac:dyDescent="0.35">
      <c r="A464" s="31">
        <v>231.5</v>
      </c>
      <c r="B464" s="19"/>
      <c r="C464" s="19" t="s">
        <v>22</v>
      </c>
      <c r="D464" s="37">
        <v>45899</v>
      </c>
      <c r="E464" s="31" t="s">
        <v>424</v>
      </c>
      <c r="F464" s="31" t="s">
        <v>125</v>
      </c>
      <c r="G464" s="31">
        <v>3355</v>
      </c>
      <c r="H464" s="31" t="s">
        <v>160</v>
      </c>
      <c r="J464" s="38">
        <v>0</v>
      </c>
    </row>
    <row r="465" spans="1:10" x14ac:dyDescent="0.35">
      <c r="A465" s="31">
        <v>232</v>
      </c>
      <c r="B465" s="19" t="s">
        <v>17</v>
      </c>
      <c r="C465" s="19"/>
      <c r="D465" s="37">
        <v>45899</v>
      </c>
      <c r="E465" s="31" t="s">
        <v>425</v>
      </c>
      <c r="F465" s="31" t="s">
        <v>50</v>
      </c>
      <c r="G465" s="31">
        <v>1938</v>
      </c>
      <c r="H465" s="31" t="s">
        <v>160</v>
      </c>
      <c r="I465" s="38">
        <v>0</v>
      </c>
    </row>
    <row r="466" spans="1:10" x14ac:dyDescent="0.35">
      <c r="A466" s="31">
        <v>232.5</v>
      </c>
      <c r="B466" s="19"/>
      <c r="C466" s="19" t="s">
        <v>22</v>
      </c>
      <c r="D466" s="37">
        <v>45899</v>
      </c>
      <c r="E466" s="31" t="s">
        <v>425</v>
      </c>
      <c r="F466" s="31" t="s">
        <v>50</v>
      </c>
      <c r="G466" s="31">
        <v>1938</v>
      </c>
      <c r="H466" s="31" t="s">
        <v>160</v>
      </c>
      <c r="J466" s="38">
        <v>0</v>
      </c>
    </row>
    <row r="467" spans="1:10" x14ac:dyDescent="0.35">
      <c r="A467" s="31">
        <v>233</v>
      </c>
      <c r="B467" s="19" t="s">
        <v>17</v>
      </c>
      <c r="C467" s="19"/>
      <c r="D467" s="37">
        <v>45899</v>
      </c>
      <c r="E467" s="31" t="s">
        <v>426</v>
      </c>
      <c r="F467" s="31" t="s">
        <v>50</v>
      </c>
      <c r="G467" s="31">
        <v>1938</v>
      </c>
      <c r="H467" s="31" t="s">
        <v>160</v>
      </c>
      <c r="I467" s="38">
        <v>0</v>
      </c>
    </row>
    <row r="468" spans="1:10" x14ac:dyDescent="0.35">
      <c r="A468" s="31">
        <v>233.5</v>
      </c>
      <c r="B468" s="19"/>
      <c r="C468" s="19" t="s">
        <v>22</v>
      </c>
      <c r="D468" s="37">
        <v>45899</v>
      </c>
      <c r="E468" s="31" t="s">
        <v>426</v>
      </c>
      <c r="F468" s="31" t="s">
        <v>50</v>
      </c>
      <c r="G468" s="31">
        <v>1938</v>
      </c>
      <c r="H468" s="31" t="s">
        <v>160</v>
      </c>
      <c r="J468" s="38">
        <v>0</v>
      </c>
    </row>
    <row r="469" spans="1:10" x14ac:dyDescent="0.35">
      <c r="A469" s="31">
        <v>234</v>
      </c>
      <c r="B469" s="19" t="s">
        <v>17</v>
      </c>
      <c r="C469" s="19"/>
      <c r="D469" s="37">
        <v>45899</v>
      </c>
      <c r="E469" s="31" t="s">
        <v>427</v>
      </c>
      <c r="F469" s="31" t="s">
        <v>349</v>
      </c>
      <c r="G469" s="31">
        <v>576</v>
      </c>
      <c r="H469" s="31" t="s">
        <v>160</v>
      </c>
      <c r="I469" s="38">
        <v>2201.64</v>
      </c>
    </row>
    <row r="470" spans="1:10" x14ac:dyDescent="0.35">
      <c r="A470" s="31">
        <v>234.5</v>
      </c>
      <c r="B470" s="19"/>
      <c r="C470" s="19" t="s">
        <v>22</v>
      </c>
      <c r="D470" s="37">
        <v>45899</v>
      </c>
      <c r="E470" s="31" t="s">
        <v>427</v>
      </c>
      <c r="F470" s="31" t="s">
        <v>349</v>
      </c>
      <c r="G470" s="31">
        <v>576</v>
      </c>
      <c r="H470" s="31" t="s">
        <v>160</v>
      </c>
      <c r="J470" s="38">
        <v>2201.64</v>
      </c>
    </row>
    <row r="471" spans="1:10" x14ac:dyDescent="0.35">
      <c r="A471" s="31">
        <v>235</v>
      </c>
      <c r="B471" s="19" t="s">
        <v>17</v>
      </c>
      <c r="C471" s="19"/>
      <c r="D471" s="37">
        <v>45899</v>
      </c>
      <c r="E471" s="31" t="s">
        <v>428</v>
      </c>
      <c r="F471" s="31" t="s">
        <v>137</v>
      </c>
      <c r="G471" s="31">
        <v>3318</v>
      </c>
      <c r="H471" s="31" t="s">
        <v>160</v>
      </c>
      <c r="I471" s="38">
        <v>0</v>
      </c>
    </row>
    <row r="472" spans="1:10" x14ac:dyDescent="0.35">
      <c r="A472" s="31">
        <v>235.5</v>
      </c>
      <c r="B472" s="19"/>
      <c r="C472" s="19" t="s">
        <v>22</v>
      </c>
      <c r="D472" s="37">
        <v>45899</v>
      </c>
      <c r="E472" s="31" t="s">
        <v>428</v>
      </c>
      <c r="F472" s="31" t="s">
        <v>137</v>
      </c>
      <c r="G472" s="31">
        <v>3318</v>
      </c>
      <c r="H472" s="31" t="s">
        <v>160</v>
      </c>
      <c r="J472" s="38">
        <v>0</v>
      </c>
    </row>
    <row r="473" spans="1:10" x14ac:dyDescent="0.35">
      <c r="A473" s="31">
        <v>236</v>
      </c>
      <c r="B473" s="19" t="s">
        <v>17</v>
      </c>
      <c r="C473" s="19"/>
      <c r="D473" s="37">
        <v>45899</v>
      </c>
      <c r="E473" s="31" t="s">
        <v>429</v>
      </c>
      <c r="F473" s="31" t="s">
        <v>134</v>
      </c>
      <c r="G473" s="31">
        <v>3314</v>
      </c>
      <c r="H473" s="31" t="s">
        <v>160</v>
      </c>
      <c r="I473" s="38">
        <v>0</v>
      </c>
    </row>
    <row r="474" spans="1:10" x14ac:dyDescent="0.35">
      <c r="A474" s="31">
        <v>236.5</v>
      </c>
      <c r="B474" s="19"/>
      <c r="C474" s="19" t="s">
        <v>22</v>
      </c>
      <c r="D474" s="37">
        <v>45899</v>
      </c>
      <c r="E474" s="31" t="s">
        <v>429</v>
      </c>
      <c r="F474" s="31" t="s">
        <v>134</v>
      </c>
      <c r="G474" s="31">
        <v>3314</v>
      </c>
      <c r="H474" s="31" t="s">
        <v>160</v>
      </c>
      <c r="J474" s="38">
        <v>0</v>
      </c>
    </row>
    <row r="475" spans="1:10" x14ac:dyDescent="0.35">
      <c r="A475" s="31">
        <v>237</v>
      </c>
      <c r="B475" s="19" t="s">
        <v>17</v>
      </c>
      <c r="C475" s="19"/>
      <c r="D475" s="37">
        <v>45899</v>
      </c>
      <c r="E475" s="31" t="s">
        <v>430</v>
      </c>
      <c r="F475" s="31" t="s">
        <v>134</v>
      </c>
      <c r="G475" s="31">
        <v>3314</v>
      </c>
      <c r="H475" s="31" t="s">
        <v>160</v>
      </c>
      <c r="I475" s="38">
        <v>0</v>
      </c>
    </row>
    <row r="476" spans="1:10" x14ac:dyDescent="0.35">
      <c r="A476" s="31">
        <v>237.5</v>
      </c>
      <c r="B476" s="19"/>
      <c r="C476" s="19" t="s">
        <v>22</v>
      </c>
      <c r="D476" s="37">
        <v>45899</v>
      </c>
      <c r="E476" s="31" t="s">
        <v>430</v>
      </c>
      <c r="F476" s="31" t="s">
        <v>134</v>
      </c>
      <c r="G476" s="31">
        <v>3314</v>
      </c>
      <c r="H476" s="31" t="s">
        <v>160</v>
      </c>
      <c r="J476" s="38">
        <v>0</v>
      </c>
    </row>
    <row r="477" spans="1:10" x14ac:dyDescent="0.35">
      <c r="A477" s="31">
        <v>238</v>
      </c>
      <c r="B477" s="19" t="s">
        <v>17</v>
      </c>
      <c r="C477" s="19"/>
      <c r="D477" s="37">
        <v>45899</v>
      </c>
      <c r="E477" s="31" t="s">
        <v>431</v>
      </c>
      <c r="F477" s="31" t="s">
        <v>432</v>
      </c>
      <c r="G477" s="31">
        <v>3324</v>
      </c>
      <c r="H477" s="31" t="s">
        <v>160</v>
      </c>
      <c r="I477" s="38">
        <v>0</v>
      </c>
    </row>
    <row r="478" spans="1:10" x14ac:dyDescent="0.35">
      <c r="A478" s="31">
        <v>238.5</v>
      </c>
      <c r="B478" s="19"/>
      <c r="C478" s="19" t="s">
        <v>22</v>
      </c>
      <c r="D478" s="37">
        <v>45899</v>
      </c>
      <c r="E478" s="31" t="s">
        <v>431</v>
      </c>
      <c r="F478" s="31" t="s">
        <v>432</v>
      </c>
      <c r="G478" s="31">
        <v>3324</v>
      </c>
      <c r="H478" s="31" t="s">
        <v>160</v>
      </c>
      <c r="J478" s="38">
        <v>0</v>
      </c>
    </row>
    <row r="479" spans="1:10" x14ac:dyDescent="0.35">
      <c r="A479" s="31">
        <v>239</v>
      </c>
      <c r="B479" s="19" t="s">
        <v>17</v>
      </c>
      <c r="C479" s="19"/>
      <c r="D479" s="37">
        <v>45899</v>
      </c>
      <c r="E479" s="31" t="s">
        <v>433</v>
      </c>
      <c r="F479" s="31" t="s">
        <v>432</v>
      </c>
      <c r="G479" s="31">
        <v>3324</v>
      </c>
      <c r="H479" s="31" t="s">
        <v>160</v>
      </c>
      <c r="I479" s="38">
        <v>0</v>
      </c>
    </row>
    <row r="480" spans="1:10" x14ac:dyDescent="0.35">
      <c r="A480" s="31">
        <v>239.5</v>
      </c>
      <c r="B480" s="19"/>
      <c r="C480" s="19" t="s">
        <v>22</v>
      </c>
      <c r="D480" s="37">
        <v>45899</v>
      </c>
      <c r="E480" s="31" t="s">
        <v>433</v>
      </c>
      <c r="F480" s="31" t="s">
        <v>432</v>
      </c>
      <c r="G480" s="31">
        <v>3324</v>
      </c>
      <c r="H480" s="31" t="s">
        <v>160</v>
      </c>
      <c r="J480" s="38">
        <v>0</v>
      </c>
    </row>
    <row r="481" spans="1:10" x14ac:dyDescent="0.35">
      <c r="A481" s="31">
        <v>240</v>
      </c>
      <c r="B481" s="19" t="s">
        <v>17</v>
      </c>
      <c r="C481" s="19"/>
      <c r="D481" s="37">
        <v>45899</v>
      </c>
      <c r="E481" s="31" t="s">
        <v>434</v>
      </c>
      <c r="F481" s="31" t="s">
        <v>432</v>
      </c>
      <c r="G481" s="31">
        <v>3324</v>
      </c>
      <c r="H481" s="31" t="s">
        <v>160</v>
      </c>
      <c r="I481" s="38">
        <v>0</v>
      </c>
    </row>
    <row r="482" spans="1:10" x14ac:dyDescent="0.35">
      <c r="A482" s="31">
        <v>240.5</v>
      </c>
      <c r="B482" s="19"/>
      <c r="C482" s="19" t="s">
        <v>22</v>
      </c>
      <c r="D482" s="37">
        <v>45899</v>
      </c>
      <c r="E482" s="31" t="s">
        <v>434</v>
      </c>
      <c r="F482" s="31" t="s">
        <v>432</v>
      </c>
      <c r="G482" s="31">
        <v>3324</v>
      </c>
      <c r="H482" s="31" t="s">
        <v>160</v>
      </c>
      <c r="J482" s="38">
        <v>0</v>
      </c>
    </row>
    <row r="483" spans="1:10" x14ac:dyDescent="0.35">
      <c r="A483" s="31">
        <v>241</v>
      </c>
      <c r="B483" s="19" t="s">
        <v>17</v>
      </c>
      <c r="C483" s="19"/>
      <c r="D483" s="37">
        <v>45899</v>
      </c>
      <c r="E483" s="31" t="s">
        <v>435</v>
      </c>
      <c r="F483" s="31" t="s">
        <v>137</v>
      </c>
      <c r="G483" s="31">
        <v>3318</v>
      </c>
      <c r="H483" s="31" t="s">
        <v>160</v>
      </c>
      <c r="I483" s="38">
        <v>0</v>
      </c>
    </row>
    <row r="484" spans="1:10" x14ac:dyDescent="0.35">
      <c r="A484" s="31">
        <v>241.5</v>
      </c>
      <c r="B484" s="19"/>
      <c r="C484" s="19" t="s">
        <v>22</v>
      </c>
      <c r="D484" s="37">
        <v>45899</v>
      </c>
      <c r="E484" s="31" t="s">
        <v>435</v>
      </c>
      <c r="F484" s="31" t="s">
        <v>137</v>
      </c>
      <c r="G484" s="31">
        <v>3318</v>
      </c>
      <c r="H484" s="31" t="s">
        <v>160</v>
      </c>
      <c r="J484" s="38">
        <v>0</v>
      </c>
    </row>
    <row r="485" spans="1:10" x14ac:dyDescent="0.35">
      <c r="A485" s="31">
        <v>242</v>
      </c>
      <c r="B485" s="19" t="s">
        <v>17</v>
      </c>
      <c r="C485" s="19"/>
      <c r="D485" s="37">
        <v>45899</v>
      </c>
      <c r="E485" s="31" t="s">
        <v>436</v>
      </c>
      <c r="F485" s="31" t="s">
        <v>137</v>
      </c>
      <c r="G485" s="31">
        <v>3318</v>
      </c>
      <c r="H485" s="31" t="s">
        <v>160</v>
      </c>
      <c r="I485" s="38">
        <v>0</v>
      </c>
    </row>
    <row r="486" spans="1:10" x14ac:dyDescent="0.35">
      <c r="A486" s="31">
        <v>242.5</v>
      </c>
      <c r="B486" s="19"/>
      <c r="C486" s="19" t="s">
        <v>22</v>
      </c>
      <c r="D486" s="37">
        <v>45899</v>
      </c>
      <c r="E486" s="31" t="s">
        <v>436</v>
      </c>
      <c r="F486" s="31" t="s">
        <v>137</v>
      </c>
      <c r="G486" s="31">
        <v>3318</v>
      </c>
      <c r="H486" s="31" t="s">
        <v>160</v>
      </c>
      <c r="J486" s="38">
        <v>0</v>
      </c>
    </row>
    <row r="487" spans="1:10" x14ac:dyDescent="0.35">
      <c r="A487" s="31">
        <v>243</v>
      </c>
      <c r="B487" s="19" t="s">
        <v>17</v>
      </c>
      <c r="C487" s="19"/>
      <c r="D487" s="37">
        <v>45899</v>
      </c>
      <c r="E487" s="31" t="s">
        <v>437</v>
      </c>
      <c r="F487" s="31" t="s">
        <v>438</v>
      </c>
      <c r="G487" s="31">
        <v>2677</v>
      </c>
      <c r="H487" s="31" t="s">
        <v>160</v>
      </c>
      <c r="I487" s="38">
        <v>0</v>
      </c>
    </row>
    <row r="488" spans="1:10" x14ac:dyDescent="0.35">
      <c r="A488" s="31">
        <v>243.5</v>
      </c>
      <c r="B488" s="19"/>
      <c r="C488" s="19" t="s">
        <v>22</v>
      </c>
      <c r="D488" s="37">
        <v>45899</v>
      </c>
      <c r="E488" s="31" t="s">
        <v>437</v>
      </c>
      <c r="F488" s="31" t="s">
        <v>438</v>
      </c>
      <c r="G488" s="31">
        <v>2677</v>
      </c>
      <c r="H488" s="31" t="s">
        <v>160</v>
      </c>
      <c r="J488" s="38">
        <v>0</v>
      </c>
    </row>
    <row r="489" spans="1:10" x14ac:dyDescent="0.35">
      <c r="A489" s="31">
        <v>244</v>
      </c>
      <c r="B489" s="19" t="s">
        <v>17</v>
      </c>
      <c r="C489" s="19"/>
      <c r="D489" s="37">
        <v>45899</v>
      </c>
      <c r="E489" s="31" t="s">
        <v>439</v>
      </c>
      <c r="F489" s="31" t="s">
        <v>438</v>
      </c>
      <c r="G489" s="31">
        <v>2677</v>
      </c>
      <c r="H489" s="31" t="s">
        <v>160</v>
      </c>
      <c r="I489" s="38">
        <v>0</v>
      </c>
    </row>
    <row r="490" spans="1:10" x14ac:dyDescent="0.35">
      <c r="A490" s="31">
        <v>244.5</v>
      </c>
      <c r="B490" s="19"/>
      <c r="C490" s="19" t="s">
        <v>22</v>
      </c>
      <c r="D490" s="37">
        <v>45899</v>
      </c>
      <c r="E490" s="31" t="s">
        <v>439</v>
      </c>
      <c r="F490" s="31" t="s">
        <v>438</v>
      </c>
      <c r="G490" s="31">
        <v>2677</v>
      </c>
      <c r="H490" s="31" t="s">
        <v>160</v>
      </c>
      <c r="J490" s="38">
        <v>0</v>
      </c>
    </row>
    <row r="491" spans="1:10" x14ac:dyDescent="0.35">
      <c r="A491" s="31">
        <v>245</v>
      </c>
      <c r="B491" s="19" t="s">
        <v>17</v>
      </c>
      <c r="C491" s="19"/>
      <c r="D491" s="37">
        <v>45899</v>
      </c>
      <c r="E491" s="31" t="s">
        <v>440</v>
      </c>
      <c r="F491" s="31" t="s">
        <v>80</v>
      </c>
      <c r="G491" s="31">
        <v>3351</v>
      </c>
      <c r="H491" s="31" t="s">
        <v>160</v>
      </c>
      <c r="I491" s="38">
        <v>0</v>
      </c>
    </row>
    <row r="492" spans="1:10" x14ac:dyDescent="0.35">
      <c r="A492" s="31">
        <v>245.5</v>
      </c>
      <c r="B492" s="19"/>
      <c r="C492" s="19" t="s">
        <v>22</v>
      </c>
      <c r="D492" s="37">
        <v>45899</v>
      </c>
      <c r="E492" s="31" t="s">
        <v>440</v>
      </c>
      <c r="F492" s="31" t="s">
        <v>80</v>
      </c>
      <c r="G492" s="31">
        <v>3351</v>
      </c>
      <c r="H492" s="31" t="s">
        <v>160</v>
      </c>
      <c r="J492" s="38">
        <v>0</v>
      </c>
    </row>
    <row r="493" spans="1:10" x14ac:dyDescent="0.35">
      <c r="A493" s="31">
        <v>246</v>
      </c>
      <c r="B493" s="19" t="s">
        <v>17</v>
      </c>
      <c r="C493" s="19"/>
      <c r="D493" s="37">
        <v>45899</v>
      </c>
      <c r="E493" s="31" t="s">
        <v>441</v>
      </c>
      <c r="F493" s="31" t="s">
        <v>80</v>
      </c>
      <c r="G493" s="31">
        <v>3351</v>
      </c>
      <c r="H493" s="31" t="s">
        <v>160</v>
      </c>
      <c r="I493" s="38">
        <v>0</v>
      </c>
    </row>
    <row r="494" spans="1:10" x14ac:dyDescent="0.35">
      <c r="A494" s="31">
        <v>246.5</v>
      </c>
      <c r="B494" s="19"/>
      <c r="C494" s="19" t="s">
        <v>22</v>
      </c>
      <c r="D494" s="37">
        <v>45899</v>
      </c>
      <c r="E494" s="31" t="s">
        <v>441</v>
      </c>
      <c r="F494" s="31" t="s">
        <v>80</v>
      </c>
      <c r="G494" s="31">
        <v>3351</v>
      </c>
      <c r="H494" s="31" t="s">
        <v>160</v>
      </c>
      <c r="J494" s="38">
        <v>0</v>
      </c>
    </row>
    <row r="495" spans="1:10" x14ac:dyDescent="0.35">
      <c r="A495" s="31">
        <v>247</v>
      </c>
      <c r="B495" s="19" t="s">
        <v>17</v>
      </c>
      <c r="C495" s="19"/>
      <c r="D495" s="37">
        <v>45899</v>
      </c>
      <c r="E495" s="31" t="s">
        <v>442</v>
      </c>
      <c r="F495" s="31" t="s">
        <v>80</v>
      </c>
      <c r="G495" s="31">
        <v>3351</v>
      </c>
      <c r="H495" s="31" t="s">
        <v>160</v>
      </c>
      <c r="I495" s="38">
        <v>0</v>
      </c>
    </row>
    <row r="496" spans="1:10" x14ac:dyDescent="0.35">
      <c r="A496" s="31">
        <v>247.5</v>
      </c>
      <c r="B496" s="19"/>
      <c r="C496" s="19" t="s">
        <v>22</v>
      </c>
      <c r="D496" s="37">
        <v>45899</v>
      </c>
      <c r="E496" s="31" t="s">
        <v>442</v>
      </c>
      <c r="F496" s="31" t="s">
        <v>80</v>
      </c>
      <c r="G496" s="31">
        <v>3351</v>
      </c>
      <c r="H496" s="31" t="s">
        <v>160</v>
      </c>
      <c r="J496" s="38">
        <v>0</v>
      </c>
    </row>
    <row r="497" spans="1:10" x14ac:dyDescent="0.35">
      <c r="A497" s="31">
        <v>248</v>
      </c>
      <c r="B497" s="19" t="s">
        <v>17</v>
      </c>
      <c r="C497" s="19"/>
      <c r="D497" s="37">
        <v>45899</v>
      </c>
      <c r="E497" s="31" t="s">
        <v>443</v>
      </c>
      <c r="F497" s="31" t="s">
        <v>80</v>
      </c>
      <c r="G497" s="31">
        <v>3351</v>
      </c>
      <c r="H497" s="31" t="s">
        <v>160</v>
      </c>
      <c r="I497" s="38">
        <v>0</v>
      </c>
    </row>
    <row r="498" spans="1:10" x14ac:dyDescent="0.35">
      <c r="A498" s="31">
        <v>248.5</v>
      </c>
      <c r="B498" s="19"/>
      <c r="C498" s="19" t="s">
        <v>22</v>
      </c>
      <c r="D498" s="37">
        <v>45899</v>
      </c>
      <c r="E498" s="31" t="s">
        <v>443</v>
      </c>
      <c r="F498" s="31" t="s">
        <v>80</v>
      </c>
      <c r="G498" s="31">
        <v>3351</v>
      </c>
      <c r="H498" s="31" t="s">
        <v>160</v>
      </c>
      <c r="J498" s="38">
        <v>0</v>
      </c>
    </row>
    <row r="499" spans="1:10" x14ac:dyDescent="0.35">
      <c r="A499" s="31">
        <v>249</v>
      </c>
      <c r="B499" s="19" t="s">
        <v>17</v>
      </c>
      <c r="C499" s="19"/>
      <c r="D499" s="37">
        <v>45899</v>
      </c>
      <c r="E499" s="31" t="s">
        <v>444</v>
      </c>
      <c r="F499" s="31" t="s">
        <v>80</v>
      </c>
      <c r="G499" s="31">
        <v>3351</v>
      </c>
      <c r="H499" s="31" t="s">
        <v>160</v>
      </c>
      <c r="I499" s="38">
        <v>0</v>
      </c>
    </row>
    <row r="500" spans="1:10" x14ac:dyDescent="0.35">
      <c r="A500" s="31">
        <v>249.5</v>
      </c>
      <c r="B500" s="19"/>
      <c r="C500" s="19" t="s">
        <v>22</v>
      </c>
      <c r="D500" s="37">
        <v>45899</v>
      </c>
      <c r="E500" s="31" t="s">
        <v>444</v>
      </c>
      <c r="F500" s="31" t="s">
        <v>80</v>
      </c>
      <c r="G500" s="31">
        <v>3351</v>
      </c>
      <c r="H500" s="31" t="s">
        <v>160</v>
      </c>
      <c r="J500" s="38">
        <v>0</v>
      </c>
    </row>
    <row r="501" spans="1:10" x14ac:dyDescent="0.35">
      <c r="A501" s="31">
        <v>250</v>
      </c>
      <c r="B501" s="19" t="s">
        <v>17</v>
      </c>
      <c r="C501" s="19"/>
      <c r="D501" s="37">
        <v>45899</v>
      </c>
      <c r="E501" s="31" t="s">
        <v>445</v>
      </c>
      <c r="F501" s="31" t="s">
        <v>80</v>
      </c>
      <c r="G501" s="31">
        <v>3351</v>
      </c>
      <c r="H501" s="31" t="s">
        <v>160</v>
      </c>
      <c r="I501" s="38">
        <v>0</v>
      </c>
    </row>
    <row r="502" spans="1:10" x14ac:dyDescent="0.35">
      <c r="A502" s="31">
        <v>250.5</v>
      </c>
      <c r="B502" s="19"/>
      <c r="C502" s="19" t="s">
        <v>22</v>
      </c>
      <c r="D502" s="37">
        <v>45899</v>
      </c>
      <c r="E502" s="31" t="s">
        <v>445</v>
      </c>
      <c r="F502" s="31" t="s">
        <v>80</v>
      </c>
      <c r="G502" s="31">
        <v>3351</v>
      </c>
      <c r="H502" s="31" t="s">
        <v>160</v>
      </c>
      <c r="J502" s="38">
        <v>0</v>
      </c>
    </row>
    <row r="503" spans="1:10" x14ac:dyDescent="0.35">
      <c r="A503" s="31">
        <v>251</v>
      </c>
      <c r="B503" s="19" t="s">
        <v>17</v>
      </c>
      <c r="C503" s="19"/>
      <c r="D503" s="37">
        <v>45899</v>
      </c>
      <c r="E503" s="31" t="s">
        <v>446</v>
      </c>
      <c r="F503" s="31" t="s">
        <v>447</v>
      </c>
      <c r="G503" s="31">
        <v>569</v>
      </c>
      <c r="H503" s="31" t="s">
        <v>160</v>
      </c>
      <c r="I503" s="38">
        <v>0</v>
      </c>
    </row>
    <row r="504" spans="1:10" x14ac:dyDescent="0.35">
      <c r="A504" s="31">
        <v>251.5</v>
      </c>
      <c r="B504" s="19"/>
      <c r="C504" s="19" t="s">
        <v>22</v>
      </c>
      <c r="D504" s="37">
        <v>45899</v>
      </c>
      <c r="E504" s="31" t="s">
        <v>446</v>
      </c>
      <c r="F504" s="31" t="s">
        <v>447</v>
      </c>
      <c r="G504" s="31">
        <v>569</v>
      </c>
      <c r="H504" s="31" t="s">
        <v>160</v>
      </c>
      <c r="J504" s="38">
        <v>0</v>
      </c>
    </row>
    <row r="505" spans="1:10" x14ac:dyDescent="0.35">
      <c r="A505" s="31">
        <v>252</v>
      </c>
      <c r="B505" s="19" t="s">
        <v>17</v>
      </c>
      <c r="C505" s="19"/>
      <c r="D505" s="37">
        <v>45899</v>
      </c>
      <c r="E505" s="31" t="s">
        <v>448</v>
      </c>
      <c r="F505" s="31" t="s">
        <v>449</v>
      </c>
      <c r="G505" s="31">
        <v>3542</v>
      </c>
      <c r="H505" s="31" t="s">
        <v>160</v>
      </c>
      <c r="I505" s="38">
        <v>0</v>
      </c>
    </row>
    <row r="506" spans="1:10" x14ac:dyDescent="0.35">
      <c r="A506" s="31">
        <v>252.5</v>
      </c>
      <c r="B506" s="19"/>
      <c r="C506" s="19" t="s">
        <v>22</v>
      </c>
      <c r="D506" s="37">
        <v>45899</v>
      </c>
      <c r="E506" s="31" t="s">
        <v>448</v>
      </c>
      <c r="F506" s="31" t="s">
        <v>449</v>
      </c>
      <c r="G506" s="31">
        <v>3542</v>
      </c>
      <c r="H506" s="31" t="s">
        <v>160</v>
      </c>
      <c r="J506" s="38">
        <v>0</v>
      </c>
    </row>
    <row r="507" spans="1:10" x14ac:dyDescent="0.35">
      <c r="A507" s="31">
        <v>253</v>
      </c>
      <c r="B507" s="19" t="s">
        <v>17</v>
      </c>
      <c r="C507" s="19"/>
      <c r="D507" s="37">
        <v>45899</v>
      </c>
      <c r="E507" s="31" t="s">
        <v>450</v>
      </c>
      <c r="F507" s="31" t="s">
        <v>449</v>
      </c>
      <c r="G507" s="31">
        <v>3542</v>
      </c>
      <c r="H507" s="31" t="s">
        <v>160</v>
      </c>
      <c r="I507" s="38">
        <v>0</v>
      </c>
    </row>
    <row r="508" spans="1:10" x14ac:dyDescent="0.35">
      <c r="A508" s="31">
        <v>253.5</v>
      </c>
      <c r="B508" s="19"/>
      <c r="C508" s="19" t="s">
        <v>22</v>
      </c>
      <c r="D508" s="37">
        <v>45899</v>
      </c>
      <c r="E508" s="31" t="s">
        <v>450</v>
      </c>
      <c r="F508" s="31" t="s">
        <v>449</v>
      </c>
      <c r="G508" s="31">
        <v>3542</v>
      </c>
      <c r="H508" s="31" t="s">
        <v>160</v>
      </c>
      <c r="J508" s="38">
        <v>0</v>
      </c>
    </row>
    <row r="509" spans="1:10" x14ac:dyDescent="0.35">
      <c r="A509" s="31">
        <v>254</v>
      </c>
      <c r="B509" s="19" t="s">
        <v>17</v>
      </c>
      <c r="C509" s="19"/>
      <c r="D509" s="37">
        <v>45899</v>
      </c>
      <c r="E509" s="31" t="s">
        <v>451</v>
      </c>
      <c r="F509" s="31" t="s">
        <v>263</v>
      </c>
      <c r="G509" s="31">
        <v>3529</v>
      </c>
      <c r="H509" s="31" t="s">
        <v>160</v>
      </c>
      <c r="I509" s="38">
        <v>0</v>
      </c>
    </row>
    <row r="510" spans="1:10" x14ac:dyDescent="0.35">
      <c r="A510" s="31">
        <v>254.5</v>
      </c>
      <c r="B510" s="19"/>
      <c r="C510" s="19" t="s">
        <v>22</v>
      </c>
      <c r="D510" s="37">
        <v>45899</v>
      </c>
      <c r="E510" s="31" t="s">
        <v>451</v>
      </c>
      <c r="F510" s="31" t="s">
        <v>263</v>
      </c>
      <c r="G510" s="31">
        <v>3529</v>
      </c>
      <c r="H510" s="31" t="s">
        <v>160</v>
      </c>
      <c r="J510" s="38">
        <v>0</v>
      </c>
    </row>
    <row r="511" spans="1:10" x14ac:dyDescent="0.35">
      <c r="A511" s="31">
        <v>255</v>
      </c>
      <c r="B511" s="19" t="s">
        <v>17</v>
      </c>
      <c r="C511" s="19"/>
      <c r="D511" s="37">
        <v>45899</v>
      </c>
      <c r="E511" s="31" t="s">
        <v>452</v>
      </c>
      <c r="F511" s="31" t="s">
        <v>453</v>
      </c>
      <c r="G511" s="31">
        <v>3400</v>
      </c>
      <c r="H511" s="31" t="s">
        <v>160</v>
      </c>
      <c r="I511" s="38">
        <v>0</v>
      </c>
    </row>
    <row r="512" spans="1:10" x14ac:dyDescent="0.35">
      <c r="A512" s="31">
        <v>255.5</v>
      </c>
      <c r="B512" s="19"/>
      <c r="C512" s="19" t="s">
        <v>22</v>
      </c>
      <c r="D512" s="37">
        <v>45899</v>
      </c>
      <c r="E512" s="31" t="s">
        <v>452</v>
      </c>
      <c r="F512" s="31" t="s">
        <v>453</v>
      </c>
      <c r="G512" s="31">
        <v>3400</v>
      </c>
      <c r="H512" s="31" t="s">
        <v>160</v>
      </c>
      <c r="J512" s="38">
        <v>0</v>
      </c>
    </row>
    <row r="513" spans="1:10" x14ac:dyDescent="0.35">
      <c r="A513" s="31">
        <v>256</v>
      </c>
      <c r="B513" s="19" t="s">
        <v>17</v>
      </c>
      <c r="C513" s="19"/>
      <c r="D513" s="37">
        <v>45899</v>
      </c>
      <c r="E513" s="31" t="s">
        <v>454</v>
      </c>
      <c r="F513" s="31" t="s">
        <v>134</v>
      </c>
      <c r="G513" s="31">
        <v>3314</v>
      </c>
      <c r="H513" s="31" t="s">
        <v>160</v>
      </c>
      <c r="I513" s="38">
        <v>0</v>
      </c>
    </row>
    <row r="514" spans="1:10" x14ac:dyDescent="0.35">
      <c r="A514" s="31">
        <v>256.5</v>
      </c>
      <c r="B514" s="19"/>
      <c r="C514" s="19" t="s">
        <v>22</v>
      </c>
      <c r="D514" s="37">
        <v>45899</v>
      </c>
      <c r="E514" s="31" t="s">
        <v>454</v>
      </c>
      <c r="F514" s="31" t="s">
        <v>134</v>
      </c>
      <c r="G514" s="31">
        <v>3314</v>
      </c>
      <c r="H514" s="31" t="s">
        <v>160</v>
      </c>
      <c r="J514" s="38">
        <v>0</v>
      </c>
    </row>
    <row r="515" spans="1:10" x14ac:dyDescent="0.35">
      <c r="A515" s="31">
        <v>257</v>
      </c>
      <c r="B515" s="19" t="s">
        <v>17</v>
      </c>
      <c r="C515" s="19"/>
      <c r="D515" s="37">
        <v>45899</v>
      </c>
      <c r="E515" s="31" t="s">
        <v>455</v>
      </c>
      <c r="F515" s="31" t="s">
        <v>134</v>
      </c>
      <c r="G515" s="31">
        <v>3314</v>
      </c>
      <c r="H515" s="31" t="s">
        <v>160</v>
      </c>
      <c r="I515" s="38">
        <v>0</v>
      </c>
    </row>
    <row r="516" spans="1:10" x14ac:dyDescent="0.35">
      <c r="A516" s="31">
        <v>257.5</v>
      </c>
      <c r="B516" s="19"/>
      <c r="C516" s="19" t="s">
        <v>22</v>
      </c>
      <c r="D516" s="37">
        <v>45899</v>
      </c>
      <c r="E516" s="31" t="s">
        <v>455</v>
      </c>
      <c r="F516" s="31" t="s">
        <v>134</v>
      </c>
      <c r="G516" s="31">
        <v>3314</v>
      </c>
      <c r="H516" s="31" t="s">
        <v>160</v>
      </c>
      <c r="J516" s="38">
        <v>0</v>
      </c>
    </row>
    <row r="517" spans="1:10" x14ac:dyDescent="0.35">
      <c r="A517" s="31">
        <v>258</v>
      </c>
      <c r="B517" s="19" t="s">
        <v>17</v>
      </c>
      <c r="C517" s="19"/>
      <c r="D517" s="37">
        <v>45899</v>
      </c>
      <c r="E517" s="31" t="s">
        <v>456</v>
      </c>
      <c r="F517" s="31" t="s">
        <v>134</v>
      </c>
      <c r="G517" s="31">
        <v>3314</v>
      </c>
      <c r="H517" s="31" t="s">
        <v>160</v>
      </c>
      <c r="I517" s="38">
        <v>0</v>
      </c>
    </row>
    <row r="518" spans="1:10" x14ac:dyDescent="0.35">
      <c r="A518" s="31">
        <v>258.5</v>
      </c>
      <c r="B518" s="19"/>
      <c r="C518" s="19" t="s">
        <v>22</v>
      </c>
      <c r="D518" s="37">
        <v>45899</v>
      </c>
      <c r="E518" s="31" t="s">
        <v>456</v>
      </c>
      <c r="F518" s="31" t="s">
        <v>134</v>
      </c>
      <c r="G518" s="31">
        <v>3314</v>
      </c>
      <c r="H518" s="31" t="s">
        <v>160</v>
      </c>
      <c r="J518" s="38">
        <v>0</v>
      </c>
    </row>
    <row r="519" spans="1:10" x14ac:dyDescent="0.35">
      <c r="A519" s="31">
        <v>259</v>
      </c>
      <c r="B519" s="19" t="s">
        <v>17</v>
      </c>
      <c r="C519" s="19"/>
      <c r="D519" s="37">
        <v>45899</v>
      </c>
      <c r="E519" s="31" t="s">
        <v>457</v>
      </c>
      <c r="F519" s="31" t="s">
        <v>134</v>
      </c>
      <c r="G519" s="31">
        <v>3314</v>
      </c>
      <c r="H519" s="31" t="s">
        <v>160</v>
      </c>
      <c r="I519" s="38">
        <v>7.63</v>
      </c>
    </row>
    <row r="520" spans="1:10" x14ac:dyDescent="0.35">
      <c r="A520" s="31">
        <v>259.5</v>
      </c>
      <c r="B520" s="19"/>
      <c r="C520" s="19" t="s">
        <v>22</v>
      </c>
      <c r="D520" s="37">
        <v>45899</v>
      </c>
      <c r="E520" s="31" t="s">
        <v>457</v>
      </c>
      <c r="F520" s="31" t="s">
        <v>134</v>
      </c>
      <c r="G520" s="31">
        <v>3314</v>
      </c>
      <c r="H520" s="31" t="s">
        <v>160</v>
      </c>
      <c r="J520" s="38">
        <v>7.63</v>
      </c>
    </row>
    <row r="521" spans="1:10" x14ac:dyDescent="0.35">
      <c r="A521" s="31">
        <v>260</v>
      </c>
      <c r="B521" s="19" t="s">
        <v>17</v>
      </c>
      <c r="C521" s="19"/>
      <c r="D521" s="37">
        <v>45899</v>
      </c>
      <c r="E521" s="31" t="s">
        <v>458</v>
      </c>
      <c r="F521" s="31" t="s">
        <v>134</v>
      </c>
      <c r="G521" s="31">
        <v>3314</v>
      </c>
      <c r="H521" s="31" t="s">
        <v>160</v>
      </c>
      <c r="I521" s="38">
        <v>0</v>
      </c>
    </row>
    <row r="522" spans="1:10" x14ac:dyDescent="0.35">
      <c r="A522" s="31">
        <v>260.5</v>
      </c>
      <c r="B522" s="19"/>
      <c r="C522" s="19" t="s">
        <v>22</v>
      </c>
      <c r="D522" s="37">
        <v>45899</v>
      </c>
      <c r="E522" s="31" t="s">
        <v>458</v>
      </c>
      <c r="F522" s="31" t="s">
        <v>134</v>
      </c>
      <c r="G522" s="31">
        <v>3314</v>
      </c>
      <c r="H522" s="31" t="s">
        <v>160</v>
      </c>
      <c r="J522" s="38">
        <v>0</v>
      </c>
    </row>
    <row r="523" spans="1:10" x14ac:dyDescent="0.35">
      <c r="A523" s="31">
        <v>261</v>
      </c>
      <c r="B523" s="19" t="s">
        <v>17</v>
      </c>
      <c r="C523" s="19"/>
      <c r="D523" s="37">
        <v>45899</v>
      </c>
      <c r="E523" s="31" t="s">
        <v>459</v>
      </c>
      <c r="F523" s="31" t="s">
        <v>134</v>
      </c>
      <c r="G523" s="31">
        <v>3314</v>
      </c>
      <c r="H523" s="31" t="s">
        <v>160</v>
      </c>
      <c r="I523" s="38">
        <v>0</v>
      </c>
    </row>
    <row r="524" spans="1:10" x14ac:dyDescent="0.35">
      <c r="A524" s="31">
        <v>261.5</v>
      </c>
      <c r="B524" s="19"/>
      <c r="C524" s="19" t="s">
        <v>22</v>
      </c>
      <c r="D524" s="37">
        <v>45899</v>
      </c>
      <c r="E524" s="31" t="s">
        <v>459</v>
      </c>
      <c r="F524" s="31" t="s">
        <v>134</v>
      </c>
      <c r="G524" s="31">
        <v>3314</v>
      </c>
      <c r="H524" s="31" t="s">
        <v>160</v>
      </c>
      <c r="J524" s="38">
        <v>0</v>
      </c>
    </row>
    <row r="525" spans="1:10" x14ac:dyDescent="0.35">
      <c r="A525" s="31">
        <v>262</v>
      </c>
      <c r="B525" s="19" t="s">
        <v>17</v>
      </c>
      <c r="C525" s="19"/>
      <c r="D525" s="37">
        <v>45899</v>
      </c>
      <c r="E525" s="31" t="s">
        <v>460</v>
      </c>
      <c r="F525" s="31" t="s">
        <v>134</v>
      </c>
      <c r="G525" s="31">
        <v>3314</v>
      </c>
      <c r="H525" s="31" t="s">
        <v>160</v>
      </c>
      <c r="I525" s="38">
        <v>0</v>
      </c>
    </row>
    <row r="526" spans="1:10" x14ac:dyDescent="0.35">
      <c r="A526" s="31">
        <v>262.5</v>
      </c>
      <c r="B526" s="19"/>
      <c r="C526" s="19" t="s">
        <v>22</v>
      </c>
      <c r="D526" s="37">
        <v>45899</v>
      </c>
      <c r="E526" s="31" t="s">
        <v>460</v>
      </c>
      <c r="F526" s="31" t="s">
        <v>134</v>
      </c>
      <c r="G526" s="31">
        <v>3314</v>
      </c>
      <c r="H526" s="31" t="s">
        <v>160</v>
      </c>
      <c r="J526" s="38">
        <v>0</v>
      </c>
    </row>
    <row r="527" spans="1:10" x14ac:dyDescent="0.35">
      <c r="A527" s="31">
        <v>263</v>
      </c>
      <c r="B527" s="19" t="s">
        <v>17</v>
      </c>
      <c r="C527" s="19"/>
      <c r="D527" s="37">
        <v>45899</v>
      </c>
      <c r="E527" s="31" t="s">
        <v>461</v>
      </c>
      <c r="F527" s="31" t="s">
        <v>134</v>
      </c>
      <c r="G527" s="31">
        <v>3314</v>
      </c>
      <c r="H527" s="31" t="s">
        <v>160</v>
      </c>
      <c r="I527" s="38">
        <v>0</v>
      </c>
    </row>
    <row r="528" spans="1:10" x14ac:dyDescent="0.35">
      <c r="A528" s="31">
        <v>263.5</v>
      </c>
      <c r="B528" s="19"/>
      <c r="C528" s="19" t="s">
        <v>22</v>
      </c>
      <c r="D528" s="37">
        <v>45899</v>
      </c>
      <c r="E528" s="31" t="s">
        <v>461</v>
      </c>
      <c r="F528" s="31" t="s">
        <v>134</v>
      </c>
      <c r="G528" s="31">
        <v>3314</v>
      </c>
      <c r="H528" s="31" t="s">
        <v>160</v>
      </c>
      <c r="J528" s="38">
        <v>0</v>
      </c>
    </row>
    <row r="529" spans="1:10" x14ac:dyDescent="0.35">
      <c r="A529" s="31">
        <v>264</v>
      </c>
      <c r="B529" s="19" t="s">
        <v>17</v>
      </c>
      <c r="C529" s="19"/>
      <c r="D529" s="37">
        <v>45899</v>
      </c>
      <c r="E529" s="31" t="s">
        <v>462</v>
      </c>
      <c r="F529" s="31" t="s">
        <v>134</v>
      </c>
      <c r="G529" s="31">
        <v>3314</v>
      </c>
      <c r="H529" s="31" t="s">
        <v>160</v>
      </c>
      <c r="I529" s="38">
        <v>0</v>
      </c>
    </row>
    <row r="530" spans="1:10" x14ac:dyDescent="0.35">
      <c r="A530" s="31">
        <v>264.5</v>
      </c>
      <c r="B530" s="19"/>
      <c r="C530" s="19" t="s">
        <v>22</v>
      </c>
      <c r="D530" s="37">
        <v>45899</v>
      </c>
      <c r="E530" s="31" t="s">
        <v>462</v>
      </c>
      <c r="F530" s="31" t="s">
        <v>134</v>
      </c>
      <c r="G530" s="31">
        <v>3314</v>
      </c>
      <c r="H530" s="31" t="s">
        <v>160</v>
      </c>
      <c r="J530" s="38">
        <v>0</v>
      </c>
    </row>
    <row r="531" spans="1:10" x14ac:dyDescent="0.35">
      <c r="A531" s="31">
        <v>265</v>
      </c>
      <c r="B531" s="19" t="s">
        <v>17</v>
      </c>
      <c r="C531" s="19"/>
      <c r="D531" s="37">
        <v>45899</v>
      </c>
      <c r="E531" s="31" t="s">
        <v>463</v>
      </c>
      <c r="F531" s="31" t="s">
        <v>464</v>
      </c>
      <c r="G531" s="31">
        <v>3543</v>
      </c>
      <c r="H531" s="31" t="s">
        <v>160</v>
      </c>
      <c r="I531" s="38">
        <v>0</v>
      </c>
    </row>
    <row r="532" spans="1:10" x14ac:dyDescent="0.35">
      <c r="A532" s="31">
        <v>265.5</v>
      </c>
      <c r="B532" s="19"/>
      <c r="C532" s="19" t="s">
        <v>22</v>
      </c>
      <c r="D532" s="37">
        <v>45899</v>
      </c>
      <c r="E532" s="31" t="s">
        <v>463</v>
      </c>
      <c r="F532" s="31" t="s">
        <v>464</v>
      </c>
      <c r="G532" s="31">
        <v>3543</v>
      </c>
      <c r="H532" s="31" t="s">
        <v>160</v>
      </c>
      <c r="J532" s="38">
        <v>0</v>
      </c>
    </row>
    <row r="533" spans="1:10" x14ac:dyDescent="0.35">
      <c r="A533" s="31">
        <v>266</v>
      </c>
      <c r="B533" s="19" t="s">
        <v>17</v>
      </c>
      <c r="C533" s="19"/>
      <c r="D533" s="37">
        <v>45899</v>
      </c>
      <c r="E533" s="31" t="s">
        <v>465</v>
      </c>
      <c r="F533" s="31" t="s">
        <v>284</v>
      </c>
      <c r="G533" s="31">
        <v>3368</v>
      </c>
      <c r="H533" s="31" t="s">
        <v>160</v>
      </c>
      <c r="I533" s="38">
        <v>0</v>
      </c>
    </row>
    <row r="534" spans="1:10" x14ac:dyDescent="0.35">
      <c r="A534" s="31">
        <v>266.5</v>
      </c>
      <c r="B534" s="19"/>
      <c r="C534" s="19" t="s">
        <v>22</v>
      </c>
      <c r="D534" s="37">
        <v>45899</v>
      </c>
      <c r="E534" s="31" t="s">
        <v>465</v>
      </c>
      <c r="F534" s="31" t="s">
        <v>284</v>
      </c>
      <c r="G534" s="31">
        <v>3368</v>
      </c>
      <c r="H534" s="31" t="s">
        <v>160</v>
      </c>
      <c r="J534" s="38">
        <v>0</v>
      </c>
    </row>
    <row r="535" spans="1:10" x14ac:dyDescent="0.35">
      <c r="A535" s="31">
        <v>267</v>
      </c>
      <c r="B535" s="19" t="s">
        <v>17</v>
      </c>
      <c r="C535" s="19"/>
      <c r="D535" s="37">
        <v>45899</v>
      </c>
      <c r="E535" s="31" t="s">
        <v>466</v>
      </c>
      <c r="F535" s="31" t="s">
        <v>284</v>
      </c>
      <c r="G535" s="31">
        <v>3368</v>
      </c>
      <c r="H535" s="31" t="s">
        <v>160</v>
      </c>
      <c r="I535" s="38">
        <v>0</v>
      </c>
    </row>
    <row r="536" spans="1:10" x14ac:dyDescent="0.35">
      <c r="A536" s="31">
        <v>267.5</v>
      </c>
      <c r="B536" s="19"/>
      <c r="C536" s="19" t="s">
        <v>22</v>
      </c>
      <c r="D536" s="37">
        <v>45899</v>
      </c>
      <c r="E536" s="31" t="s">
        <v>466</v>
      </c>
      <c r="F536" s="31" t="s">
        <v>284</v>
      </c>
      <c r="G536" s="31">
        <v>3368</v>
      </c>
      <c r="H536" s="31" t="s">
        <v>160</v>
      </c>
      <c r="J536" s="38">
        <v>0</v>
      </c>
    </row>
    <row r="537" spans="1:10" x14ac:dyDescent="0.35">
      <c r="A537" s="31">
        <v>268</v>
      </c>
      <c r="B537" s="19" t="s">
        <v>17</v>
      </c>
      <c r="C537" s="19"/>
      <c r="D537" s="37">
        <v>45899</v>
      </c>
      <c r="E537" s="31" t="s">
        <v>467</v>
      </c>
      <c r="F537" s="31" t="s">
        <v>284</v>
      </c>
      <c r="G537" s="31">
        <v>3368</v>
      </c>
      <c r="H537" s="31" t="s">
        <v>160</v>
      </c>
      <c r="I537" s="38">
        <v>0</v>
      </c>
    </row>
    <row r="538" spans="1:10" x14ac:dyDescent="0.35">
      <c r="A538" s="31">
        <v>268.5</v>
      </c>
      <c r="B538" s="19"/>
      <c r="C538" s="19" t="s">
        <v>22</v>
      </c>
      <c r="D538" s="37">
        <v>45899</v>
      </c>
      <c r="E538" s="31" t="s">
        <v>467</v>
      </c>
      <c r="F538" s="31" t="s">
        <v>284</v>
      </c>
      <c r="G538" s="31">
        <v>3368</v>
      </c>
      <c r="H538" s="31" t="s">
        <v>160</v>
      </c>
      <c r="J538" s="38">
        <v>0</v>
      </c>
    </row>
    <row r="539" spans="1:10" x14ac:dyDescent="0.35">
      <c r="A539" s="31">
        <v>269</v>
      </c>
      <c r="B539" s="19" t="s">
        <v>17</v>
      </c>
      <c r="C539" s="19"/>
      <c r="D539" s="37">
        <v>45899</v>
      </c>
      <c r="E539" s="31" t="s">
        <v>468</v>
      </c>
      <c r="F539" s="31" t="s">
        <v>284</v>
      </c>
      <c r="G539" s="31">
        <v>3368</v>
      </c>
      <c r="H539" s="31" t="s">
        <v>160</v>
      </c>
      <c r="I539" s="38">
        <v>0</v>
      </c>
    </row>
    <row r="540" spans="1:10" x14ac:dyDescent="0.35">
      <c r="A540" s="31">
        <v>269.5</v>
      </c>
      <c r="B540" s="19"/>
      <c r="C540" s="19" t="s">
        <v>22</v>
      </c>
      <c r="D540" s="37">
        <v>45899</v>
      </c>
      <c r="E540" s="31" t="s">
        <v>468</v>
      </c>
      <c r="F540" s="31" t="s">
        <v>284</v>
      </c>
      <c r="G540" s="31">
        <v>3368</v>
      </c>
      <c r="H540" s="31" t="s">
        <v>160</v>
      </c>
      <c r="J540" s="38">
        <v>0</v>
      </c>
    </row>
    <row r="541" spans="1:10" x14ac:dyDescent="0.35">
      <c r="A541" s="31">
        <v>270</v>
      </c>
      <c r="B541" s="19" t="s">
        <v>17</v>
      </c>
      <c r="C541" s="19"/>
      <c r="D541" s="37">
        <v>45899</v>
      </c>
      <c r="E541" s="31" t="s">
        <v>469</v>
      </c>
      <c r="F541" s="31" t="s">
        <v>284</v>
      </c>
      <c r="G541" s="31">
        <v>3368</v>
      </c>
      <c r="H541" s="31" t="s">
        <v>160</v>
      </c>
      <c r="I541" s="38">
        <v>0</v>
      </c>
    </row>
    <row r="542" spans="1:10" x14ac:dyDescent="0.35">
      <c r="A542" s="31">
        <v>270.5</v>
      </c>
      <c r="B542" s="19"/>
      <c r="C542" s="19" t="s">
        <v>22</v>
      </c>
      <c r="D542" s="37">
        <v>45899</v>
      </c>
      <c r="E542" s="31" t="s">
        <v>469</v>
      </c>
      <c r="F542" s="31" t="s">
        <v>284</v>
      </c>
      <c r="G542" s="31">
        <v>3368</v>
      </c>
      <c r="H542" s="31" t="s">
        <v>160</v>
      </c>
      <c r="J542" s="38">
        <v>0</v>
      </c>
    </row>
    <row r="543" spans="1:10" x14ac:dyDescent="0.35">
      <c r="A543" s="31">
        <v>271</v>
      </c>
      <c r="B543" s="19" t="s">
        <v>17</v>
      </c>
      <c r="C543" s="19"/>
      <c r="D543" s="37">
        <v>45899</v>
      </c>
      <c r="E543" s="31" t="s">
        <v>470</v>
      </c>
      <c r="F543" s="31" t="s">
        <v>471</v>
      </c>
      <c r="G543" s="31">
        <v>3404</v>
      </c>
      <c r="H543" s="31" t="s">
        <v>160</v>
      </c>
      <c r="I543" s="38">
        <v>0</v>
      </c>
    </row>
    <row r="544" spans="1:10" x14ac:dyDescent="0.35">
      <c r="A544" s="31">
        <v>271.5</v>
      </c>
      <c r="B544" s="19"/>
      <c r="C544" s="19" t="s">
        <v>22</v>
      </c>
      <c r="D544" s="37">
        <v>45899</v>
      </c>
      <c r="E544" s="31" t="s">
        <v>470</v>
      </c>
      <c r="F544" s="31" t="s">
        <v>471</v>
      </c>
      <c r="G544" s="31">
        <v>3404</v>
      </c>
      <c r="H544" s="31" t="s">
        <v>160</v>
      </c>
      <c r="J544" s="38">
        <v>0</v>
      </c>
    </row>
    <row r="545" spans="1:10" x14ac:dyDescent="0.35">
      <c r="A545" s="31">
        <v>272</v>
      </c>
      <c r="B545" s="19" t="s">
        <v>17</v>
      </c>
      <c r="C545" s="19"/>
      <c r="D545" s="37">
        <v>45899</v>
      </c>
      <c r="E545" s="31" t="s">
        <v>472</v>
      </c>
      <c r="F545" s="31" t="s">
        <v>471</v>
      </c>
      <c r="G545" s="31">
        <v>3404</v>
      </c>
      <c r="H545" s="31" t="s">
        <v>160</v>
      </c>
      <c r="I545" s="38">
        <v>0</v>
      </c>
    </row>
    <row r="546" spans="1:10" x14ac:dyDescent="0.35">
      <c r="A546" s="31">
        <v>272.5</v>
      </c>
      <c r="B546" s="19"/>
      <c r="C546" s="19" t="s">
        <v>22</v>
      </c>
      <c r="D546" s="37">
        <v>45899</v>
      </c>
      <c r="E546" s="31" t="s">
        <v>472</v>
      </c>
      <c r="F546" s="31" t="s">
        <v>471</v>
      </c>
      <c r="G546" s="31">
        <v>3404</v>
      </c>
      <c r="H546" s="31" t="s">
        <v>160</v>
      </c>
      <c r="J546" s="38">
        <v>0</v>
      </c>
    </row>
    <row r="547" spans="1:10" x14ac:dyDescent="0.35">
      <c r="A547" s="31">
        <v>273</v>
      </c>
      <c r="B547" s="19" t="s">
        <v>17</v>
      </c>
      <c r="C547" s="19"/>
      <c r="D547" s="37">
        <v>45899</v>
      </c>
      <c r="E547" s="31" t="s">
        <v>473</v>
      </c>
      <c r="F547" s="31" t="s">
        <v>471</v>
      </c>
      <c r="G547" s="31">
        <v>3404</v>
      </c>
      <c r="H547" s="31" t="s">
        <v>160</v>
      </c>
      <c r="I547" s="38">
        <v>0</v>
      </c>
    </row>
    <row r="548" spans="1:10" x14ac:dyDescent="0.35">
      <c r="A548" s="31">
        <v>273.5</v>
      </c>
      <c r="B548" s="19"/>
      <c r="C548" s="19" t="s">
        <v>22</v>
      </c>
      <c r="D548" s="37">
        <v>45899</v>
      </c>
      <c r="E548" s="31" t="s">
        <v>473</v>
      </c>
      <c r="F548" s="31" t="s">
        <v>471</v>
      </c>
      <c r="G548" s="31">
        <v>3404</v>
      </c>
      <c r="H548" s="31" t="s">
        <v>160</v>
      </c>
      <c r="J548" s="38">
        <v>0</v>
      </c>
    </row>
    <row r="549" spans="1:10" x14ac:dyDescent="0.35">
      <c r="A549" s="31">
        <v>274</v>
      </c>
      <c r="B549" s="19" t="s">
        <v>17</v>
      </c>
      <c r="C549" s="19"/>
      <c r="D549" s="37">
        <v>45899</v>
      </c>
      <c r="E549" s="31" t="s">
        <v>474</v>
      </c>
      <c r="F549" s="31" t="s">
        <v>475</v>
      </c>
      <c r="G549" s="31">
        <v>3317</v>
      </c>
      <c r="H549" s="31" t="s">
        <v>160</v>
      </c>
      <c r="I549" s="38">
        <v>0</v>
      </c>
    </row>
    <row r="550" spans="1:10" x14ac:dyDescent="0.35">
      <c r="A550" s="31">
        <v>274.5</v>
      </c>
      <c r="B550" s="19"/>
      <c r="C550" s="19" t="s">
        <v>22</v>
      </c>
      <c r="D550" s="37">
        <v>45899</v>
      </c>
      <c r="E550" s="31" t="s">
        <v>474</v>
      </c>
      <c r="F550" s="31" t="s">
        <v>475</v>
      </c>
      <c r="G550" s="31">
        <v>3317</v>
      </c>
      <c r="H550" s="31" t="s">
        <v>160</v>
      </c>
      <c r="J550" s="38">
        <v>0</v>
      </c>
    </row>
    <row r="551" spans="1:10" x14ac:dyDescent="0.35">
      <c r="A551" s="31">
        <v>275</v>
      </c>
      <c r="B551" s="19" t="s">
        <v>17</v>
      </c>
      <c r="C551" s="19"/>
      <c r="D551" s="37">
        <v>45899</v>
      </c>
      <c r="E551" s="31" t="s">
        <v>476</v>
      </c>
      <c r="F551" s="31" t="s">
        <v>477</v>
      </c>
      <c r="G551" s="31">
        <v>3316</v>
      </c>
      <c r="H551" s="31" t="s">
        <v>160</v>
      </c>
      <c r="I551" s="38">
        <v>0</v>
      </c>
    </row>
    <row r="552" spans="1:10" x14ac:dyDescent="0.35">
      <c r="A552" s="31">
        <v>275.5</v>
      </c>
      <c r="B552" s="19"/>
      <c r="C552" s="19" t="s">
        <v>22</v>
      </c>
      <c r="D552" s="37">
        <v>45899</v>
      </c>
      <c r="E552" s="31" t="s">
        <v>476</v>
      </c>
      <c r="F552" s="31" t="s">
        <v>477</v>
      </c>
      <c r="G552" s="31">
        <v>3316</v>
      </c>
      <c r="H552" s="31" t="s">
        <v>160</v>
      </c>
      <c r="J552" s="38">
        <v>0</v>
      </c>
    </row>
    <row r="553" spans="1:10" x14ac:dyDescent="0.35">
      <c r="A553" s="31">
        <v>276</v>
      </c>
      <c r="B553" s="19" t="s">
        <v>17</v>
      </c>
      <c r="C553" s="19"/>
      <c r="D553" s="37">
        <v>45899</v>
      </c>
      <c r="E553" s="31" t="s">
        <v>478</v>
      </c>
      <c r="F553" s="31" t="s">
        <v>284</v>
      </c>
      <c r="G553" s="31">
        <v>3368</v>
      </c>
      <c r="H553" s="31" t="s">
        <v>160</v>
      </c>
      <c r="I553" s="38">
        <v>0</v>
      </c>
    </row>
    <row r="554" spans="1:10" x14ac:dyDescent="0.35">
      <c r="A554" s="31">
        <v>276.5</v>
      </c>
      <c r="B554" s="19"/>
      <c r="C554" s="19" t="s">
        <v>22</v>
      </c>
      <c r="D554" s="37">
        <v>45899</v>
      </c>
      <c r="E554" s="31" t="s">
        <v>478</v>
      </c>
      <c r="F554" s="31" t="s">
        <v>284</v>
      </c>
      <c r="G554" s="31">
        <v>3368</v>
      </c>
      <c r="H554" s="31" t="s">
        <v>160</v>
      </c>
      <c r="J554" s="38">
        <v>0</v>
      </c>
    </row>
    <row r="555" spans="1:10" x14ac:dyDescent="0.35">
      <c r="A555" s="31">
        <v>277</v>
      </c>
      <c r="B555" s="19" t="s">
        <v>17</v>
      </c>
      <c r="C555" s="19"/>
      <c r="D555" s="37">
        <v>45899</v>
      </c>
      <c r="E555" s="31" t="s">
        <v>479</v>
      </c>
      <c r="F555" s="31" t="s">
        <v>477</v>
      </c>
      <c r="G555" s="31">
        <v>3316</v>
      </c>
      <c r="H555" s="31" t="s">
        <v>160</v>
      </c>
      <c r="I555" s="38">
        <v>0</v>
      </c>
    </row>
    <row r="556" spans="1:10" x14ac:dyDescent="0.35">
      <c r="A556" s="31">
        <v>277.5</v>
      </c>
      <c r="B556" s="19"/>
      <c r="C556" s="19" t="s">
        <v>22</v>
      </c>
      <c r="D556" s="37">
        <v>45899</v>
      </c>
      <c r="E556" s="31" t="s">
        <v>479</v>
      </c>
      <c r="F556" s="31" t="s">
        <v>477</v>
      </c>
      <c r="G556" s="31">
        <v>3316</v>
      </c>
      <c r="H556" s="31" t="s">
        <v>160</v>
      </c>
      <c r="J556" s="38">
        <v>0</v>
      </c>
    </row>
    <row r="557" spans="1:10" x14ac:dyDescent="0.35">
      <c r="A557" s="31">
        <v>278</v>
      </c>
      <c r="B557" s="19" t="s">
        <v>17</v>
      </c>
      <c r="C557" s="19"/>
      <c r="D557" s="37">
        <v>45899</v>
      </c>
      <c r="E557" s="31" t="s">
        <v>480</v>
      </c>
      <c r="F557" s="31" t="s">
        <v>148</v>
      </c>
      <c r="G557" s="31">
        <v>3358</v>
      </c>
      <c r="H557" s="31" t="s">
        <v>160</v>
      </c>
      <c r="I557" s="38">
        <v>0</v>
      </c>
    </row>
    <row r="558" spans="1:10" x14ac:dyDescent="0.35">
      <c r="A558" s="31">
        <v>278.5</v>
      </c>
      <c r="B558" s="19"/>
      <c r="C558" s="19" t="s">
        <v>22</v>
      </c>
      <c r="D558" s="37">
        <v>45899</v>
      </c>
      <c r="E558" s="31" t="s">
        <v>480</v>
      </c>
      <c r="F558" s="31" t="s">
        <v>148</v>
      </c>
      <c r="G558" s="31">
        <v>3358</v>
      </c>
      <c r="H558" s="31" t="s">
        <v>160</v>
      </c>
      <c r="J558" s="38">
        <v>0</v>
      </c>
    </row>
    <row r="559" spans="1:10" x14ac:dyDescent="0.35">
      <c r="A559" s="31">
        <v>279</v>
      </c>
      <c r="B559" s="19" t="s">
        <v>17</v>
      </c>
      <c r="C559" s="19"/>
      <c r="D559" s="37">
        <v>45899</v>
      </c>
      <c r="E559" s="31" t="s">
        <v>481</v>
      </c>
      <c r="F559" s="31" t="s">
        <v>148</v>
      </c>
      <c r="G559" s="31">
        <v>3358</v>
      </c>
      <c r="H559" s="31" t="s">
        <v>160</v>
      </c>
      <c r="I559" s="38">
        <v>0</v>
      </c>
    </row>
    <row r="560" spans="1:10" x14ac:dyDescent="0.35">
      <c r="A560" s="31">
        <v>279.5</v>
      </c>
      <c r="B560" s="19"/>
      <c r="C560" s="19" t="s">
        <v>22</v>
      </c>
      <c r="D560" s="37">
        <v>45899</v>
      </c>
      <c r="E560" s="31" t="s">
        <v>481</v>
      </c>
      <c r="F560" s="31" t="s">
        <v>148</v>
      </c>
      <c r="G560" s="31">
        <v>3358</v>
      </c>
      <c r="H560" s="31" t="s">
        <v>160</v>
      </c>
      <c r="J560" s="38">
        <v>0</v>
      </c>
    </row>
    <row r="561" spans="1:10" x14ac:dyDescent="0.35">
      <c r="A561" s="31">
        <v>280</v>
      </c>
      <c r="B561" s="19" t="s">
        <v>17</v>
      </c>
      <c r="C561" s="19"/>
      <c r="D561" s="37">
        <v>45899</v>
      </c>
      <c r="E561" s="31" t="s">
        <v>482</v>
      </c>
      <c r="F561" s="31" t="s">
        <v>148</v>
      </c>
      <c r="G561" s="31">
        <v>3358</v>
      </c>
      <c r="H561" s="31" t="s">
        <v>160</v>
      </c>
      <c r="I561" s="38">
        <v>0</v>
      </c>
    </row>
    <row r="562" spans="1:10" x14ac:dyDescent="0.35">
      <c r="A562" s="31">
        <v>280.5</v>
      </c>
      <c r="B562" s="19"/>
      <c r="C562" s="19" t="s">
        <v>22</v>
      </c>
      <c r="D562" s="37">
        <v>45899</v>
      </c>
      <c r="E562" s="31" t="s">
        <v>482</v>
      </c>
      <c r="F562" s="31" t="s">
        <v>148</v>
      </c>
      <c r="G562" s="31">
        <v>3358</v>
      </c>
      <c r="H562" s="31" t="s">
        <v>160</v>
      </c>
      <c r="J562" s="38">
        <v>0</v>
      </c>
    </row>
    <row r="563" spans="1:10" x14ac:dyDescent="0.35">
      <c r="A563" s="31">
        <v>281</v>
      </c>
      <c r="B563" s="19" t="s">
        <v>17</v>
      </c>
      <c r="C563" s="19"/>
      <c r="D563" s="37">
        <v>45899</v>
      </c>
      <c r="E563" s="31" t="s">
        <v>483</v>
      </c>
      <c r="F563" s="31" t="s">
        <v>337</v>
      </c>
      <c r="G563" s="31">
        <v>3389</v>
      </c>
      <c r="H563" s="31" t="s">
        <v>160</v>
      </c>
      <c r="I563" s="38">
        <v>107465.38</v>
      </c>
    </row>
    <row r="564" spans="1:10" x14ac:dyDescent="0.35">
      <c r="A564" s="31">
        <v>281.5</v>
      </c>
      <c r="B564" s="19"/>
      <c r="C564" s="19" t="s">
        <v>22</v>
      </c>
      <c r="D564" s="37">
        <v>45899</v>
      </c>
      <c r="E564" s="31" t="s">
        <v>483</v>
      </c>
      <c r="F564" s="31" t="s">
        <v>337</v>
      </c>
      <c r="G564" s="31">
        <v>3389</v>
      </c>
      <c r="H564" s="31" t="s">
        <v>160</v>
      </c>
      <c r="J564" s="38">
        <v>107465.38</v>
      </c>
    </row>
    <row r="565" spans="1:10" x14ac:dyDescent="0.35">
      <c r="A565" s="31">
        <v>282</v>
      </c>
      <c r="B565" s="19" t="s">
        <v>17</v>
      </c>
      <c r="C565" s="19"/>
      <c r="D565" s="37">
        <v>45899</v>
      </c>
      <c r="E565" s="31" t="s">
        <v>484</v>
      </c>
      <c r="F565" s="31" t="s">
        <v>485</v>
      </c>
      <c r="G565" s="31">
        <v>3381</v>
      </c>
      <c r="H565" s="31" t="s">
        <v>160</v>
      </c>
      <c r="I565" s="38">
        <v>0</v>
      </c>
    </row>
    <row r="566" spans="1:10" x14ac:dyDescent="0.35">
      <c r="A566" s="31">
        <v>282.5</v>
      </c>
      <c r="B566" s="19"/>
      <c r="C566" s="19" t="s">
        <v>22</v>
      </c>
      <c r="D566" s="37">
        <v>45899</v>
      </c>
      <c r="E566" s="31" t="s">
        <v>484</v>
      </c>
      <c r="F566" s="31" t="s">
        <v>485</v>
      </c>
      <c r="G566" s="31">
        <v>3381</v>
      </c>
      <c r="H566" s="31" t="s">
        <v>160</v>
      </c>
      <c r="J566" s="38">
        <v>0</v>
      </c>
    </row>
    <row r="567" spans="1:10" x14ac:dyDescent="0.35">
      <c r="A567" s="31">
        <v>283</v>
      </c>
      <c r="B567" s="19" t="s">
        <v>17</v>
      </c>
      <c r="C567" s="19"/>
      <c r="D567" s="37">
        <v>45899</v>
      </c>
      <c r="E567" s="31" t="s">
        <v>486</v>
      </c>
      <c r="F567" s="31" t="s">
        <v>55</v>
      </c>
      <c r="G567" s="31">
        <v>3335</v>
      </c>
      <c r="H567" s="31" t="s">
        <v>160</v>
      </c>
      <c r="I567" s="38">
        <v>571.46</v>
      </c>
    </row>
    <row r="568" spans="1:10" x14ac:dyDescent="0.35">
      <c r="A568" s="31">
        <v>283.5</v>
      </c>
      <c r="B568" s="19"/>
      <c r="C568" s="19" t="s">
        <v>22</v>
      </c>
      <c r="D568" s="37">
        <v>45899</v>
      </c>
      <c r="E568" s="31" t="s">
        <v>486</v>
      </c>
      <c r="F568" s="31" t="s">
        <v>55</v>
      </c>
      <c r="G568" s="31">
        <v>3335</v>
      </c>
      <c r="H568" s="31" t="s">
        <v>160</v>
      </c>
      <c r="J568" s="38">
        <v>571.46</v>
      </c>
    </row>
    <row r="569" spans="1:10" x14ac:dyDescent="0.35">
      <c r="A569" s="31">
        <v>284</v>
      </c>
      <c r="B569" s="19" t="s">
        <v>17</v>
      </c>
      <c r="C569" s="19"/>
      <c r="D569" s="37">
        <v>45899</v>
      </c>
      <c r="E569" s="31" t="s">
        <v>487</v>
      </c>
      <c r="F569" s="31" t="s">
        <v>55</v>
      </c>
      <c r="G569" s="31">
        <v>3335</v>
      </c>
      <c r="H569" s="31" t="s">
        <v>160</v>
      </c>
      <c r="I569" s="38">
        <v>0</v>
      </c>
    </row>
    <row r="570" spans="1:10" x14ac:dyDescent="0.35">
      <c r="A570" s="31">
        <v>284.5</v>
      </c>
      <c r="B570" s="19"/>
      <c r="C570" s="19" t="s">
        <v>22</v>
      </c>
      <c r="D570" s="37">
        <v>45899</v>
      </c>
      <c r="E570" s="31" t="s">
        <v>487</v>
      </c>
      <c r="F570" s="31" t="s">
        <v>55</v>
      </c>
      <c r="G570" s="31">
        <v>3335</v>
      </c>
      <c r="H570" s="31" t="s">
        <v>160</v>
      </c>
      <c r="J570" s="38">
        <v>0</v>
      </c>
    </row>
    <row r="571" spans="1:10" x14ac:dyDescent="0.35">
      <c r="A571" s="31">
        <v>285</v>
      </c>
      <c r="B571" s="19" t="s">
        <v>17</v>
      </c>
      <c r="C571" s="19"/>
      <c r="D571" s="37">
        <v>45899</v>
      </c>
      <c r="E571" s="31" t="s">
        <v>488</v>
      </c>
      <c r="F571" s="31" t="s">
        <v>55</v>
      </c>
      <c r="G571" s="31">
        <v>3335</v>
      </c>
      <c r="H571" s="31" t="s">
        <v>160</v>
      </c>
      <c r="I571" s="38">
        <v>1700.81</v>
      </c>
    </row>
    <row r="572" spans="1:10" x14ac:dyDescent="0.35">
      <c r="A572" s="31">
        <v>285.5</v>
      </c>
      <c r="B572" s="19"/>
      <c r="C572" s="19" t="s">
        <v>22</v>
      </c>
      <c r="D572" s="37">
        <v>45899</v>
      </c>
      <c r="E572" s="31" t="s">
        <v>488</v>
      </c>
      <c r="F572" s="31" t="s">
        <v>55</v>
      </c>
      <c r="G572" s="31">
        <v>3335</v>
      </c>
      <c r="H572" s="31" t="s">
        <v>160</v>
      </c>
      <c r="J572" s="38">
        <v>1700.81</v>
      </c>
    </row>
    <row r="573" spans="1:10" x14ac:dyDescent="0.35">
      <c r="A573" s="31">
        <v>286</v>
      </c>
      <c r="B573" s="19" t="s">
        <v>17</v>
      </c>
      <c r="C573" s="19"/>
      <c r="D573" s="37">
        <v>45899</v>
      </c>
      <c r="E573" s="31" t="s">
        <v>489</v>
      </c>
      <c r="F573" s="31" t="s">
        <v>55</v>
      </c>
      <c r="G573" s="31">
        <v>3335</v>
      </c>
      <c r="H573" s="31" t="s">
        <v>160</v>
      </c>
      <c r="I573" s="38">
        <v>0</v>
      </c>
    </row>
    <row r="574" spans="1:10" x14ac:dyDescent="0.35">
      <c r="A574" s="31">
        <v>286.5</v>
      </c>
      <c r="B574" s="19"/>
      <c r="C574" s="19" t="s">
        <v>22</v>
      </c>
      <c r="D574" s="37">
        <v>45899</v>
      </c>
      <c r="E574" s="31" t="s">
        <v>489</v>
      </c>
      <c r="F574" s="31" t="s">
        <v>55</v>
      </c>
      <c r="G574" s="31">
        <v>3335</v>
      </c>
      <c r="H574" s="31" t="s">
        <v>160</v>
      </c>
      <c r="J574" s="38">
        <v>0</v>
      </c>
    </row>
    <row r="575" spans="1:10" x14ac:dyDescent="0.35">
      <c r="A575" s="31">
        <v>287</v>
      </c>
      <c r="B575" s="19" t="s">
        <v>17</v>
      </c>
      <c r="C575" s="19"/>
      <c r="D575" s="37">
        <v>45899</v>
      </c>
      <c r="E575" s="31" t="s">
        <v>490</v>
      </c>
      <c r="F575" s="31" t="s">
        <v>55</v>
      </c>
      <c r="G575" s="31">
        <v>3335</v>
      </c>
      <c r="H575" s="31" t="s">
        <v>160</v>
      </c>
      <c r="I575" s="38">
        <v>5696.98</v>
      </c>
    </row>
    <row r="576" spans="1:10" x14ac:dyDescent="0.35">
      <c r="A576" s="31">
        <v>287.5</v>
      </c>
      <c r="B576" s="19"/>
      <c r="C576" s="19" t="s">
        <v>22</v>
      </c>
      <c r="D576" s="37">
        <v>45899</v>
      </c>
      <c r="E576" s="31" t="s">
        <v>490</v>
      </c>
      <c r="F576" s="31" t="s">
        <v>55</v>
      </c>
      <c r="G576" s="31">
        <v>3335</v>
      </c>
      <c r="H576" s="31" t="s">
        <v>160</v>
      </c>
      <c r="J576" s="38">
        <v>5696.98</v>
      </c>
    </row>
    <row r="577" spans="1:10" x14ac:dyDescent="0.35">
      <c r="A577" s="31">
        <v>288</v>
      </c>
      <c r="B577" s="19" t="s">
        <v>17</v>
      </c>
      <c r="C577" s="19"/>
      <c r="D577" s="37">
        <v>45899</v>
      </c>
      <c r="E577" s="31" t="s">
        <v>491</v>
      </c>
      <c r="F577" s="31" t="s">
        <v>55</v>
      </c>
      <c r="G577" s="31">
        <v>3335</v>
      </c>
      <c r="H577" s="31" t="s">
        <v>160</v>
      </c>
      <c r="I577" s="38">
        <v>0</v>
      </c>
    </row>
    <row r="578" spans="1:10" x14ac:dyDescent="0.35">
      <c r="A578" s="31">
        <v>288.5</v>
      </c>
      <c r="B578" s="19"/>
      <c r="C578" s="19" t="s">
        <v>22</v>
      </c>
      <c r="D578" s="37">
        <v>45899</v>
      </c>
      <c r="E578" s="31" t="s">
        <v>491</v>
      </c>
      <c r="F578" s="31" t="s">
        <v>55</v>
      </c>
      <c r="G578" s="31">
        <v>3335</v>
      </c>
      <c r="H578" s="31" t="s">
        <v>160</v>
      </c>
      <c r="J578" s="38">
        <v>0</v>
      </c>
    </row>
    <row r="579" spans="1:10" x14ac:dyDescent="0.35">
      <c r="A579" s="31">
        <v>289</v>
      </c>
      <c r="B579" s="19" t="s">
        <v>17</v>
      </c>
      <c r="C579" s="19"/>
      <c r="D579" s="37">
        <v>45899</v>
      </c>
      <c r="E579" s="31" t="s">
        <v>492</v>
      </c>
      <c r="F579" s="31" t="s">
        <v>55</v>
      </c>
      <c r="G579" s="31">
        <v>3335</v>
      </c>
      <c r="H579" s="31" t="s">
        <v>160</v>
      </c>
      <c r="I579" s="38">
        <v>0</v>
      </c>
    </row>
    <row r="580" spans="1:10" x14ac:dyDescent="0.35">
      <c r="A580" s="31">
        <v>289.5</v>
      </c>
      <c r="B580" s="19"/>
      <c r="C580" s="19" t="s">
        <v>22</v>
      </c>
      <c r="D580" s="37">
        <v>45899</v>
      </c>
      <c r="E580" s="31" t="s">
        <v>492</v>
      </c>
      <c r="F580" s="31" t="s">
        <v>55</v>
      </c>
      <c r="G580" s="31">
        <v>3335</v>
      </c>
      <c r="H580" s="31" t="s">
        <v>160</v>
      </c>
      <c r="J580" s="38">
        <v>0</v>
      </c>
    </row>
    <row r="581" spans="1:10" x14ac:dyDescent="0.35">
      <c r="A581" s="31">
        <v>290</v>
      </c>
      <c r="B581" s="19" t="s">
        <v>17</v>
      </c>
      <c r="C581" s="19"/>
      <c r="D581" s="37">
        <v>45899</v>
      </c>
      <c r="E581" s="31" t="s">
        <v>493</v>
      </c>
      <c r="F581" s="31" t="s">
        <v>55</v>
      </c>
      <c r="G581" s="31">
        <v>3335</v>
      </c>
      <c r="H581" s="31" t="s">
        <v>160</v>
      </c>
      <c r="I581" s="38">
        <v>13261.26</v>
      </c>
    </row>
    <row r="582" spans="1:10" x14ac:dyDescent="0.35">
      <c r="A582" s="31">
        <v>290.5</v>
      </c>
      <c r="B582" s="19"/>
      <c r="C582" s="19" t="s">
        <v>22</v>
      </c>
      <c r="D582" s="37">
        <v>45899</v>
      </c>
      <c r="E582" s="31" t="s">
        <v>493</v>
      </c>
      <c r="F582" s="31" t="s">
        <v>55</v>
      </c>
      <c r="G582" s="31">
        <v>3335</v>
      </c>
      <c r="H582" s="31" t="s">
        <v>160</v>
      </c>
      <c r="J582" s="38">
        <v>13261.26</v>
      </c>
    </row>
    <row r="583" spans="1:10" x14ac:dyDescent="0.35">
      <c r="A583" s="31">
        <v>291</v>
      </c>
      <c r="B583" s="19" t="s">
        <v>17</v>
      </c>
      <c r="C583" s="19"/>
      <c r="D583" s="37">
        <v>45899</v>
      </c>
      <c r="E583" s="31" t="s">
        <v>494</v>
      </c>
      <c r="F583" s="31" t="s">
        <v>55</v>
      </c>
      <c r="G583" s="31">
        <v>3335</v>
      </c>
      <c r="H583" s="31" t="s">
        <v>160</v>
      </c>
      <c r="I583" s="38">
        <v>11728.64</v>
      </c>
    </row>
    <row r="584" spans="1:10" x14ac:dyDescent="0.35">
      <c r="A584" s="31">
        <v>291.5</v>
      </c>
      <c r="B584" s="19"/>
      <c r="C584" s="19" t="s">
        <v>22</v>
      </c>
      <c r="D584" s="37">
        <v>45899</v>
      </c>
      <c r="E584" s="31" t="s">
        <v>494</v>
      </c>
      <c r="F584" s="31" t="s">
        <v>55</v>
      </c>
      <c r="G584" s="31">
        <v>3335</v>
      </c>
      <c r="H584" s="31" t="s">
        <v>160</v>
      </c>
      <c r="J584" s="38">
        <v>11728.64</v>
      </c>
    </row>
    <row r="585" spans="1:10" x14ac:dyDescent="0.35">
      <c r="A585" s="31">
        <v>292</v>
      </c>
      <c r="B585" s="19" t="s">
        <v>17</v>
      </c>
      <c r="C585" s="19"/>
      <c r="D585" s="37">
        <v>45899</v>
      </c>
      <c r="E585" s="31" t="s">
        <v>495</v>
      </c>
      <c r="F585" s="31" t="s">
        <v>55</v>
      </c>
      <c r="G585" s="31">
        <v>3335</v>
      </c>
      <c r="H585" s="31" t="s">
        <v>160</v>
      </c>
      <c r="I585" s="38">
        <v>0</v>
      </c>
    </row>
    <row r="586" spans="1:10" x14ac:dyDescent="0.35">
      <c r="A586" s="31">
        <v>292.5</v>
      </c>
      <c r="B586" s="19"/>
      <c r="C586" s="19" t="s">
        <v>22</v>
      </c>
      <c r="D586" s="37">
        <v>45899</v>
      </c>
      <c r="E586" s="31" t="s">
        <v>495</v>
      </c>
      <c r="F586" s="31" t="s">
        <v>55</v>
      </c>
      <c r="G586" s="31">
        <v>3335</v>
      </c>
      <c r="H586" s="31" t="s">
        <v>160</v>
      </c>
      <c r="J586" s="38">
        <v>0</v>
      </c>
    </row>
    <row r="587" spans="1:10" x14ac:dyDescent="0.35">
      <c r="A587" s="31">
        <v>293</v>
      </c>
      <c r="B587" s="19" t="s">
        <v>17</v>
      </c>
      <c r="C587" s="19"/>
      <c r="D587" s="37">
        <v>45899</v>
      </c>
      <c r="E587" s="31" t="s">
        <v>496</v>
      </c>
      <c r="F587" s="31" t="s">
        <v>55</v>
      </c>
      <c r="G587" s="31">
        <v>3335</v>
      </c>
      <c r="H587" s="31" t="s">
        <v>160</v>
      </c>
      <c r="I587" s="38">
        <v>1480.01</v>
      </c>
    </row>
    <row r="588" spans="1:10" x14ac:dyDescent="0.35">
      <c r="A588" s="31">
        <v>293.5</v>
      </c>
      <c r="B588" s="19"/>
      <c r="C588" s="19" t="s">
        <v>22</v>
      </c>
      <c r="D588" s="37">
        <v>45899</v>
      </c>
      <c r="E588" s="31" t="s">
        <v>496</v>
      </c>
      <c r="F588" s="31" t="s">
        <v>55</v>
      </c>
      <c r="G588" s="31">
        <v>3335</v>
      </c>
      <c r="H588" s="31" t="s">
        <v>160</v>
      </c>
      <c r="J588" s="38">
        <v>1480.01</v>
      </c>
    </row>
    <row r="589" spans="1:10" x14ac:dyDescent="0.35">
      <c r="A589" s="31">
        <v>294</v>
      </c>
      <c r="B589" s="19" t="s">
        <v>17</v>
      </c>
      <c r="C589" s="19"/>
      <c r="D589" s="37">
        <v>45899</v>
      </c>
      <c r="E589" s="31" t="s">
        <v>497</v>
      </c>
      <c r="F589" s="31" t="s">
        <v>55</v>
      </c>
      <c r="G589" s="31">
        <v>3335</v>
      </c>
      <c r="H589" s="31" t="s">
        <v>160</v>
      </c>
      <c r="I589" s="38">
        <v>0</v>
      </c>
    </row>
    <row r="590" spans="1:10" x14ac:dyDescent="0.35">
      <c r="A590" s="31">
        <v>294.5</v>
      </c>
      <c r="B590" s="19"/>
      <c r="C590" s="19" t="s">
        <v>22</v>
      </c>
      <c r="D590" s="37">
        <v>45899</v>
      </c>
      <c r="E590" s="31" t="s">
        <v>497</v>
      </c>
      <c r="F590" s="31" t="s">
        <v>55</v>
      </c>
      <c r="G590" s="31">
        <v>3335</v>
      </c>
      <c r="H590" s="31" t="s">
        <v>160</v>
      </c>
      <c r="J590" s="38">
        <v>0</v>
      </c>
    </row>
    <row r="591" spans="1:10" x14ac:dyDescent="0.35">
      <c r="A591" s="31">
        <v>295</v>
      </c>
      <c r="B591" s="19" t="s">
        <v>17</v>
      </c>
      <c r="C591" s="19"/>
      <c r="D591" s="37">
        <v>45899</v>
      </c>
      <c r="E591" s="31" t="s">
        <v>498</v>
      </c>
      <c r="F591" s="31" t="s">
        <v>55</v>
      </c>
      <c r="G591" s="31">
        <v>3335</v>
      </c>
      <c r="H591" s="31" t="s">
        <v>160</v>
      </c>
      <c r="I591" s="38">
        <v>29501.14</v>
      </c>
    </row>
    <row r="592" spans="1:10" x14ac:dyDescent="0.35">
      <c r="A592" s="31">
        <v>295.5</v>
      </c>
      <c r="B592" s="19"/>
      <c r="C592" s="19" t="s">
        <v>22</v>
      </c>
      <c r="D592" s="37">
        <v>45899</v>
      </c>
      <c r="E592" s="31" t="s">
        <v>498</v>
      </c>
      <c r="F592" s="31" t="s">
        <v>55</v>
      </c>
      <c r="G592" s="31">
        <v>3335</v>
      </c>
      <c r="H592" s="31" t="s">
        <v>160</v>
      </c>
      <c r="J592" s="38">
        <v>29501.14</v>
      </c>
    </row>
    <row r="593" spans="1:10" x14ac:dyDescent="0.35">
      <c r="A593" s="31">
        <v>296</v>
      </c>
      <c r="B593" s="19" t="s">
        <v>17</v>
      </c>
      <c r="C593" s="19"/>
      <c r="D593" s="37">
        <v>45899</v>
      </c>
      <c r="E593" s="31" t="s">
        <v>499</v>
      </c>
      <c r="F593" s="31" t="s">
        <v>55</v>
      </c>
      <c r="G593" s="31">
        <v>3335</v>
      </c>
      <c r="H593" s="31" t="s">
        <v>160</v>
      </c>
      <c r="I593" s="38">
        <v>0</v>
      </c>
    </row>
    <row r="594" spans="1:10" x14ac:dyDescent="0.35">
      <c r="A594" s="31">
        <v>296.5</v>
      </c>
      <c r="B594" s="19"/>
      <c r="C594" s="19" t="s">
        <v>22</v>
      </c>
      <c r="D594" s="37">
        <v>45899</v>
      </c>
      <c r="E594" s="31" t="s">
        <v>499</v>
      </c>
      <c r="F594" s="31" t="s">
        <v>55</v>
      </c>
      <c r="G594" s="31">
        <v>3335</v>
      </c>
      <c r="H594" s="31" t="s">
        <v>160</v>
      </c>
      <c r="J594" s="38">
        <v>0</v>
      </c>
    </row>
    <row r="595" spans="1:10" x14ac:dyDescent="0.35">
      <c r="A595" s="31">
        <v>297</v>
      </c>
      <c r="B595" s="19" t="s">
        <v>17</v>
      </c>
      <c r="C595" s="19"/>
      <c r="D595" s="37">
        <v>45899</v>
      </c>
      <c r="E595" s="31" t="s">
        <v>500</v>
      </c>
      <c r="F595" s="31" t="s">
        <v>55</v>
      </c>
      <c r="G595" s="31">
        <v>3335</v>
      </c>
      <c r="H595" s="31" t="s">
        <v>160</v>
      </c>
      <c r="I595" s="38">
        <v>16583</v>
      </c>
    </row>
    <row r="596" spans="1:10" x14ac:dyDescent="0.35">
      <c r="A596" s="31">
        <v>297.5</v>
      </c>
      <c r="B596" s="19"/>
      <c r="C596" s="19" t="s">
        <v>22</v>
      </c>
      <c r="D596" s="37">
        <v>45899</v>
      </c>
      <c r="E596" s="31" t="s">
        <v>500</v>
      </c>
      <c r="F596" s="31" t="s">
        <v>55</v>
      </c>
      <c r="G596" s="31">
        <v>3335</v>
      </c>
      <c r="H596" s="31" t="s">
        <v>160</v>
      </c>
      <c r="J596" s="38">
        <v>16583</v>
      </c>
    </row>
    <row r="597" spans="1:10" x14ac:dyDescent="0.35">
      <c r="A597" s="31">
        <v>298</v>
      </c>
      <c r="B597" s="19" t="s">
        <v>17</v>
      </c>
      <c r="C597" s="19"/>
      <c r="D597" s="37">
        <v>45899</v>
      </c>
      <c r="E597" s="31" t="s">
        <v>501</v>
      </c>
      <c r="F597" s="31" t="s">
        <v>55</v>
      </c>
      <c r="G597" s="31">
        <v>3335</v>
      </c>
      <c r="H597" s="31" t="s">
        <v>160</v>
      </c>
      <c r="I597" s="38">
        <v>14094.32</v>
      </c>
    </row>
    <row r="598" spans="1:10" x14ac:dyDescent="0.35">
      <c r="A598" s="31">
        <v>298.5</v>
      </c>
      <c r="B598" s="19"/>
      <c r="C598" s="19" t="s">
        <v>22</v>
      </c>
      <c r="D598" s="37">
        <v>45899</v>
      </c>
      <c r="E598" s="31" t="s">
        <v>501</v>
      </c>
      <c r="F598" s="31" t="s">
        <v>55</v>
      </c>
      <c r="G598" s="31">
        <v>3335</v>
      </c>
      <c r="H598" s="31" t="s">
        <v>160</v>
      </c>
      <c r="J598" s="38">
        <v>14094.32</v>
      </c>
    </row>
    <row r="599" spans="1:10" x14ac:dyDescent="0.35">
      <c r="A599" s="31">
        <v>299</v>
      </c>
      <c r="B599" s="19" t="s">
        <v>17</v>
      </c>
      <c r="C599" s="19"/>
      <c r="D599" s="37">
        <v>45899</v>
      </c>
      <c r="E599" s="31" t="s">
        <v>502</v>
      </c>
      <c r="F599" s="31" t="s">
        <v>55</v>
      </c>
      <c r="G599" s="31">
        <v>3335</v>
      </c>
      <c r="H599" s="31" t="s">
        <v>160</v>
      </c>
      <c r="I599" s="38">
        <v>0</v>
      </c>
    </row>
    <row r="600" spans="1:10" x14ac:dyDescent="0.35">
      <c r="A600" s="31">
        <v>299.5</v>
      </c>
      <c r="B600" s="19"/>
      <c r="C600" s="19" t="s">
        <v>22</v>
      </c>
      <c r="D600" s="37">
        <v>45899</v>
      </c>
      <c r="E600" s="31" t="s">
        <v>502</v>
      </c>
      <c r="F600" s="31" t="s">
        <v>55</v>
      </c>
      <c r="G600" s="31">
        <v>3335</v>
      </c>
      <c r="H600" s="31" t="s">
        <v>160</v>
      </c>
      <c r="J600" s="38">
        <v>0</v>
      </c>
    </row>
    <row r="601" spans="1:10" x14ac:dyDescent="0.35">
      <c r="A601" s="31">
        <v>300</v>
      </c>
      <c r="B601" s="19" t="s">
        <v>17</v>
      </c>
      <c r="C601" s="19"/>
      <c r="D601" s="37">
        <v>45899</v>
      </c>
      <c r="E601" s="31" t="s">
        <v>503</v>
      </c>
      <c r="F601" s="31" t="s">
        <v>55</v>
      </c>
      <c r="G601" s="31">
        <v>3335</v>
      </c>
      <c r="H601" s="31" t="s">
        <v>160</v>
      </c>
      <c r="I601" s="38">
        <v>0</v>
      </c>
    </row>
    <row r="602" spans="1:10" x14ac:dyDescent="0.35">
      <c r="A602" s="31">
        <v>300.5</v>
      </c>
      <c r="B602" s="19"/>
      <c r="C602" s="19" t="s">
        <v>22</v>
      </c>
      <c r="D602" s="37">
        <v>45899</v>
      </c>
      <c r="E602" s="31" t="s">
        <v>503</v>
      </c>
      <c r="F602" s="31" t="s">
        <v>55</v>
      </c>
      <c r="G602" s="31">
        <v>3335</v>
      </c>
      <c r="H602" s="31" t="s">
        <v>160</v>
      </c>
      <c r="J602" s="38">
        <v>0</v>
      </c>
    </row>
    <row r="603" spans="1:10" x14ac:dyDescent="0.35">
      <c r="A603" s="31">
        <v>301</v>
      </c>
      <c r="B603" s="19" t="s">
        <v>17</v>
      </c>
      <c r="C603" s="19"/>
      <c r="D603" s="37">
        <v>45899</v>
      </c>
      <c r="E603" s="31" t="s">
        <v>504</v>
      </c>
      <c r="F603" s="31" t="s">
        <v>55</v>
      </c>
      <c r="G603" s="31">
        <v>3335</v>
      </c>
      <c r="H603" s="31" t="s">
        <v>160</v>
      </c>
      <c r="I603" s="38">
        <v>1597.8899999999999</v>
      </c>
    </row>
    <row r="604" spans="1:10" x14ac:dyDescent="0.35">
      <c r="A604" s="31">
        <v>301.5</v>
      </c>
      <c r="B604" s="19"/>
      <c r="C604" s="19" t="s">
        <v>22</v>
      </c>
      <c r="D604" s="37">
        <v>45899</v>
      </c>
      <c r="E604" s="31" t="s">
        <v>504</v>
      </c>
      <c r="F604" s="31" t="s">
        <v>55</v>
      </c>
      <c r="G604" s="31">
        <v>3335</v>
      </c>
      <c r="H604" s="31" t="s">
        <v>160</v>
      </c>
      <c r="J604" s="38">
        <v>1597.8899999999999</v>
      </c>
    </row>
    <row r="605" spans="1:10" x14ac:dyDescent="0.35">
      <c r="A605" s="31">
        <v>302</v>
      </c>
      <c r="B605" s="19" t="s">
        <v>17</v>
      </c>
      <c r="C605" s="19"/>
      <c r="D605" s="37">
        <v>45899</v>
      </c>
      <c r="E605" s="31" t="s">
        <v>505</v>
      </c>
      <c r="F605" s="31" t="s">
        <v>55</v>
      </c>
      <c r="G605" s="31">
        <v>3335</v>
      </c>
      <c r="H605" s="31" t="s">
        <v>160</v>
      </c>
      <c r="I605" s="38">
        <v>0</v>
      </c>
    </row>
    <row r="606" spans="1:10" x14ac:dyDescent="0.35">
      <c r="A606" s="31">
        <v>302.5</v>
      </c>
      <c r="B606" s="19"/>
      <c r="C606" s="19" t="s">
        <v>22</v>
      </c>
      <c r="D606" s="37">
        <v>45899</v>
      </c>
      <c r="E606" s="31" t="s">
        <v>505</v>
      </c>
      <c r="F606" s="31" t="s">
        <v>55</v>
      </c>
      <c r="G606" s="31">
        <v>3335</v>
      </c>
      <c r="H606" s="31" t="s">
        <v>160</v>
      </c>
      <c r="J606" s="38">
        <v>0</v>
      </c>
    </row>
    <row r="607" spans="1:10" x14ac:dyDescent="0.35">
      <c r="A607" s="31">
        <v>303</v>
      </c>
      <c r="B607" s="19" t="s">
        <v>17</v>
      </c>
      <c r="C607" s="19"/>
      <c r="D607" s="37">
        <v>45899</v>
      </c>
      <c r="E607" s="31">
        <v>35818</v>
      </c>
      <c r="F607" s="31" t="s">
        <v>370</v>
      </c>
      <c r="G607" s="31">
        <v>474</v>
      </c>
      <c r="H607" s="31" t="s">
        <v>160</v>
      </c>
      <c r="I607" s="38">
        <v>0</v>
      </c>
    </row>
    <row r="608" spans="1:10" x14ac:dyDescent="0.35">
      <c r="A608" s="31">
        <v>303.5</v>
      </c>
      <c r="B608" s="19"/>
      <c r="C608" s="19" t="s">
        <v>22</v>
      </c>
      <c r="D608" s="37">
        <v>45899</v>
      </c>
      <c r="E608" s="31">
        <v>35818</v>
      </c>
      <c r="F608" s="31" t="s">
        <v>370</v>
      </c>
      <c r="G608" s="31">
        <v>474</v>
      </c>
      <c r="H608" s="31" t="s">
        <v>160</v>
      </c>
      <c r="J608" s="38">
        <v>0</v>
      </c>
    </row>
    <row r="609" spans="1:10" x14ac:dyDescent="0.35">
      <c r="A609" s="31">
        <v>304</v>
      </c>
      <c r="B609" s="19" t="s">
        <v>17</v>
      </c>
      <c r="C609" s="19"/>
      <c r="D609" s="37">
        <v>45899</v>
      </c>
      <c r="E609" s="31" t="s">
        <v>506</v>
      </c>
      <c r="F609" s="31" t="s">
        <v>370</v>
      </c>
      <c r="G609" s="31">
        <v>474</v>
      </c>
      <c r="H609" s="31" t="s">
        <v>160</v>
      </c>
      <c r="I609" s="38">
        <v>0</v>
      </c>
    </row>
    <row r="610" spans="1:10" x14ac:dyDescent="0.35">
      <c r="A610" s="31">
        <v>304.5</v>
      </c>
      <c r="B610" s="19"/>
      <c r="C610" s="19" t="s">
        <v>22</v>
      </c>
      <c r="D610" s="37">
        <v>45899</v>
      </c>
      <c r="E610" s="31" t="s">
        <v>506</v>
      </c>
      <c r="F610" s="31" t="s">
        <v>370</v>
      </c>
      <c r="G610" s="31">
        <v>474</v>
      </c>
      <c r="H610" s="31" t="s">
        <v>160</v>
      </c>
      <c r="J610" s="38">
        <v>0</v>
      </c>
    </row>
    <row r="611" spans="1:10" x14ac:dyDescent="0.35">
      <c r="A611" s="31">
        <v>305</v>
      </c>
      <c r="B611" s="19" t="s">
        <v>17</v>
      </c>
      <c r="C611" s="19"/>
      <c r="D611" s="37">
        <v>45899</v>
      </c>
      <c r="E611" s="31" t="s">
        <v>507</v>
      </c>
      <c r="F611" s="31" t="s">
        <v>508</v>
      </c>
      <c r="G611" s="31">
        <v>3119</v>
      </c>
      <c r="H611" s="31" t="s">
        <v>160</v>
      </c>
      <c r="I611" s="38">
        <v>0</v>
      </c>
    </row>
    <row r="612" spans="1:10" x14ac:dyDescent="0.35">
      <c r="A612" s="31">
        <v>305.5</v>
      </c>
      <c r="B612" s="19"/>
      <c r="C612" s="19" t="s">
        <v>22</v>
      </c>
      <c r="D612" s="37">
        <v>45899</v>
      </c>
      <c r="E612" s="31" t="s">
        <v>507</v>
      </c>
      <c r="F612" s="31" t="s">
        <v>508</v>
      </c>
      <c r="G612" s="31">
        <v>3119</v>
      </c>
      <c r="H612" s="31" t="s">
        <v>160</v>
      </c>
      <c r="J612" s="38">
        <v>0</v>
      </c>
    </row>
    <row r="613" spans="1:10" x14ac:dyDescent="0.35">
      <c r="A613" s="31">
        <v>306</v>
      </c>
      <c r="B613" s="19" t="s">
        <v>17</v>
      </c>
      <c r="C613" s="19"/>
      <c r="D613" s="37">
        <v>45899</v>
      </c>
      <c r="E613" s="31" t="s">
        <v>509</v>
      </c>
      <c r="F613" s="31" t="s">
        <v>508</v>
      </c>
      <c r="G613" s="31">
        <v>3119</v>
      </c>
      <c r="H613" s="31" t="s">
        <v>160</v>
      </c>
      <c r="I613" s="38">
        <v>0</v>
      </c>
    </row>
    <row r="614" spans="1:10" x14ac:dyDescent="0.35">
      <c r="A614" s="31">
        <v>306.5</v>
      </c>
      <c r="B614" s="19"/>
      <c r="C614" s="19" t="s">
        <v>22</v>
      </c>
      <c r="D614" s="37">
        <v>45899</v>
      </c>
      <c r="E614" s="31" t="s">
        <v>509</v>
      </c>
      <c r="F614" s="31" t="s">
        <v>508</v>
      </c>
      <c r="G614" s="31">
        <v>3119</v>
      </c>
      <c r="H614" s="31" t="s">
        <v>160</v>
      </c>
      <c r="J614" s="38">
        <v>0</v>
      </c>
    </row>
    <row r="615" spans="1:10" x14ac:dyDescent="0.35">
      <c r="A615" s="31">
        <v>307</v>
      </c>
      <c r="B615" s="19" t="s">
        <v>17</v>
      </c>
      <c r="C615" s="19"/>
      <c r="D615" s="37">
        <v>45899</v>
      </c>
      <c r="E615" s="31" t="s">
        <v>510</v>
      </c>
      <c r="F615" s="31" t="s">
        <v>508</v>
      </c>
      <c r="G615" s="31">
        <v>3119</v>
      </c>
      <c r="H615" s="31" t="s">
        <v>160</v>
      </c>
      <c r="I615" s="38">
        <v>0</v>
      </c>
    </row>
    <row r="616" spans="1:10" x14ac:dyDescent="0.35">
      <c r="A616" s="31">
        <v>307.5</v>
      </c>
      <c r="B616" s="19"/>
      <c r="C616" s="19" t="s">
        <v>22</v>
      </c>
      <c r="D616" s="37">
        <v>45899</v>
      </c>
      <c r="E616" s="31" t="s">
        <v>510</v>
      </c>
      <c r="F616" s="31" t="s">
        <v>508</v>
      </c>
      <c r="G616" s="31">
        <v>3119</v>
      </c>
      <c r="H616" s="31" t="s">
        <v>160</v>
      </c>
      <c r="J616" s="38">
        <v>0</v>
      </c>
    </row>
    <row r="617" spans="1:10" x14ac:dyDescent="0.35">
      <c r="A617" s="31">
        <v>308</v>
      </c>
      <c r="B617" s="19" t="s">
        <v>17</v>
      </c>
      <c r="C617" s="19"/>
      <c r="D617" s="37">
        <v>45899</v>
      </c>
      <c r="E617" s="31" t="s">
        <v>511</v>
      </c>
      <c r="F617" s="31" t="s">
        <v>508</v>
      </c>
      <c r="G617" s="31">
        <v>3119</v>
      </c>
      <c r="H617" s="31" t="s">
        <v>160</v>
      </c>
      <c r="I617" s="38">
        <v>0</v>
      </c>
    </row>
    <row r="618" spans="1:10" x14ac:dyDescent="0.35">
      <c r="A618" s="31">
        <v>308.5</v>
      </c>
      <c r="B618" s="19"/>
      <c r="C618" s="19" t="s">
        <v>22</v>
      </c>
      <c r="D618" s="37">
        <v>45899</v>
      </c>
      <c r="E618" s="31" t="s">
        <v>511</v>
      </c>
      <c r="F618" s="31" t="s">
        <v>508</v>
      </c>
      <c r="G618" s="31">
        <v>3119</v>
      </c>
      <c r="H618" s="31" t="s">
        <v>160</v>
      </c>
      <c r="J618" s="38">
        <v>0</v>
      </c>
    </row>
    <row r="619" spans="1:10" x14ac:dyDescent="0.35">
      <c r="A619" s="31">
        <v>309</v>
      </c>
      <c r="B619" s="19" t="s">
        <v>17</v>
      </c>
      <c r="C619" s="19"/>
      <c r="D619" s="37">
        <v>45899</v>
      </c>
      <c r="E619" s="31" t="s">
        <v>512</v>
      </c>
      <c r="F619" s="31" t="s">
        <v>508</v>
      </c>
      <c r="G619" s="31">
        <v>3119</v>
      </c>
      <c r="H619" s="31" t="s">
        <v>160</v>
      </c>
      <c r="I619" s="38">
        <v>0</v>
      </c>
    </row>
    <row r="620" spans="1:10" x14ac:dyDescent="0.35">
      <c r="A620" s="31">
        <v>309.5</v>
      </c>
      <c r="B620" s="19"/>
      <c r="C620" s="19" t="s">
        <v>22</v>
      </c>
      <c r="D620" s="37">
        <v>45899</v>
      </c>
      <c r="E620" s="31" t="s">
        <v>512</v>
      </c>
      <c r="F620" s="31" t="s">
        <v>508</v>
      </c>
      <c r="G620" s="31">
        <v>3119</v>
      </c>
      <c r="H620" s="31" t="s">
        <v>160</v>
      </c>
      <c r="J620" s="38">
        <v>0</v>
      </c>
    </row>
    <row r="621" spans="1:10" x14ac:dyDescent="0.35">
      <c r="A621" s="31">
        <v>310</v>
      </c>
      <c r="B621" s="19" t="s">
        <v>17</v>
      </c>
      <c r="C621" s="19"/>
      <c r="D621" s="37">
        <v>45899</v>
      </c>
      <c r="E621" s="31" t="s">
        <v>513</v>
      </c>
      <c r="F621" s="31" t="s">
        <v>508</v>
      </c>
      <c r="G621" s="31">
        <v>3119</v>
      </c>
      <c r="H621" s="31" t="s">
        <v>160</v>
      </c>
      <c r="I621" s="38">
        <v>0</v>
      </c>
    </row>
    <row r="622" spans="1:10" x14ac:dyDescent="0.35">
      <c r="A622" s="31">
        <v>310.5</v>
      </c>
      <c r="B622" s="19"/>
      <c r="C622" s="19" t="s">
        <v>22</v>
      </c>
      <c r="D622" s="37">
        <v>45899</v>
      </c>
      <c r="E622" s="31" t="s">
        <v>513</v>
      </c>
      <c r="F622" s="31" t="s">
        <v>508</v>
      </c>
      <c r="G622" s="31">
        <v>3119</v>
      </c>
      <c r="H622" s="31" t="s">
        <v>160</v>
      </c>
      <c r="J622" s="38">
        <v>0</v>
      </c>
    </row>
    <row r="623" spans="1:10" x14ac:dyDescent="0.35">
      <c r="A623" s="31">
        <v>311</v>
      </c>
      <c r="B623" s="19" t="s">
        <v>17</v>
      </c>
      <c r="C623" s="19"/>
      <c r="D623" s="37">
        <v>45899</v>
      </c>
      <c r="E623" s="31" t="s">
        <v>514</v>
      </c>
      <c r="F623" s="31" t="s">
        <v>515</v>
      </c>
      <c r="G623" s="31">
        <v>3365</v>
      </c>
      <c r="H623" s="31" t="s">
        <v>160</v>
      </c>
      <c r="I623" s="38">
        <v>0</v>
      </c>
    </row>
    <row r="624" spans="1:10" x14ac:dyDescent="0.35">
      <c r="A624" s="31">
        <v>311.5</v>
      </c>
      <c r="B624" s="19"/>
      <c r="C624" s="19" t="s">
        <v>22</v>
      </c>
      <c r="D624" s="37">
        <v>45899</v>
      </c>
      <c r="E624" s="31" t="s">
        <v>514</v>
      </c>
      <c r="F624" s="31" t="s">
        <v>515</v>
      </c>
      <c r="G624" s="31">
        <v>3365</v>
      </c>
      <c r="H624" s="31" t="s">
        <v>160</v>
      </c>
      <c r="J624" s="38">
        <v>0</v>
      </c>
    </row>
    <row r="625" spans="1:10" x14ac:dyDescent="0.35">
      <c r="A625" s="31">
        <v>312</v>
      </c>
      <c r="B625" s="19" t="s">
        <v>17</v>
      </c>
      <c r="C625" s="19"/>
      <c r="D625" s="37">
        <v>45899</v>
      </c>
      <c r="E625" s="31" t="s">
        <v>516</v>
      </c>
      <c r="F625" s="31" t="s">
        <v>515</v>
      </c>
      <c r="G625" s="31">
        <v>3365</v>
      </c>
      <c r="H625" s="31" t="s">
        <v>160</v>
      </c>
      <c r="I625" s="38">
        <v>0</v>
      </c>
    </row>
    <row r="626" spans="1:10" x14ac:dyDescent="0.35">
      <c r="A626" s="31">
        <v>312.5</v>
      </c>
      <c r="B626" s="19"/>
      <c r="C626" s="19" t="s">
        <v>22</v>
      </c>
      <c r="D626" s="37">
        <v>45899</v>
      </c>
      <c r="E626" s="31" t="s">
        <v>516</v>
      </c>
      <c r="F626" s="31" t="s">
        <v>515</v>
      </c>
      <c r="G626" s="31">
        <v>3365</v>
      </c>
      <c r="H626" s="31" t="s">
        <v>160</v>
      </c>
      <c r="J626" s="38">
        <v>0</v>
      </c>
    </row>
    <row r="627" spans="1:10" x14ac:dyDescent="0.35">
      <c r="A627" s="31">
        <v>313</v>
      </c>
      <c r="B627" s="19" t="s">
        <v>17</v>
      </c>
      <c r="C627" s="19"/>
      <c r="D627" s="37">
        <v>45899</v>
      </c>
      <c r="E627" s="31" t="s">
        <v>517</v>
      </c>
      <c r="F627" s="31" t="s">
        <v>391</v>
      </c>
      <c r="G627" s="31">
        <v>3392</v>
      </c>
      <c r="H627" s="31" t="s">
        <v>160</v>
      </c>
      <c r="I627" s="38">
        <v>0</v>
      </c>
    </row>
    <row r="628" spans="1:10" x14ac:dyDescent="0.35">
      <c r="A628" s="31">
        <v>313.5</v>
      </c>
      <c r="B628" s="19"/>
      <c r="C628" s="19" t="s">
        <v>22</v>
      </c>
      <c r="D628" s="37">
        <v>45899</v>
      </c>
      <c r="E628" s="31" t="s">
        <v>517</v>
      </c>
      <c r="F628" s="31" t="s">
        <v>391</v>
      </c>
      <c r="G628" s="31">
        <v>3392</v>
      </c>
      <c r="H628" s="31" t="s">
        <v>160</v>
      </c>
      <c r="J628" s="38">
        <v>0</v>
      </c>
    </row>
    <row r="629" spans="1:10" x14ac:dyDescent="0.35">
      <c r="A629" s="31">
        <v>314</v>
      </c>
      <c r="B629" s="19" t="s">
        <v>17</v>
      </c>
      <c r="C629" s="19"/>
      <c r="D629" s="37">
        <v>45899</v>
      </c>
      <c r="E629" s="31" t="s">
        <v>518</v>
      </c>
      <c r="F629" s="31" t="s">
        <v>391</v>
      </c>
      <c r="G629" s="31">
        <v>3392</v>
      </c>
      <c r="H629" s="31" t="s">
        <v>160</v>
      </c>
      <c r="I629" s="38">
        <v>0</v>
      </c>
    </row>
    <row r="630" spans="1:10" x14ac:dyDescent="0.35">
      <c r="A630" s="31">
        <v>314.5</v>
      </c>
      <c r="B630" s="19"/>
      <c r="C630" s="19" t="s">
        <v>22</v>
      </c>
      <c r="D630" s="37">
        <v>45899</v>
      </c>
      <c r="E630" s="31" t="s">
        <v>518</v>
      </c>
      <c r="F630" s="31" t="s">
        <v>391</v>
      </c>
      <c r="G630" s="31">
        <v>3392</v>
      </c>
      <c r="H630" s="31" t="s">
        <v>160</v>
      </c>
      <c r="J630" s="38">
        <v>0</v>
      </c>
    </row>
    <row r="631" spans="1:10" x14ac:dyDescent="0.35">
      <c r="A631" s="31">
        <v>315</v>
      </c>
      <c r="B631" s="19" t="s">
        <v>17</v>
      </c>
      <c r="C631" s="19"/>
      <c r="D631" s="37">
        <v>45899</v>
      </c>
      <c r="E631" s="31" t="s">
        <v>519</v>
      </c>
      <c r="F631" s="31" t="s">
        <v>391</v>
      </c>
      <c r="G631" s="31">
        <v>3392</v>
      </c>
      <c r="H631" s="31" t="s">
        <v>160</v>
      </c>
      <c r="I631" s="38">
        <v>0</v>
      </c>
    </row>
    <row r="632" spans="1:10" x14ac:dyDescent="0.35">
      <c r="A632" s="31">
        <v>315.5</v>
      </c>
      <c r="B632" s="19"/>
      <c r="C632" s="19" t="s">
        <v>22</v>
      </c>
      <c r="D632" s="37">
        <v>45899</v>
      </c>
      <c r="E632" s="31" t="s">
        <v>519</v>
      </c>
      <c r="F632" s="31" t="s">
        <v>391</v>
      </c>
      <c r="G632" s="31">
        <v>3392</v>
      </c>
      <c r="H632" s="31" t="s">
        <v>160</v>
      </c>
      <c r="J632" s="38">
        <v>0</v>
      </c>
    </row>
    <row r="633" spans="1:10" x14ac:dyDescent="0.35">
      <c r="A633" s="31">
        <v>316</v>
      </c>
      <c r="B633" s="19" t="s">
        <v>17</v>
      </c>
      <c r="C633" s="19"/>
      <c r="D633" s="37">
        <v>45899</v>
      </c>
      <c r="E633" s="31" t="s">
        <v>520</v>
      </c>
      <c r="F633" s="31" t="s">
        <v>391</v>
      </c>
      <c r="G633" s="31">
        <v>3392</v>
      </c>
      <c r="H633" s="31" t="s">
        <v>160</v>
      </c>
      <c r="I633" s="38">
        <v>0</v>
      </c>
    </row>
    <row r="634" spans="1:10" x14ac:dyDescent="0.35">
      <c r="A634" s="31">
        <v>316.5</v>
      </c>
      <c r="B634" s="19"/>
      <c r="C634" s="19" t="s">
        <v>22</v>
      </c>
      <c r="D634" s="37">
        <v>45899</v>
      </c>
      <c r="E634" s="31" t="s">
        <v>520</v>
      </c>
      <c r="F634" s="31" t="s">
        <v>391</v>
      </c>
      <c r="G634" s="31">
        <v>3392</v>
      </c>
      <c r="H634" s="31" t="s">
        <v>160</v>
      </c>
      <c r="J634" s="38">
        <v>0</v>
      </c>
    </row>
    <row r="635" spans="1:10" x14ac:dyDescent="0.35">
      <c r="A635" s="31">
        <v>317</v>
      </c>
      <c r="B635" s="19" t="s">
        <v>17</v>
      </c>
      <c r="C635" s="19"/>
      <c r="D635" s="37">
        <v>45899</v>
      </c>
      <c r="E635" s="31" t="s">
        <v>521</v>
      </c>
      <c r="F635" s="31" t="s">
        <v>391</v>
      </c>
      <c r="G635" s="31">
        <v>3392</v>
      </c>
      <c r="H635" s="31" t="s">
        <v>160</v>
      </c>
      <c r="I635" s="38">
        <v>0</v>
      </c>
    </row>
    <row r="636" spans="1:10" x14ac:dyDescent="0.35">
      <c r="A636" s="31">
        <v>317.5</v>
      </c>
      <c r="B636" s="19"/>
      <c r="C636" s="19" t="s">
        <v>22</v>
      </c>
      <c r="D636" s="37">
        <v>45899</v>
      </c>
      <c r="E636" s="31" t="s">
        <v>521</v>
      </c>
      <c r="F636" s="31" t="s">
        <v>391</v>
      </c>
      <c r="G636" s="31">
        <v>3392</v>
      </c>
      <c r="H636" s="31" t="s">
        <v>160</v>
      </c>
      <c r="J636" s="38">
        <v>0</v>
      </c>
    </row>
    <row r="637" spans="1:10" x14ac:dyDescent="0.35">
      <c r="A637" s="31">
        <v>318</v>
      </c>
      <c r="B637" s="19" t="s">
        <v>17</v>
      </c>
      <c r="C637" s="19"/>
      <c r="D637" s="37">
        <v>45899</v>
      </c>
      <c r="E637" s="31" t="s">
        <v>522</v>
      </c>
      <c r="F637" s="31" t="s">
        <v>391</v>
      </c>
      <c r="G637" s="31">
        <v>3392</v>
      </c>
      <c r="H637" s="31" t="s">
        <v>160</v>
      </c>
      <c r="I637" s="38">
        <v>0</v>
      </c>
    </row>
    <row r="638" spans="1:10" x14ac:dyDescent="0.35">
      <c r="A638" s="31">
        <v>318.5</v>
      </c>
      <c r="B638" s="19"/>
      <c r="C638" s="19" t="s">
        <v>22</v>
      </c>
      <c r="D638" s="37">
        <v>45899</v>
      </c>
      <c r="E638" s="31" t="s">
        <v>522</v>
      </c>
      <c r="F638" s="31" t="s">
        <v>391</v>
      </c>
      <c r="G638" s="31">
        <v>3392</v>
      </c>
      <c r="H638" s="31" t="s">
        <v>160</v>
      </c>
      <c r="J638" s="38">
        <v>0</v>
      </c>
    </row>
    <row r="639" spans="1:10" x14ac:dyDescent="0.35">
      <c r="A639" s="31">
        <v>319</v>
      </c>
      <c r="B639" s="19" t="s">
        <v>17</v>
      </c>
      <c r="C639" s="19"/>
      <c r="D639" s="37">
        <v>45899</v>
      </c>
      <c r="E639" s="31" t="s">
        <v>523</v>
      </c>
      <c r="F639" s="31" t="s">
        <v>391</v>
      </c>
      <c r="G639" s="31">
        <v>3392</v>
      </c>
      <c r="H639" s="31" t="s">
        <v>160</v>
      </c>
      <c r="I639" s="38">
        <v>0</v>
      </c>
    </row>
    <row r="640" spans="1:10" x14ac:dyDescent="0.35">
      <c r="A640" s="31">
        <v>319.5</v>
      </c>
      <c r="B640" s="19"/>
      <c r="C640" s="19" t="s">
        <v>22</v>
      </c>
      <c r="D640" s="37">
        <v>45899</v>
      </c>
      <c r="E640" s="31" t="s">
        <v>523</v>
      </c>
      <c r="F640" s="31" t="s">
        <v>391</v>
      </c>
      <c r="G640" s="31">
        <v>3392</v>
      </c>
      <c r="H640" s="31" t="s">
        <v>160</v>
      </c>
      <c r="J640" s="38">
        <v>0</v>
      </c>
    </row>
    <row r="641" spans="1:10" x14ac:dyDescent="0.35">
      <c r="A641" s="31">
        <v>320</v>
      </c>
      <c r="B641" s="19" t="s">
        <v>17</v>
      </c>
      <c r="C641" s="19"/>
      <c r="D641" s="37">
        <v>45899</v>
      </c>
      <c r="E641" s="31" t="s">
        <v>524</v>
      </c>
      <c r="F641" s="31" t="s">
        <v>525</v>
      </c>
      <c r="G641" s="31">
        <v>3544</v>
      </c>
      <c r="H641" s="31" t="s">
        <v>160</v>
      </c>
      <c r="I641" s="38">
        <v>0</v>
      </c>
    </row>
    <row r="642" spans="1:10" x14ac:dyDescent="0.35">
      <c r="A642" s="31">
        <v>320.5</v>
      </c>
      <c r="B642" s="19"/>
      <c r="C642" s="19" t="s">
        <v>22</v>
      </c>
      <c r="D642" s="37">
        <v>45899</v>
      </c>
      <c r="E642" s="31" t="s">
        <v>524</v>
      </c>
      <c r="F642" s="31" t="s">
        <v>525</v>
      </c>
      <c r="G642" s="31">
        <v>3544</v>
      </c>
      <c r="H642" s="31" t="s">
        <v>160</v>
      </c>
      <c r="J642" s="38">
        <v>0</v>
      </c>
    </row>
    <row r="643" spans="1:10" x14ac:dyDescent="0.35">
      <c r="A643" s="31">
        <v>321</v>
      </c>
      <c r="B643" s="19" t="s">
        <v>17</v>
      </c>
      <c r="C643" s="19"/>
      <c r="D643" s="37">
        <v>45899</v>
      </c>
      <c r="E643" s="31" t="s">
        <v>526</v>
      </c>
      <c r="F643" s="31" t="s">
        <v>242</v>
      </c>
      <c r="G643" s="31">
        <v>714</v>
      </c>
      <c r="H643" s="31" t="s">
        <v>160</v>
      </c>
      <c r="I643" s="38">
        <v>0</v>
      </c>
    </row>
    <row r="644" spans="1:10" x14ac:dyDescent="0.35">
      <c r="A644" s="31">
        <v>321.5</v>
      </c>
      <c r="B644" s="19"/>
      <c r="C644" s="19" t="s">
        <v>22</v>
      </c>
      <c r="D644" s="37">
        <v>45899</v>
      </c>
      <c r="E644" s="31" t="s">
        <v>526</v>
      </c>
      <c r="F644" s="31" t="s">
        <v>242</v>
      </c>
      <c r="G644" s="31">
        <v>714</v>
      </c>
      <c r="H644" s="31" t="s">
        <v>160</v>
      </c>
      <c r="J644" s="38">
        <v>0</v>
      </c>
    </row>
    <row r="645" spans="1:10" x14ac:dyDescent="0.35">
      <c r="A645" s="31">
        <v>322</v>
      </c>
      <c r="B645" s="19" t="s">
        <v>17</v>
      </c>
      <c r="C645" s="19"/>
      <c r="D645" s="37">
        <v>45899</v>
      </c>
      <c r="E645" s="31" t="s">
        <v>527</v>
      </c>
      <c r="F645" s="31" t="s">
        <v>242</v>
      </c>
      <c r="G645" s="31">
        <v>714</v>
      </c>
      <c r="H645" s="31" t="s">
        <v>160</v>
      </c>
      <c r="I645" s="38">
        <v>0</v>
      </c>
    </row>
    <row r="646" spans="1:10" x14ac:dyDescent="0.35">
      <c r="A646" s="31">
        <v>322.5</v>
      </c>
      <c r="B646" s="19"/>
      <c r="C646" s="19" t="s">
        <v>22</v>
      </c>
      <c r="D646" s="37">
        <v>45899</v>
      </c>
      <c r="E646" s="31" t="s">
        <v>527</v>
      </c>
      <c r="F646" s="31" t="s">
        <v>242</v>
      </c>
      <c r="G646" s="31">
        <v>714</v>
      </c>
      <c r="H646" s="31" t="s">
        <v>160</v>
      </c>
      <c r="J646" s="38">
        <v>0</v>
      </c>
    </row>
    <row r="647" spans="1:10" x14ac:dyDescent="0.35">
      <c r="A647" s="31">
        <v>323</v>
      </c>
      <c r="B647" s="19" t="s">
        <v>17</v>
      </c>
      <c r="C647" s="19"/>
      <c r="D647" s="37">
        <v>45899</v>
      </c>
      <c r="E647" s="31" t="s">
        <v>528</v>
      </c>
      <c r="F647" s="31" t="s">
        <v>529</v>
      </c>
      <c r="G647" s="31">
        <v>727</v>
      </c>
      <c r="H647" s="31" t="s">
        <v>160</v>
      </c>
      <c r="I647" s="38">
        <v>0</v>
      </c>
    </row>
    <row r="648" spans="1:10" x14ac:dyDescent="0.35">
      <c r="A648" s="31">
        <v>323.5</v>
      </c>
      <c r="B648" s="19"/>
      <c r="C648" s="19" t="s">
        <v>22</v>
      </c>
      <c r="D648" s="37">
        <v>45899</v>
      </c>
      <c r="E648" s="31" t="s">
        <v>528</v>
      </c>
      <c r="F648" s="31" t="s">
        <v>529</v>
      </c>
      <c r="G648" s="31">
        <v>727</v>
      </c>
      <c r="H648" s="31" t="s">
        <v>160</v>
      </c>
      <c r="J648" s="38">
        <v>0</v>
      </c>
    </row>
    <row r="649" spans="1:10" x14ac:dyDescent="0.35">
      <c r="A649" s="31">
        <v>324</v>
      </c>
      <c r="B649" s="19" t="s">
        <v>17</v>
      </c>
      <c r="C649" s="19"/>
      <c r="D649" s="37">
        <v>45899</v>
      </c>
      <c r="E649" s="31" t="s">
        <v>530</v>
      </c>
      <c r="F649" s="31" t="s">
        <v>529</v>
      </c>
      <c r="G649" s="31">
        <v>727</v>
      </c>
      <c r="H649" s="31" t="s">
        <v>160</v>
      </c>
      <c r="I649" s="38">
        <v>0</v>
      </c>
    </row>
    <row r="650" spans="1:10" x14ac:dyDescent="0.35">
      <c r="A650" s="31">
        <v>324.5</v>
      </c>
      <c r="B650" s="19"/>
      <c r="C650" s="19" t="s">
        <v>22</v>
      </c>
      <c r="D650" s="37">
        <v>45899</v>
      </c>
      <c r="E650" s="31" t="s">
        <v>530</v>
      </c>
      <c r="F650" s="31" t="s">
        <v>529</v>
      </c>
      <c r="G650" s="31">
        <v>727</v>
      </c>
      <c r="H650" s="31" t="s">
        <v>160</v>
      </c>
      <c r="J650" s="38">
        <v>0</v>
      </c>
    </row>
    <row r="651" spans="1:10" x14ac:dyDescent="0.35">
      <c r="A651" s="31">
        <v>325</v>
      </c>
      <c r="B651" s="19" t="s">
        <v>17</v>
      </c>
      <c r="C651" s="19"/>
      <c r="D651" s="37">
        <v>45899</v>
      </c>
      <c r="E651" s="31" t="s">
        <v>531</v>
      </c>
      <c r="F651" s="31" t="s">
        <v>529</v>
      </c>
      <c r="G651" s="31">
        <v>727</v>
      </c>
      <c r="H651" s="31" t="s">
        <v>160</v>
      </c>
      <c r="I651" s="38">
        <v>0</v>
      </c>
    </row>
    <row r="652" spans="1:10" x14ac:dyDescent="0.35">
      <c r="A652" s="31">
        <v>325.5</v>
      </c>
      <c r="B652" s="19"/>
      <c r="C652" s="19" t="s">
        <v>22</v>
      </c>
      <c r="D652" s="37">
        <v>45899</v>
      </c>
      <c r="E652" s="31" t="s">
        <v>531</v>
      </c>
      <c r="F652" s="31" t="s">
        <v>529</v>
      </c>
      <c r="G652" s="31">
        <v>727</v>
      </c>
      <c r="H652" s="31" t="s">
        <v>160</v>
      </c>
      <c r="J652" s="38">
        <v>0</v>
      </c>
    </row>
    <row r="653" spans="1:10" x14ac:dyDescent="0.35">
      <c r="A653" s="31">
        <v>326</v>
      </c>
      <c r="B653" s="19" t="s">
        <v>17</v>
      </c>
      <c r="C653" s="19"/>
      <c r="D653" s="37">
        <v>45899</v>
      </c>
      <c r="E653" s="31" t="s">
        <v>532</v>
      </c>
      <c r="F653" s="31" t="s">
        <v>412</v>
      </c>
      <c r="G653" s="31">
        <v>2707</v>
      </c>
      <c r="H653" s="31" t="s">
        <v>160</v>
      </c>
      <c r="I653" s="38">
        <v>0</v>
      </c>
    </row>
    <row r="654" spans="1:10" x14ac:dyDescent="0.35">
      <c r="A654" s="31">
        <v>326.5</v>
      </c>
      <c r="B654" s="19"/>
      <c r="C654" s="19" t="s">
        <v>22</v>
      </c>
      <c r="D654" s="37">
        <v>45899</v>
      </c>
      <c r="E654" s="31" t="s">
        <v>532</v>
      </c>
      <c r="F654" s="31" t="s">
        <v>412</v>
      </c>
      <c r="G654" s="31">
        <v>2707</v>
      </c>
      <c r="H654" s="31" t="s">
        <v>160</v>
      </c>
      <c r="J654" s="38">
        <v>0</v>
      </c>
    </row>
    <row r="655" spans="1:10" x14ac:dyDescent="0.35">
      <c r="A655" s="31">
        <v>327</v>
      </c>
      <c r="B655" s="19" t="s">
        <v>17</v>
      </c>
      <c r="C655" s="19"/>
      <c r="D655" s="37">
        <v>45899</v>
      </c>
      <c r="E655" s="31" t="s">
        <v>533</v>
      </c>
      <c r="F655" s="31" t="s">
        <v>412</v>
      </c>
      <c r="G655" s="31">
        <v>2707</v>
      </c>
      <c r="H655" s="31" t="s">
        <v>160</v>
      </c>
      <c r="I655" s="38">
        <v>0</v>
      </c>
    </row>
    <row r="656" spans="1:10" x14ac:dyDescent="0.35">
      <c r="A656" s="31">
        <v>327.5</v>
      </c>
      <c r="B656" s="19"/>
      <c r="C656" s="19" t="s">
        <v>22</v>
      </c>
      <c r="D656" s="37">
        <v>45899</v>
      </c>
      <c r="E656" s="31" t="s">
        <v>533</v>
      </c>
      <c r="F656" s="31" t="s">
        <v>412</v>
      </c>
      <c r="G656" s="31">
        <v>2707</v>
      </c>
      <c r="H656" s="31" t="s">
        <v>160</v>
      </c>
      <c r="J656" s="38">
        <v>0</v>
      </c>
    </row>
    <row r="657" spans="1:10" x14ac:dyDescent="0.35">
      <c r="A657" s="31">
        <v>328</v>
      </c>
      <c r="B657" s="19" t="s">
        <v>17</v>
      </c>
      <c r="C657" s="19"/>
      <c r="D657" s="37">
        <v>45899</v>
      </c>
      <c r="E657" s="31" t="s">
        <v>534</v>
      </c>
      <c r="F657" s="31" t="s">
        <v>242</v>
      </c>
      <c r="G657" s="31">
        <v>714</v>
      </c>
      <c r="H657" s="31" t="s">
        <v>160</v>
      </c>
      <c r="I657" s="38">
        <v>0</v>
      </c>
    </row>
    <row r="658" spans="1:10" x14ac:dyDescent="0.35">
      <c r="A658" s="31">
        <v>328.5</v>
      </c>
      <c r="B658" s="19"/>
      <c r="C658" s="19" t="s">
        <v>22</v>
      </c>
      <c r="D658" s="37">
        <v>45899</v>
      </c>
      <c r="E658" s="31" t="s">
        <v>534</v>
      </c>
      <c r="F658" s="31" t="s">
        <v>242</v>
      </c>
      <c r="G658" s="31">
        <v>714</v>
      </c>
      <c r="H658" s="31" t="s">
        <v>160</v>
      </c>
      <c r="J658" s="38">
        <v>0</v>
      </c>
    </row>
    <row r="659" spans="1:10" x14ac:dyDescent="0.35">
      <c r="A659" s="31">
        <v>329</v>
      </c>
      <c r="B659" s="19" t="s">
        <v>17</v>
      </c>
      <c r="C659" s="19"/>
      <c r="D659" s="37">
        <v>45899</v>
      </c>
      <c r="E659" s="31" t="s">
        <v>535</v>
      </c>
      <c r="F659" s="31" t="s">
        <v>536</v>
      </c>
      <c r="G659" s="31">
        <v>3545</v>
      </c>
      <c r="H659" s="31" t="s">
        <v>160</v>
      </c>
      <c r="I659" s="38">
        <v>0</v>
      </c>
    </row>
    <row r="660" spans="1:10" x14ac:dyDescent="0.35">
      <c r="A660" s="31">
        <v>329.5</v>
      </c>
      <c r="B660" s="19"/>
      <c r="C660" s="19" t="s">
        <v>22</v>
      </c>
      <c r="D660" s="37">
        <v>45899</v>
      </c>
      <c r="E660" s="31" t="s">
        <v>535</v>
      </c>
      <c r="F660" s="31" t="s">
        <v>536</v>
      </c>
      <c r="G660" s="31">
        <v>3545</v>
      </c>
      <c r="H660" s="31" t="s">
        <v>160</v>
      </c>
      <c r="J660" s="38">
        <v>0</v>
      </c>
    </row>
    <row r="661" spans="1:10" x14ac:dyDescent="0.35">
      <c r="A661" s="31">
        <v>330</v>
      </c>
      <c r="B661" s="19" t="s">
        <v>17</v>
      </c>
      <c r="C661" s="19"/>
      <c r="D661" s="37">
        <v>45899</v>
      </c>
      <c r="E661" s="31" t="s">
        <v>537</v>
      </c>
      <c r="F661" s="31" t="s">
        <v>536</v>
      </c>
      <c r="G661" s="31">
        <v>3545</v>
      </c>
      <c r="H661" s="31" t="s">
        <v>160</v>
      </c>
      <c r="I661" s="38">
        <v>0</v>
      </c>
    </row>
    <row r="662" spans="1:10" x14ac:dyDescent="0.35">
      <c r="A662" s="31">
        <v>330.5</v>
      </c>
      <c r="B662" s="19"/>
      <c r="C662" s="19" t="s">
        <v>22</v>
      </c>
      <c r="D662" s="37">
        <v>45899</v>
      </c>
      <c r="E662" s="31" t="s">
        <v>537</v>
      </c>
      <c r="F662" s="31" t="s">
        <v>536</v>
      </c>
      <c r="G662" s="31">
        <v>3545</v>
      </c>
      <c r="H662" s="31" t="s">
        <v>160</v>
      </c>
      <c r="J662" s="38">
        <v>0</v>
      </c>
    </row>
    <row r="663" spans="1:10" x14ac:dyDescent="0.35">
      <c r="A663" s="31">
        <v>331</v>
      </c>
      <c r="B663" s="19" t="s">
        <v>17</v>
      </c>
      <c r="C663" s="19"/>
      <c r="D663" s="37">
        <v>45899</v>
      </c>
      <c r="E663" s="31" t="s">
        <v>538</v>
      </c>
      <c r="F663" s="31" t="s">
        <v>536</v>
      </c>
      <c r="G663" s="31">
        <v>3545</v>
      </c>
      <c r="H663" s="31" t="s">
        <v>160</v>
      </c>
      <c r="I663" s="38">
        <v>0</v>
      </c>
    </row>
    <row r="664" spans="1:10" x14ac:dyDescent="0.35">
      <c r="A664" s="31">
        <v>331.5</v>
      </c>
      <c r="B664" s="19"/>
      <c r="C664" s="19" t="s">
        <v>22</v>
      </c>
      <c r="D664" s="37">
        <v>45899</v>
      </c>
      <c r="E664" s="31" t="s">
        <v>538</v>
      </c>
      <c r="F664" s="31" t="s">
        <v>536</v>
      </c>
      <c r="G664" s="31">
        <v>3545</v>
      </c>
      <c r="H664" s="31" t="s">
        <v>160</v>
      </c>
      <c r="J664" s="38">
        <v>0</v>
      </c>
    </row>
    <row r="665" spans="1:10" x14ac:dyDescent="0.35">
      <c r="A665" s="31">
        <v>332</v>
      </c>
      <c r="B665" s="19" t="s">
        <v>17</v>
      </c>
      <c r="C665" s="19"/>
      <c r="D665" s="37">
        <v>45899</v>
      </c>
      <c r="E665" s="31" t="s">
        <v>539</v>
      </c>
      <c r="F665" s="31" t="s">
        <v>536</v>
      </c>
      <c r="G665" s="31">
        <v>3545</v>
      </c>
      <c r="H665" s="31" t="s">
        <v>160</v>
      </c>
      <c r="I665" s="38">
        <v>0</v>
      </c>
    </row>
    <row r="666" spans="1:10" x14ac:dyDescent="0.35">
      <c r="A666" s="31">
        <v>332.5</v>
      </c>
      <c r="B666" s="19"/>
      <c r="C666" s="19" t="s">
        <v>22</v>
      </c>
      <c r="D666" s="37">
        <v>45899</v>
      </c>
      <c r="E666" s="31" t="s">
        <v>539</v>
      </c>
      <c r="F666" s="31" t="s">
        <v>536</v>
      </c>
      <c r="G666" s="31">
        <v>3545</v>
      </c>
      <c r="H666" s="31" t="s">
        <v>160</v>
      </c>
      <c r="J666" s="38">
        <v>0</v>
      </c>
    </row>
    <row r="667" spans="1:10" x14ac:dyDescent="0.35">
      <c r="A667" s="31">
        <v>333</v>
      </c>
      <c r="B667" s="19" t="s">
        <v>17</v>
      </c>
      <c r="C667" s="19"/>
      <c r="D667" s="37">
        <v>45899</v>
      </c>
      <c r="E667" s="31" t="s">
        <v>540</v>
      </c>
      <c r="F667" s="31" t="s">
        <v>541</v>
      </c>
      <c r="G667" s="31">
        <v>3268</v>
      </c>
      <c r="H667" s="31" t="s">
        <v>160</v>
      </c>
      <c r="I667" s="38">
        <v>0</v>
      </c>
    </row>
    <row r="668" spans="1:10" x14ac:dyDescent="0.35">
      <c r="A668" s="31">
        <v>333.5</v>
      </c>
      <c r="B668" s="19"/>
      <c r="C668" s="19" t="s">
        <v>22</v>
      </c>
      <c r="D668" s="37">
        <v>45899</v>
      </c>
      <c r="E668" s="31" t="s">
        <v>540</v>
      </c>
      <c r="F668" s="31" t="s">
        <v>541</v>
      </c>
      <c r="G668" s="31">
        <v>3268</v>
      </c>
      <c r="H668" s="31" t="s">
        <v>160</v>
      </c>
      <c r="J668" s="38">
        <v>0</v>
      </c>
    </row>
    <row r="669" spans="1:10" x14ac:dyDescent="0.35">
      <c r="A669" s="31">
        <v>334</v>
      </c>
      <c r="B669" s="19" t="s">
        <v>17</v>
      </c>
      <c r="C669" s="19"/>
      <c r="D669" s="37">
        <v>45899</v>
      </c>
      <c r="E669" s="31" t="s">
        <v>542</v>
      </c>
      <c r="F669" s="31" t="s">
        <v>50</v>
      </c>
      <c r="G669" s="31">
        <v>1938</v>
      </c>
      <c r="H669" s="31" t="s">
        <v>160</v>
      </c>
      <c r="I669" s="38">
        <v>0</v>
      </c>
    </row>
    <row r="670" spans="1:10" x14ac:dyDescent="0.35">
      <c r="A670" s="31">
        <v>334.5</v>
      </c>
      <c r="B670" s="19"/>
      <c r="C670" s="19" t="s">
        <v>22</v>
      </c>
      <c r="D670" s="37">
        <v>45899</v>
      </c>
      <c r="E670" s="31" t="s">
        <v>542</v>
      </c>
      <c r="F670" s="31" t="s">
        <v>50</v>
      </c>
      <c r="G670" s="31">
        <v>1938</v>
      </c>
      <c r="H670" s="31" t="s">
        <v>160</v>
      </c>
      <c r="J670" s="38">
        <v>0</v>
      </c>
    </row>
    <row r="671" spans="1:10" x14ac:dyDescent="0.35">
      <c r="A671" s="31">
        <v>335</v>
      </c>
      <c r="B671" s="19" t="s">
        <v>17</v>
      </c>
      <c r="C671" s="19"/>
      <c r="D671" s="37">
        <v>45899</v>
      </c>
      <c r="E671" s="31" t="s">
        <v>543</v>
      </c>
      <c r="F671" s="31" t="s">
        <v>50</v>
      </c>
      <c r="G671" s="31">
        <v>1938</v>
      </c>
      <c r="H671" s="31" t="s">
        <v>160</v>
      </c>
      <c r="I671" s="38">
        <v>0</v>
      </c>
    </row>
    <row r="672" spans="1:10" x14ac:dyDescent="0.35">
      <c r="A672" s="31">
        <v>335.5</v>
      </c>
      <c r="B672" s="19"/>
      <c r="C672" s="19" t="s">
        <v>22</v>
      </c>
      <c r="D672" s="37">
        <v>45899</v>
      </c>
      <c r="E672" s="31" t="s">
        <v>543</v>
      </c>
      <c r="F672" s="31" t="s">
        <v>50</v>
      </c>
      <c r="G672" s="31">
        <v>1938</v>
      </c>
      <c r="H672" s="31" t="s">
        <v>160</v>
      </c>
      <c r="J672" s="38">
        <v>0</v>
      </c>
    </row>
    <row r="673" spans="1:10" x14ac:dyDescent="0.35">
      <c r="A673" s="31">
        <v>336</v>
      </c>
      <c r="B673" s="19" t="s">
        <v>17</v>
      </c>
      <c r="C673" s="19"/>
      <c r="D673" s="37">
        <v>45899</v>
      </c>
      <c r="E673" s="31" t="s">
        <v>544</v>
      </c>
      <c r="F673" s="31" t="s">
        <v>50</v>
      </c>
      <c r="G673" s="31">
        <v>1938</v>
      </c>
      <c r="H673" s="31" t="s">
        <v>160</v>
      </c>
      <c r="I673" s="38">
        <v>0</v>
      </c>
    </row>
    <row r="674" spans="1:10" x14ac:dyDescent="0.35">
      <c r="A674" s="31">
        <v>336.5</v>
      </c>
      <c r="B674" s="19"/>
      <c r="C674" s="19" t="s">
        <v>22</v>
      </c>
      <c r="D674" s="37">
        <v>45899</v>
      </c>
      <c r="E674" s="31" t="s">
        <v>544</v>
      </c>
      <c r="F674" s="31" t="s">
        <v>50</v>
      </c>
      <c r="G674" s="31">
        <v>1938</v>
      </c>
      <c r="H674" s="31" t="s">
        <v>160</v>
      </c>
      <c r="J674" s="38">
        <v>0</v>
      </c>
    </row>
    <row r="675" spans="1:10" x14ac:dyDescent="0.35">
      <c r="A675" s="31">
        <v>337</v>
      </c>
      <c r="B675" s="19" t="s">
        <v>17</v>
      </c>
      <c r="C675" s="19"/>
      <c r="D675" s="37">
        <v>45899</v>
      </c>
      <c r="E675" s="31" t="s">
        <v>545</v>
      </c>
      <c r="F675" s="31" t="s">
        <v>50</v>
      </c>
      <c r="G675" s="31">
        <v>1938</v>
      </c>
      <c r="H675" s="31" t="s">
        <v>160</v>
      </c>
      <c r="I675" s="38">
        <v>0</v>
      </c>
    </row>
    <row r="676" spans="1:10" x14ac:dyDescent="0.35">
      <c r="A676" s="31">
        <v>337.5</v>
      </c>
      <c r="B676" s="19"/>
      <c r="C676" s="19" t="s">
        <v>22</v>
      </c>
      <c r="D676" s="37">
        <v>45899</v>
      </c>
      <c r="E676" s="31" t="s">
        <v>545</v>
      </c>
      <c r="F676" s="31" t="s">
        <v>50</v>
      </c>
      <c r="G676" s="31">
        <v>1938</v>
      </c>
      <c r="H676" s="31" t="s">
        <v>160</v>
      </c>
      <c r="J676" s="38">
        <v>0</v>
      </c>
    </row>
    <row r="677" spans="1:10" x14ac:dyDescent="0.35">
      <c r="A677" s="31">
        <v>338</v>
      </c>
      <c r="B677" s="19" t="s">
        <v>17</v>
      </c>
      <c r="C677" s="19"/>
      <c r="D677" s="37">
        <v>45899</v>
      </c>
      <c r="E677" s="31" t="s">
        <v>546</v>
      </c>
      <c r="F677" s="31" t="s">
        <v>547</v>
      </c>
      <c r="G677" s="31">
        <v>3546</v>
      </c>
      <c r="H677" s="31" t="s">
        <v>160</v>
      </c>
      <c r="I677" s="38">
        <v>0</v>
      </c>
    </row>
    <row r="678" spans="1:10" x14ac:dyDescent="0.35">
      <c r="A678" s="31">
        <v>338.5</v>
      </c>
      <c r="B678" s="19"/>
      <c r="C678" s="19" t="s">
        <v>22</v>
      </c>
      <c r="D678" s="37">
        <v>45899</v>
      </c>
      <c r="E678" s="31" t="s">
        <v>546</v>
      </c>
      <c r="F678" s="31" t="s">
        <v>547</v>
      </c>
      <c r="G678" s="31">
        <v>3546</v>
      </c>
      <c r="H678" s="31" t="s">
        <v>160</v>
      </c>
      <c r="J678" s="38">
        <v>0</v>
      </c>
    </row>
    <row r="679" spans="1:10" x14ac:dyDescent="0.35">
      <c r="A679" s="31">
        <v>339</v>
      </c>
      <c r="B679" s="19" t="s">
        <v>17</v>
      </c>
      <c r="C679" s="19"/>
      <c r="D679" s="37">
        <v>45899</v>
      </c>
      <c r="E679" s="31" t="s">
        <v>548</v>
      </c>
      <c r="F679" s="31" t="s">
        <v>549</v>
      </c>
      <c r="G679" s="31">
        <v>3547</v>
      </c>
      <c r="H679" s="31" t="s">
        <v>160</v>
      </c>
      <c r="I679" s="38">
        <v>5.48</v>
      </c>
    </row>
    <row r="680" spans="1:10" x14ac:dyDescent="0.35">
      <c r="A680" s="31">
        <v>339.5</v>
      </c>
      <c r="B680" s="19"/>
      <c r="C680" s="19" t="s">
        <v>22</v>
      </c>
      <c r="D680" s="37">
        <v>45899</v>
      </c>
      <c r="E680" s="31" t="s">
        <v>548</v>
      </c>
      <c r="F680" s="31" t="s">
        <v>549</v>
      </c>
      <c r="G680" s="31">
        <v>3547</v>
      </c>
      <c r="H680" s="31" t="s">
        <v>160</v>
      </c>
      <c r="J680" s="38">
        <v>5.48</v>
      </c>
    </row>
    <row r="681" spans="1:10" x14ac:dyDescent="0.35">
      <c r="A681" s="31">
        <v>340</v>
      </c>
      <c r="B681" s="19" t="s">
        <v>17</v>
      </c>
      <c r="C681" s="19"/>
      <c r="D681" s="37">
        <v>45899</v>
      </c>
      <c r="E681" s="31" t="s">
        <v>550</v>
      </c>
      <c r="F681" s="31" t="s">
        <v>80</v>
      </c>
      <c r="G681" s="31">
        <v>3351</v>
      </c>
      <c r="H681" s="31" t="s">
        <v>160</v>
      </c>
      <c r="I681" s="38">
        <v>0</v>
      </c>
    </row>
    <row r="682" spans="1:10" x14ac:dyDescent="0.35">
      <c r="A682" s="31">
        <v>340.5</v>
      </c>
      <c r="B682" s="19"/>
      <c r="C682" s="19" t="s">
        <v>22</v>
      </c>
      <c r="D682" s="37">
        <v>45899</v>
      </c>
      <c r="E682" s="31" t="s">
        <v>550</v>
      </c>
      <c r="F682" s="31" t="s">
        <v>80</v>
      </c>
      <c r="G682" s="31">
        <v>3351</v>
      </c>
      <c r="H682" s="31" t="s">
        <v>160</v>
      </c>
      <c r="J682" s="38">
        <v>0</v>
      </c>
    </row>
    <row r="683" spans="1:10" x14ac:dyDescent="0.35">
      <c r="A683" s="31">
        <v>341</v>
      </c>
      <c r="B683" s="19" t="s">
        <v>17</v>
      </c>
      <c r="C683" s="19"/>
      <c r="D683" s="37">
        <v>45899</v>
      </c>
      <c r="E683" s="31" t="s">
        <v>551</v>
      </c>
      <c r="F683" s="31" t="s">
        <v>80</v>
      </c>
      <c r="G683" s="31">
        <v>3351</v>
      </c>
      <c r="H683" s="31" t="s">
        <v>160</v>
      </c>
      <c r="I683" s="38">
        <v>0</v>
      </c>
    </row>
    <row r="684" spans="1:10" x14ac:dyDescent="0.35">
      <c r="A684" s="31">
        <v>341.5</v>
      </c>
      <c r="B684" s="19"/>
      <c r="C684" s="19" t="s">
        <v>22</v>
      </c>
      <c r="D684" s="37">
        <v>45899</v>
      </c>
      <c r="E684" s="31" t="s">
        <v>551</v>
      </c>
      <c r="F684" s="31" t="s">
        <v>80</v>
      </c>
      <c r="G684" s="31">
        <v>3351</v>
      </c>
      <c r="H684" s="31" t="s">
        <v>160</v>
      </c>
      <c r="J684" s="38">
        <v>0</v>
      </c>
    </row>
    <row r="685" spans="1:10" x14ac:dyDescent="0.35">
      <c r="A685" s="31">
        <v>342</v>
      </c>
      <c r="B685" s="19" t="s">
        <v>17</v>
      </c>
      <c r="C685" s="19"/>
      <c r="D685" s="37">
        <v>45899</v>
      </c>
      <c r="E685" s="31" t="s">
        <v>552</v>
      </c>
      <c r="F685" s="31" t="s">
        <v>171</v>
      </c>
      <c r="G685" s="31">
        <v>3354</v>
      </c>
      <c r="H685" s="31" t="s">
        <v>160</v>
      </c>
      <c r="I685" s="38">
        <v>0</v>
      </c>
    </row>
    <row r="686" spans="1:10" x14ac:dyDescent="0.35">
      <c r="A686" s="31">
        <v>342.5</v>
      </c>
      <c r="B686" s="19"/>
      <c r="C686" s="19" t="s">
        <v>22</v>
      </c>
      <c r="D686" s="37">
        <v>45899</v>
      </c>
      <c r="E686" s="31" t="s">
        <v>552</v>
      </c>
      <c r="F686" s="31" t="s">
        <v>171</v>
      </c>
      <c r="G686" s="31">
        <v>3354</v>
      </c>
      <c r="H686" s="31" t="s">
        <v>160</v>
      </c>
      <c r="J686" s="38">
        <v>0</v>
      </c>
    </row>
    <row r="687" spans="1:10" x14ac:dyDescent="0.35">
      <c r="A687" s="31">
        <v>343</v>
      </c>
      <c r="B687" s="19" t="s">
        <v>17</v>
      </c>
      <c r="C687" s="19"/>
      <c r="D687" s="37">
        <v>45899</v>
      </c>
      <c r="E687" s="31" t="s">
        <v>553</v>
      </c>
      <c r="F687" s="31" t="s">
        <v>171</v>
      </c>
      <c r="G687" s="31">
        <v>3354</v>
      </c>
      <c r="H687" s="31" t="s">
        <v>160</v>
      </c>
      <c r="I687" s="38">
        <v>0</v>
      </c>
    </row>
    <row r="688" spans="1:10" x14ac:dyDescent="0.35">
      <c r="A688" s="31">
        <v>343.5</v>
      </c>
      <c r="B688" s="19"/>
      <c r="C688" s="19" t="s">
        <v>22</v>
      </c>
      <c r="D688" s="37">
        <v>45899</v>
      </c>
      <c r="E688" s="31" t="s">
        <v>553</v>
      </c>
      <c r="F688" s="31" t="s">
        <v>171</v>
      </c>
      <c r="G688" s="31">
        <v>3354</v>
      </c>
      <c r="H688" s="31" t="s">
        <v>160</v>
      </c>
      <c r="J688" s="38">
        <v>0</v>
      </c>
    </row>
    <row r="689" spans="1:10" x14ac:dyDescent="0.35">
      <c r="A689" s="31">
        <v>344</v>
      </c>
      <c r="B689" s="19" t="s">
        <v>17</v>
      </c>
      <c r="C689" s="19"/>
      <c r="D689" s="37">
        <v>45899</v>
      </c>
      <c r="E689" s="31" t="s">
        <v>554</v>
      </c>
      <c r="F689" s="31" t="s">
        <v>171</v>
      </c>
      <c r="G689" s="31">
        <v>3354</v>
      </c>
      <c r="H689" s="31" t="s">
        <v>160</v>
      </c>
      <c r="I689" s="38">
        <v>0</v>
      </c>
    </row>
    <row r="690" spans="1:10" x14ac:dyDescent="0.35">
      <c r="A690" s="31">
        <v>344.5</v>
      </c>
      <c r="B690" s="19"/>
      <c r="C690" s="19" t="s">
        <v>22</v>
      </c>
      <c r="D690" s="37">
        <v>45899</v>
      </c>
      <c r="E690" s="31" t="s">
        <v>554</v>
      </c>
      <c r="F690" s="31" t="s">
        <v>171</v>
      </c>
      <c r="G690" s="31">
        <v>3354</v>
      </c>
      <c r="H690" s="31" t="s">
        <v>160</v>
      </c>
      <c r="J690" s="38">
        <v>0</v>
      </c>
    </row>
    <row r="691" spans="1:10" x14ac:dyDescent="0.35">
      <c r="A691" s="31">
        <v>345</v>
      </c>
      <c r="B691" s="19" t="s">
        <v>17</v>
      </c>
      <c r="C691" s="19"/>
      <c r="D691" s="37">
        <v>45899</v>
      </c>
      <c r="E691" s="31" t="s">
        <v>555</v>
      </c>
      <c r="F691" s="31" t="s">
        <v>171</v>
      </c>
      <c r="G691" s="31">
        <v>3354</v>
      </c>
      <c r="H691" s="31" t="s">
        <v>160</v>
      </c>
      <c r="I691" s="38">
        <v>0</v>
      </c>
    </row>
    <row r="692" spans="1:10" x14ac:dyDescent="0.35">
      <c r="A692" s="31">
        <v>345.5</v>
      </c>
      <c r="B692" s="19"/>
      <c r="C692" s="19" t="s">
        <v>22</v>
      </c>
      <c r="D692" s="37">
        <v>45899</v>
      </c>
      <c r="E692" s="31" t="s">
        <v>555</v>
      </c>
      <c r="F692" s="31" t="s">
        <v>171</v>
      </c>
      <c r="G692" s="31">
        <v>3354</v>
      </c>
      <c r="H692" s="31" t="s">
        <v>160</v>
      </c>
      <c r="J692" s="38">
        <v>0</v>
      </c>
    </row>
    <row r="693" spans="1:10" x14ac:dyDescent="0.35">
      <c r="A693" s="31">
        <v>346</v>
      </c>
      <c r="B693" s="19" t="s">
        <v>17</v>
      </c>
      <c r="C693" s="19"/>
      <c r="D693" s="37">
        <v>45899</v>
      </c>
      <c r="E693" s="31" t="s">
        <v>556</v>
      </c>
      <c r="F693" s="31" t="s">
        <v>171</v>
      </c>
      <c r="G693" s="31">
        <v>3354</v>
      </c>
      <c r="H693" s="31" t="s">
        <v>160</v>
      </c>
      <c r="I693" s="38">
        <v>0</v>
      </c>
    </row>
    <row r="694" spans="1:10" x14ac:dyDescent="0.35">
      <c r="A694" s="31">
        <v>346.5</v>
      </c>
      <c r="B694" s="19"/>
      <c r="C694" s="19" t="s">
        <v>22</v>
      </c>
      <c r="D694" s="37">
        <v>45899</v>
      </c>
      <c r="E694" s="31" t="s">
        <v>556</v>
      </c>
      <c r="F694" s="31" t="s">
        <v>171</v>
      </c>
      <c r="G694" s="31">
        <v>3354</v>
      </c>
      <c r="H694" s="31" t="s">
        <v>160</v>
      </c>
      <c r="J694" s="38">
        <v>0</v>
      </c>
    </row>
    <row r="695" spans="1:10" x14ac:dyDescent="0.35">
      <c r="A695" s="31">
        <v>347</v>
      </c>
      <c r="B695" s="19" t="s">
        <v>17</v>
      </c>
      <c r="C695" s="19"/>
      <c r="D695" s="37">
        <v>45899</v>
      </c>
      <c r="E695" s="31" t="s">
        <v>557</v>
      </c>
      <c r="F695" s="31" t="s">
        <v>171</v>
      </c>
      <c r="G695" s="31">
        <v>3354</v>
      </c>
      <c r="H695" s="31" t="s">
        <v>160</v>
      </c>
      <c r="I695" s="38">
        <v>0</v>
      </c>
    </row>
    <row r="696" spans="1:10" x14ac:dyDescent="0.35">
      <c r="A696" s="31">
        <v>347.5</v>
      </c>
      <c r="B696" s="19"/>
      <c r="C696" s="19" t="s">
        <v>22</v>
      </c>
      <c r="D696" s="37">
        <v>45899</v>
      </c>
      <c r="E696" s="31" t="s">
        <v>557</v>
      </c>
      <c r="F696" s="31" t="s">
        <v>171</v>
      </c>
      <c r="G696" s="31">
        <v>3354</v>
      </c>
      <c r="H696" s="31" t="s">
        <v>160</v>
      </c>
      <c r="J696" s="38">
        <v>0</v>
      </c>
    </row>
    <row r="697" spans="1:10" x14ac:dyDescent="0.35">
      <c r="A697" s="31">
        <v>348</v>
      </c>
      <c r="B697" s="19" t="s">
        <v>17</v>
      </c>
      <c r="C697" s="19"/>
      <c r="D697" s="37">
        <v>45899</v>
      </c>
      <c r="E697" s="31" t="s">
        <v>558</v>
      </c>
      <c r="F697" s="31" t="s">
        <v>559</v>
      </c>
      <c r="G697" s="31">
        <v>3360</v>
      </c>
      <c r="H697" s="31" t="s">
        <v>160</v>
      </c>
      <c r="I697" s="38">
        <v>0</v>
      </c>
    </row>
    <row r="698" spans="1:10" x14ac:dyDescent="0.35">
      <c r="A698" s="31">
        <v>348.5</v>
      </c>
      <c r="B698" s="19"/>
      <c r="C698" s="19" t="s">
        <v>22</v>
      </c>
      <c r="D698" s="37">
        <v>45899</v>
      </c>
      <c r="E698" s="31" t="s">
        <v>558</v>
      </c>
      <c r="F698" s="31" t="s">
        <v>559</v>
      </c>
      <c r="G698" s="31">
        <v>3360</v>
      </c>
      <c r="H698" s="31" t="s">
        <v>160</v>
      </c>
      <c r="J698" s="38">
        <v>0</v>
      </c>
    </row>
    <row r="699" spans="1:10" x14ac:dyDescent="0.35">
      <c r="A699" s="31">
        <v>349</v>
      </c>
      <c r="B699" s="19" t="s">
        <v>17</v>
      </c>
      <c r="C699" s="19"/>
      <c r="D699" s="37">
        <v>45899</v>
      </c>
      <c r="E699" s="31" t="s">
        <v>560</v>
      </c>
      <c r="F699" s="31" t="s">
        <v>559</v>
      </c>
      <c r="G699" s="31">
        <v>3360</v>
      </c>
      <c r="H699" s="31" t="s">
        <v>160</v>
      </c>
      <c r="I699" s="38">
        <v>0</v>
      </c>
    </row>
    <row r="700" spans="1:10" x14ac:dyDescent="0.35">
      <c r="A700" s="31">
        <v>349.5</v>
      </c>
      <c r="B700" s="19"/>
      <c r="C700" s="19" t="s">
        <v>22</v>
      </c>
      <c r="D700" s="37">
        <v>45899</v>
      </c>
      <c r="E700" s="31" t="s">
        <v>560</v>
      </c>
      <c r="F700" s="31" t="s">
        <v>559</v>
      </c>
      <c r="G700" s="31">
        <v>3360</v>
      </c>
      <c r="H700" s="31" t="s">
        <v>160</v>
      </c>
      <c r="J700" s="38">
        <v>0</v>
      </c>
    </row>
    <row r="701" spans="1:10" x14ac:dyDescent="0.35">
      <c r="A701" s="31">
        <v>350</v>
      </c>
      <c r="B701" s="19" t="s">
        <v>17</v>
      </c>
      <c r="C701" s="19"/>
      <c r="D701" s="37">
        <v>45899</v>
      </c>
      <c r="E701" s="31" t="s">
        <v>561</v>
      </c>
      <c r="F701" s="31" t="s">
        <v>559</v>
      </c>
      <c r="G701" s="31">
        <v>3360</v>
      </c>
      <c r="H701" s="31" t="s">
        <v>160</v>
      </c>
      <c r="I701" s="38">
        <v>0</v>
      </c>
    </row>
    <row r="702" spans="1:10" x14ac:dyDescent="0.35">
      <c r="A702" s="31">
        <v>350.5</v>
      </c>
      <c r="B702" s="19"/>
      <c r="C702" s="19" t="s">
        <v>22</v>
      </c>
      <c r="D702" s="37">
        <v>45899</v>
      </c>
      <c r="E702" s="31" t="s">
        <v>561</v>
      </c>
      <c r="F702" s="31" t="s">
        <v>559</v>
      </c>
      <c r="G702" s="31">
        <v>3360</v>
      </c>
      <c r="H702" s="31" t="s">
        <v>160</v>
      </c>
      <c r="J702" s="38">
        <v>0</v>
      </c>
    </row>
    <row r="703" spans="1:10" x14ac:dyDescent="0.35">
      <c r="A703" s="31">
        <v>351</v>
      </c>
      <c r="B703" s="19" t="s">
        <v>17</v>
      </c>
      <c r="C703" s="19"/>
      <c r="D703" s="37">
        <v>45899</v>
      </c>
      <c r="E703" s="31" t="s">
        <v>562</v>
      </c>
      <c r="F703" s="31" t="s">
        <v>559</v>
      </c>
      <c r="G703" s="31">
        <v>3360</v>
      </c>
      <c r="H703" s="31" t="s">
        <v>160</v>
      </c>
      <c r="I703" s="38">
        <v>0</v>
      </c>
    </row>
    <row r="704" spans="1:10" x14ac:dyDescent="0.35">
      <c r="A704" s="31">
        <v>351.5</v>
      </c>
      <c r="B704" s="19"/>
      <c r="C704" s="19" t="s">
        <v>22</v>
      </c>
      <c r="D704" s="37">
        <v>45899</v>
      </c>
      <c r="E704" s="31" t="s">
        <v>562</v>
      </c>
      <c r="F704" s="31" t="s">
        <v>559</v>
      </c>
      <c r="G704" s="31">
        <v>3360</v>
      </c>
      <c r="H704" s="31" t="s">
        <v>160</v>
      </c>
      <c r="J704" s="38">
        <v>0</v>
      </c>
    </row>
    <row r="705" spans="1:10" x14ac:dyDescent="0.35">
      <c r="A705" s="31">
        <v>352</v>
      </c>
      <c r="B705" s="19" t="s">
        <v>17</v>
      </c>
      <c r="C705" s="19"/>
      <c r="D705" s="37">
        <v>45899</v>
      </c>
      <c r="E705" s="31" t="s">
        <v>563</v>
      </c>
      <c r="F705" s="31" t="s">
        <v>559</v>
      </c>
      <c r="G705" s="31">
        <v>3360</v>
      </c>
      <c r="H705" s="31" t="s">
        <v>160</v>
      </c>
      <c r="I705" s="38">
        <v>0</v>
      </c>
    </row>
    <row r="706" spans="1:10" x14ac:dyDescent="0.35">
      <c r="A706" s="31">
        <v>352.5</v>
      </c>
      <c r="B706" s="19"/>
      <c r="C706" s="19" t="s">
        <v>22</v>
      </c>
      <c r="D706" s="37">
        <v>45899</v>
      </c>
      <c r="E706" s="31" t="s">
        <v>563</v>
      </c>
      <c r="F706" s="31" t="s">
        <v>559</v>
      </c>
      <c r="G706" s="31">
        <v>3360</v>
      </c>
      <c r="H706" s="31" t="s">
        <v>160</v>
      </c>
      <c r="J706" s="38">
        <v>0</v>
      </c>
    </row>
    <row r="707" spans="1:10" x14ac:dyDescent="0.35">
      <c r="A707" s="31">
        <v>353</v>
      </c>
      <c r="B707" s="19" t="s">
        <v>17</v>
      </c>
      <c r="C707" s="19"/>
      <c r="D707" s="37">
        <v>45899</v>
      </c>
      <c r="E707" s="31" t="s">
        <v>564</v>
      </c>
      <c r="F707" s="31" t="s">
        <v>559</v>
      </c>
      <c r="G707" s="31">
        <v>3360</v>
      </c>
      <c r="H707" s="31" t="s">
        <v>160</v>
      </c>
      <c r="I707" s="38">
        <v>0</v>
      </c>
    </row>
    <row r="708" spans="1:10" x14ac:dyDescent="0.35">
      <c r="A708" s="31">
        <v>353.5</v>
      </c>
      <c r="B708" s="19"/>
      <c r="C708" s="19" t="s">
        <v>22</v>
      </c>
      <c r="D708" s="37">
        <v>45899</v>
      </c>
      <c r="E708" s="31" t="s">
        <v>564</v>
      </c>
      <c r="F708" s="31" t="s">
        <v>559</v>
      </c>
      <c r="G708" s="31">
        <v>3360</v>
      </c>
      <c r="H708" s="31" t="s">
        <v>160</v>
      </c>
      <c r="J708" s="38">
        <v>0</v>
      </c>
    </row>
    <row r="709" spans="1:10" x14ac:dyDescent="0.35">
      <c r="A709" s="31">
        <v>354</v>
      </c>
      <c r="B709" s="19" t="s">
        <v>17</v>
      </c>
      <c r="C709" s="19"/>
      <c r="D709" s="37">
        <v>45899</v>
      </c>
      <c r="E709" s="31" t="s">
        <v>565</v>
      </c>
      <c r="F709" s="31" t="s">
        <v>566</v>
      </c>
      <c r="G709" s="31">
        <v>3337</v>
      </c>
      <c r="H709" s="31" t="s">
        <v>160</v>
      </c>
      <c r="I709" s="38">
        <v>0</v>
      </c>
    </row>
    <row r="710" spans="1:10" x14ac:dyDescent="0.35">
      <c r="A710" s="31">
        <v>354.5</v>
      </c>
      <c r="B710" s="19"/>
      <c r="C710" s="19" t="s">
        <v>22</v>
      </c>
      <c r="D710" s="37">
        <v>45899</v>
      </c>
      <c r="E710" s="31" t="s">
        <v>565</v>
      </c>
      <c r="F710" s="31" t="s">
        <v>566</v>
      </c>
      <c r="G710" s="31">
        <v>3337</v>
      </c>
      <c r="H710" s="31" t="s">
        <v>160</v>
      </c>
      <c r="J710" s="38">
        <v>0</v>
      </c>
    </row>
    <row r="711" spans="1:10" x14ac:dyDescent="0.35">
      <c r="A711" s="31">
        <v>355</v>
      </c>
      <c r="B711" s="19" t="s">
        <v>17</v>
      </c>
      <c r="C711" s="19"/>
      <c r="D711" s="37">
        <v>45899</v>
      </c>
      <c r="E711" s="31" t="s">
        <v>567</v>
      </c>
      <c r="F711" s="31" t="s">
        <v>566</v>
      </c>
      <c r="G711" s="31">
        <v>3337</v>
      </c>
      <c r="H711" s="31" t="s">
        <v>160</v>
      </c>
      <c r="I711" s="38">
        <v>0</v>
      </c>
    </row>
    <row r="712" spans="1:10" x14ac:dyDescent="0.35">
      <c r="A712" s="31">
        <v>355.5</v>
      </c>
      <c r="B712" s="19"/>
      <c r="C712" s="19" t="s">
        <v>22</v>
      </c>
      <c r="D712" s="37">
        <v>45899</v>
      </c>
      <c r="E712" s="31" t="s">
        <v>567</v>
      </c>
      <c r="F712" s="31" t="s">
        <v>566</v>
      </c>
      <c r="G712" s="31">
        <v>3337</v>
      </c>
      <c r="H712" s="31" t="s">
        <v>160</v>
      </c>
      <c r="J712" s="38">
        <v>0</v>
      </c>
    </row>
    <row r="713" spans="1:10" x14ac:dyDescent="0.35">
      <c r="A713" s="31">
        <v>356</v>
      </c>
      <c r="B713" s="19" t="s">
        <v>17</v>
      </c>
      <c r="C713" s="19"/>
      <c r="D713" s="37">
        <v>45899</v>
      </c>
      <c r="E713" s="31" t="s">
        <v>568</v>
      </c>
      <c r="F713" s="31" t="s">
        <v>566</v>
      </c>
      <c r="G713" s="31">
        <v>3337</v>
      </c>
      <c r="H713" s="31" t="s">
        <v>160</v>
      </c>
      <c r="I713" s="38">
        <v>0</v>
      </c>
    </row>
    <row r="714" spans="1:10" x14ac:dyDescent="0.35">
      <c r="A714" s="31">
        <v>356.5</v>
      </c>
      <c r="B714" s="19"/>
      <c r="C714" s="19" t="s">
        <v>22</v>
      </c>
      <c r="D714" s="37">
        <v>45899</v>
      </c>
      <c r="E714" s="31" t="s">
        <v>568</v>
      </c>
      <c r="F714" s="31" t="s">
        <v>566</v>
      </c>
      <c r="G714" s="31">
        <v>3337</v>
      </c>
      <c r="H714" s="31" t="s">
        <v>160</v>
      </c>
      <c r="J714" s="38">
        <v>0</v>
      </c>
    </row>
    <row r="715" spans="1:10" x14ac:dyDescent="0.35">
      <c r="A715" s="31">
        <v>357</v>
      </c>
      <c r="B715" s="19" t="s">
        <v>17</v>
      </c>
      <c r="C715" s="19"/>
      <c r="D715" s="37">
        <v>45899</v>
      </c>
      <c r="E715" s="31" t="s">
        <v>569</v>
      </c>
      <c r="F715" s="31" t="s">
        <v>570</v>
      </c>
      <c r="G715" s="31">
        <v>502</v>
      </c>
      <c r="H715" s="31" t="s">
        <v>160</v>
      </c>
      <c r="I715" s="38">
        <v>0</v>
      </c>
    </row>
    <row r="716" spans="1:10" x14ac:dyDescent="0.35">
      <c r="A716" s="31">
        <v>357.5</v>
      </c>
      <c r="B716" s="19"/>
      <c r="C716" s="19" t="s">
        <v>22</v>
      </c>
      <c r="D716" s="37">
        <v>45899</v>
      </c>
      <c r="E716" s="31" t="s">
        <v>569</v>
      </c>
      <c r="F716" s="31" t="s">
        <v>570</v>
      </c>
      <c r="G716" s="31">
        <v>502</v>
      </c>
      <c r="H716" s="31" t="s">
        <v>160</v>
      </c>
      <c r="J716" s="38">
        <v>0</v>
      </c>
    </row>
    <row r="717" spans="1:10" x14ac:dyDescent="0.35">
      <c r="A717" s="31">
        <v>358</v>
      </c>
      <c r="B717" s="19" t="s">
        <v>17</v>
      </c>
      <c r="C717" s="19"/>
      <c r="D717" s="37">
        <v>45899</v>
      </c>
      <c r="E717" s="31" t="s">
        <v>571</v>
      </c>
      <c r="F717" s="31" t="s">
        <v>570</v>
      </c>
      <c r="G717" s="31">
        <v>502</v>
      </c>
      <c r="H717" s="31" t="s">
        <v>160</v>
      </c>
      <c r="I717" s="38">
        <v>0</v>
      </c>
    </row>
    <row r="718" spans="1:10" x14ac:dyDescent="0.35">
      <c r="A718" s="31">
        <v>358.5</v>
      </c>
      <c r="B718" s="19"/>
      <c r="C718" s="19" t="s">
        <v>22</v>
      </c>
      <c r="D718" s="37">
        <v>45899</v>
      </c>
      <c r="E718" s="31" t="s">
        <v>571</v>
      </c>
      <c r="F718" s="31" t="s">
        <v>570</v>
      </c>
      <c r="G718" s="31">
        <v>502</v>
      </c>
      <c r="H718" s="31" t="s">
        <v>160</v>
      </c>
      <c r="J718" s="38">
        <v>0</v>
      </c>
    </row>
    <row r="719" spans="1:10" x14ac:dyDescent="0.35">
      <c r="A719" s="31">
        <v>359</v>
      </c>
      <c r="B719" s="19" t="s">
        <v>17</v>
      </c>
      <c r="C719" s="19"/>
      <c r="D719" s="37">
        <v>45899</v>
      </c>
      <c r="E719" s="31" t="s">
        <v>572</v>
      </c>
      <c r="F719" s="31" t="s">
        <v>221</v>
      </c>
      <c r="G719" s="31">
        <v>3519</v>
      </c>
      <c r="H719" s="31" t="s">
        <v>160</v>
      </c>
      <c r="I719" s="38">
        <v>0</v>
      </c>
    </row>
    <row r="720" spans="1:10" x14ac:dyDescent="0.35">
      <c r="A720" s="31">
        <v>359.5</v>
      </c>
      <c r="B720" s="19"/>
      <c r="C720" s="19" t="s">
        <v>22</v>
      </c>
      <c r="D720" s="37">
        <v>45899</v>
      </c>
      <c r="E720" s="31" t="s">
        <v>572</v>
      </c>
      <c r="F720" s="31" t="s">
        <v>221</v>
      </c>
      <c r="G720" s="31">
        <v>3519</v>
      </c>
      <c r="H720" s="31" t="s">
        <v>160</v>
      </c>
      <c r="J720" s="38">
        <v>0</v>
      </c>
    </row>
    <row r="721" spans="1:10" x14ac:dyDescent="0.35">
      <c r="A721" s="31">
        <v>360</v>
      </c>
      <c r="B721" s="19" t="s">
        <v>17</v>
      </c>
      <c r="C721" s="19"/>
      <c r="D721" s="37">
        <v>45899</v>
      </c>
      <c r="E721" s="31" t="s">
        <v>573</v>
      </c>
      <c r="F721" s="31" t="s">
        <v>574</v>
      </c>
      <c r="G721" s="31">
        <v>549</v>
      </c>
      <c r="H721" s="31" t="s">
        <v>160</v>
      </c>
      <c r="I721" s="38">
        <v>0</v>
      </c>
    </row>
    <row r="722" spans="1:10" x14ac:dyDescent="0.35">
      <c r="A722" s="31">
        <v>360.5</v>
      </c>
      <c r="B722" s="19"/>
      <c r="C722" s="19" t="s">
        <v>22</v>
      </c>
      <c r="D722" s="37">
        <v>45899</v>
      </c>
      <c r="E722" s="31" t="s">
        <v>573</v>
      </c>
      <c r="F722" s="31" t="s">
        <v>574</v>
      </c>
      <c r="G722" s="31">
        <v>549</v>
      </c>
      <c r="H722" s="31" t="s">
        <v>160</v>
      </c>
      <c r="J722" s="38">
        <v>0</v>
      </c>
    </row>
    <row r="723" spans="1:10" x14ac:dyDescent="0.35">
      <c r="A723" s="31">
        <v>361</v>
      </c>
      <c r="B723" s="19" t="s">
        <v>17</v>
      </c>
      <c r="C723" s="19"/>
      <c r="D723" s="37">
        <v>45899</v>
      </c>
      <c r="E723" s="31" t="s">
        <v>575</v>
      </c>
      <c r="F723" s="31" t="s">
        <v>574</v>
      </c>
      <c r="G723" s="31">
        <v>549</v>
      </c>
      <c r="H723" s="31" t="s">
        <v>160</v>
      </c>
      <c r="I723" s="38">
        <v>0</v>
      </c>
    </row>
    <row r="724" spans="1:10" x14ac:dyDescent="0.35">
      <c r="A724" s="31">
        <v>361.5</v>
      </c>
      <c r="B724" s="19"/>
      <c r="C724" s="19" t="s">
        <v>22</v>
      </c>
      <c r="D724" s="37">
        <v>45899</v>
      </c>
      <c r="E724" s="31" t="s">
        <v>575</v>
      </c>
      <c r="F724" s="31" t="s">
        <v>574</v>
      </c>
      <c r="G724" s="31">
        <v>549</v>
      </c>
      <c r="H724" s="31" t="s">
        <v>160</v>
      </c>
      <c r="J724" s="38">
        <v>0</v>
      </c>
    </row>
    <row r="725" spans="1:10" x14ac:dyDescent="0.35">
      <c r="A725" s="31">
        <v>362</v>
      </c>
      <c r="B725" s="19" t="s">
        <v>17</v>
      </c>
      <c r="C725" s="19"/>
      <c r="D725" s="37">
        <v>45899</v>
      </c>
      <c r="E725" s="31" t="s">
        <v>576</v>
      </c>
      <c r="F725" s="31" t="s">
        <v>574</v>
      </c>
      <c r="G725" s="31">
        <v>549</v>
      </c>
      <c r="H725" s="31" t="s">
        <v>160</v>
      </c>
      <c r="I725" s="38">
        <v>0</v>
      </c>
    </row>
    <row r="726" spans="1:10" x14ac:dyDescent="0.35">
      <c r="A726" s="31">
        <v>362.5</v>
      </c>
      <c r="B726" s="19"/>
      <c r="C726" s="19" t="s">
        <v>22</v>
      </c>
      <c r="D726" s="37">
        <v>45899</v>
      </c>
      <c r="E726" s="31" t="s">
        <v>576</v>
      </c>
      <c r="F726" s="31" t="s">
        <v>574</v>
      </c>
      <c r="G726" s="31">
        <v>549</v>
      </c>
      <c r="H726" s="31" t="s">
        <v>160</v>
      </c>
      <c r="J726" s="38">
        <v>0</v>
      </c>
    </row>
    <row r="727" spans="1:10" x14ac:dyDescent="0.35">
      <c r="A727" s="31">
        <v>363</v>
      </c>
      <c r="B727" s="19" t="s">
        <v>17</v>
      </c>
      <c r="C727" s="19"/>
      <c r="D727" s="37">
        <v>45899</v>
      </c>
      <c r="E727" s="31" t="s">
        <v>577</v>
      </c>
      <c r="F727" s="31" t="s">
        <v>48</v>
      </c>
      <c r="G727" s="31">
        <v>2752</v>
      </c>
      <c r="H727" s="31" t="s">
        <v>160</v>
      </c>
      <c r="I727" s="38">
        <v>0</v>
      </c>
    </row>
    <row r="728" spans="1:10" x14ac:dyDescent="0.35">
      <c r="A728" s="31">
        <v>363.5</v>
      </c>
      <c r="B728" s="19"/>
      <c r="C728" s="19" t="s">
        <v>22</v>
      </c>
      <c r="D728" s="37">
        <v>45899</v>
      </c>
      <c r="E728" s="31" t="s">
        <v>577</v>
      </c>
      <c r="F728" s="31" t="s">
        <v>48</v>
      </c>
      <c r="G728" s="31">
        <v>2752</v>
      </c>
      <c r="H728" s="31" t="s">
        <v>160</v>
      </c>
      <c r="J728" s="38">
        <v>0</v>
      </c>
    </row>
    <row r="729" spans="1:10" x14ac:dyDescent="0.35">
      <c r="A729" s="31">
        <v>364</v>
      </c>
      <c r="B729" s="19" t="s">
        <v>17</v>
      </c>
      <c r="C729" s="19"/>
      <c r="D729" s="37">
        <v>45899</v>
      </c>
      <c r="E729" s="31" t="s">
        <v>578</v>
      </c>
      <c r="F729" s="31" t="s">
        <v>48</v>
      </c>
      <c r="G729" s="31">
        <v>2752</v>
      </c>
      <c r="H729" s="31" t="s">
        <v>160</v>
      </c>
      <c r="I729" s="38">
        <v>0</v>
      </c>
    </row>
    <row r="730" spans="1:10" x14ac:dyDescent="0.35">
      <c r="A730" s="31">
        <v>364.5</v>
      </c>
      <c r="B730" s="19"/>
      <c r="C730" s="19" t="s">
        <v>22</v>
      </c>
      <c r="D730" s="37">
        <v>45899</v>
      </c>
      <c r="E730" s="31" t="s">
        <v>578</v>
      </c>
      <c r="F730" s="31" t="s">
        <v>48</v>
      </c>
      <c r="G730" s="31">
        <v>2752</v>
      </c>
      <c r="H730" s="31" t="s">
        <v>160</v>
      </c>
      <c r="J730" s="38">
        <v>0</v>
      </c>
    </row>
    <row r="731" spans="1:10" x14ac:dyDescent="0.35">
      <c r="A731" s="31">
        <v>365</v>
      </c>
      <c r="B731" s="19" t="s">
        <v>17</v>
      </c>
      <c r="C731" s="19"/>
      <c r="D731" s="37">
        <v>45899</v>
      </c>
      <c r="E731" s="31" t="s">
        <v>579</v>
      </c>
      <c r="F731" s="31" t="s">
        <v>559</v>
      </c>
      <c r="G731" s="31">
        <v>3360</v>
      </c>
      <c r="H731" s="31" t="s">
        <v>160</v>
      </c>
      <c r="I731" s="38">
        <v>0</v>
      </c>
    </row>
    <row r="732" spans="1:10" x14ac:dyDescent="0.35">
      <c r="A732" s="31">
        <v>365.5</v>
      </c>
      <c r="B732" s="19"/>
      <c r="C732" s="19" t="s">
        <v>22</v>
      </c>
      <c r="D732" s="37">
        <v>45899</v>
      </c>
      <c r="E732" s="31" t="s">
        <v>579</v>
      </c>
      <c r="F732" s="31" t="s">
        <v>559</v>
      </c>
      <c r="G732" s="31">
        <v>3360</v>
      </c>
      <c r="H732" s="31" t="s">
        <v>160</v>
      </c>
      <c r="J732" s="38">
        <v>0</v>
      </c>
    </row>
    <row r="733" spans="1:10" x14ac:dyDescent="0.35">
      <c r="A733" s="31">
        <v>366</v>
      </c>
      <c r="B733" s="19" t="s">
        <v>17</v>
      </c>
      <c r="C733" s="19"/>
      <c r="D733" s="37">
        <v>45899</v>
      </c>
      <c r="E733" s="31" t="s">
        <v>580</v>
      </c>
      <c r="F733" s="31" t="s">
        <v>581</v>
      </c>
      <c r="G733" s="31">
        <v>2884</v>
      </c>
      <c r="H733" s="31" t="s">
        <v>160</v>
      </c>
      <c r="I733" s="38">
        <v>0</v>
      </c>
    </row>
    <row r="734" spans="1:10" x14ac:dyDescent="0.35">
      <c r="A734" s="31">
        <v>366.5</v>
      </c>
      <c r="B734" s="19"/>
      <c r="C734" s="19" t="s">
        <v>22</v>
      </c>
      <c r="D734" s="37">
        <v>45899</v>
      </c>
      <c r="E734" s="31" t="s">
        <v>580</v>
      </c>
      <c r="F734" s="31" t="s">
        <v>581</v>
      </c>
      <c r="G734" s="31">
        <v>2884</v>
      </c>
      <c r="H734" s="31" t="s">
        <v>160</v>
      </c>
      <c r="J734" s="38">
        <v>0</v>
      </c>
    </row>
    <row r="735" spans="1:10" x14ac:dyDescent="0.35">
      <c r="A735" s="31">
        <v>367</v>
      </c>
      <c r="B735" s="19" t="s">
        <v>17</v>
      </c>
      <c r="C735" s="19"/>
      <c r="D735" s="37">
        <v>45899</v>
      </c>
      <c r="E735" s="31" t="s">
        <v>582</v>
      </c>
      <c r="F735" s="31" t="s">
        <v>581</v>
      </c>
      <c r="G735" s="31">
        <v>2884</v>
      </c>
      <c r="H735" s="31" t="s">
        <v>160</v>
      </c>
      <c r="I735" s="38">
        <v>0</v>
      </c>
    </row>
    <row r="736" spans="1:10" x14ac:dyDescent="0.35">
      <c r="A736" s="31">
        <v>367.5</v>
      </c>
      <c r="B736" s="19"/>
      <c r="C736" s="19" t="s">
        <v>22</v>
      </c>
      <c r="D736" s="37">
        <v>45899</v>
      </c>
      <c r="E736" s="31" t="s">
        <v>582</v>
      </c>
      <c r="F736" s="31" t="s">
        <v>581</v>
      </c>
      <c r="G736" s="31">
        <v>2884</v>
      </c>
      <c r="H736" s="31" t="s">
        <v>160</v>
      </c>
      <c r="J736" s="38">
        <v>0</v>
      </c>
    </row>
    <row r="737" spans="1:10" x14ac:dyDescent="0.35">
      <c r="A737" s="31">
        <v>368</v>
      </c>
      <c r="B737" s="19" t="s">
        <v>17</v>
      </c>
      <c r="C737" s="19"/>
      <c r="D737" s="37">
        <v>45899</v>
      </c>
      <c r="E737" s="31" t="s">
        <v>583</v>
      </c>
      <c r="F737" s="31" t="s">
        <v>581</v>
      </c>
      <c r="G737" s="31">
        <v>2884</v>
      </c>
      <c r="H737" s="31" t="s">
        <v>160</v>
      </c>
      <c r="I737" s="38">
        <v>0</v>
      </c>
    </row>
    <row r="738" spans="1:10" x14ac:dyDescent="0.35">
      <c r="A738" s="31">
        <v>368.5</v>
      </c>
      <c r="B738" s="19"/>
      <c r="C738" s="19" t="s">
        <v>22</v>
      </c>
      <c r="D738" s="37">
        <v>45899</v>
      </c>
      <c r="E738" s="31" t="s">
        <v>583</v>
      </c>
      <c r="F738" s="31" t="s">
        <v>581</v>
      </c>
      <c r="G738" s="31">
        <v>2884</v>
      </c>
      <c r="H738" s="31" t="s">
        <v>160</v>
      </c>
      <c r="J738" s="38">
        <v>0</v>
      </c>
    </row>
    <row r="739" spans="1:10" x14ac:dyDescent="0.35">
      <c r="A739" s="31">
        <v>369</v>
      </c>
      <c r="B739" s="19" t="s">
        <v>17</v>
      </c>
      <c r="C739" s="19"/>
      <c r="D739" s="37">
        <v>45899</v>
      </c>
      <c r="E739" s="31" t="s">
        <v>584</v>
      </c>
      <c r="F739" s="31" t="s">
        <v>581</v>
      </c>
      <c r="G739" s="31">
        <v>2884</v>
      </c>
      <c r="H739" s="31" t="s">
        <v>160</v>
      </c>
      <c r="I739" s="38">
        <v>0</v>
      </c>
    </row>
    <row r="740" spans="1:10" x14ac:dyDescent="0.35">
      <c r="A740" s="31">
        <v>369.5</v>
      </c>
      <c r="B740" s="19"/>
      <c r="C740" s="19" t="s">
        <v>22</v>
      </c>
      <c r="D740" s="37">
        <v>45899</v>
      </c>
      <c r="E740" s="31" t="s">
        <v>584</v>
      </c>
      <c r="F740" s="31" t="s">
        <v>581</v>
      </c>
      <c r="G740" s="31">
        <v>2884</v>
      </c>
      <c r="H740" s="31" t="s">
        <v>160</v>
      </c>
      <c r="J740" s="38">
        <v>0</v>
      </c>
    </row>
    <row r="741" spans="1:10" x14ac:dyDescent="0.35">
      <c r="A741" s="31">
        <v>370</v>
      </c>
      <c r="B741" s="19" t="s">
        <v>17</v>
      </c>
      <c r="C741" s="19"/>
      <c r="D741" s="37">
        <v>45899</v>
      </c>
      <c r="E741" s="31" t="s">
        <v>585</v>
      </c>
      <c r="F741" s="31" t="s">
        <v>581</v>
      </c>
      <c r="G741" s="31">
        <v>2884</v>
      </c>
      <c r="H741" s="31" t="s">
        <v>160</v>
      </c>
      <c r="I741" s="38">
        <v>0</v>
      </c>
    </row>
    <row r="742" spans="1:10" x14ac:dyDescent="0.35">
      <c r="A742" s="31">
        <v>370.5</v>
      </c>
      <c r="B742" s="19"/>
      <c r="C742" s="19" t="s">
        <v>22</v>
      </c>
      <c r="D742" s="37">
        <v>45899</v>
      </c>
      <c r="E742" s="31" t="s">
        <v>585</v>
      </c>
      <c r="F742" s="31" t="s">
        <v>581</v>
      </c>
      <c r="G742" s="31">
        <v>2884</v>
      </c>
      <c r="H742" s="31" t="s">
        <v>160</v>
      </c>
      <c r="J742" s="38">
        <v>0</v>
      </c>
    </row>
    <row r="743" spans="1:10" x14ac:dyDescent="0.35">
      <c r="A743" s="31">
        <v>371</v>
      </c>
      <c r="B743" s="19" t="s">
        <v>17</v>
      </c>
      <c r="C743" s="19"/>
      <c r="D743" s="37">
        <v>45899</v>
      </c>
      <c r="E743" s="31">
        <v>36512</v>
      </c>
      <c r="F743" s="31" t="s">
        <v>586</v>
      </c>
      <c r="G743" s="31">
        <v>2702</v>
      </c>
      <c r="H743" s="31" t="s">
        <v>160</v>
      </c>
      <c r="I743" s="38">
        <v>11839.48</v>
      </c>
    </row>
    <row r="744" spans="1:10" x14ac:dyDescent="0.35">
      <c r="A744" s="31">
        <v>371.5</v>
      </c>
      <c r="B744" s="19"/>
      <c r="C744" s="19" t="s">
        <v>22</v>
      </c>
      <c r="D744" s="37">
        <v>45899</v>
      </c>
      <c r="E744" s="31">
        <v>36512</v>
      </c>
      <c r="F744" s="31" t="s">
        <v>586</v>
      </c>
      <c r="G744" s="31">
        <v>2702</v>
      </c>
      <c r="H744" s="31" t="s">
        <v>160</v>
      </c>
      <c r="J744" s="38">
        <v>11839.48</v>
      </c>
    </row>
    <row r="745" spans="1:10" x14ac:dyDescent="0.35">
      <c r="A745" s="31">
        <v>372</v>
      </c>
      <c r="B745" s="19" t="s">
        <v>17</v>
      </c>
      <c r="C745" s="19"/>
      <c r="D745" s="37">
        <v>45899</v>
      </c>
      <c r="E745" s="31" t="s">
        <v>587</v>
      </c>
      <c r="F745" s="31" t="s">
        <v>541</v>
      </c>
      <c r="G745" s="31">
        <v>3268</v>
      </c>
      <c r="H745" s="31" t="s">
        <v>160</v>
      </c>
      <c r="I745" s="38">
        <v>0</v>
      </c>
    </row>
    <row r="746" spans="1:10" x14ac:dyDescent="0.35">
      <c r="A746" s="31">
        <v>372.5</v>
      </c>
      <c r="B746" s="19"/>
      <c r="C746" s="19" t="s">
        <v>22</v>
      </c>
      <c r="D746" s="37">
        <v>45899</v>
      </c>
      <c r="E746" s="31" t="s">
        <v>587</v>
      </c>
      <c r="F746" s="31" t="s">
        <v>541</v>
      </c>
      <c r="G746" s="31">
        <v>3268</v>
      </c>
      <c r="H746" s="31" t="s">
        <v>160</v>
      </c>
      <c r="J746" s="38">
        <v>0</v>
      </c>
    </row>
    <row r="747" spans="1:10" x14ac:dyDescent="0.35">
      <c r="A747" s="31">
        <v>373</v>
      </c>
      <c r="B747" s="19" t="s">
        <v>17</v>
      </c>
      <c r="C747" s="19"/>
      <c r="D747" s="37">
        <v>45899</v>
      </c>
      <c r="E747" s="31" t="s">
        <v>588</v>
      </c>
      <c r="F747" s="31" t="s">
        <v>91</v>
      </c>
      <c r="G747" s="31">
        <v>649</v>
      </c>
      <c r="H747" s="31" t="s">
        <v>160</v>
      </c>
      <c r="I747" s="38">
        <v>0</v>
      </c>
    </row>
    <row r="748" spans="1:10" x14ac:dyDescent="0.35">
      <c r="A748" s="31">
        <v>373.5</v>
      </c>
      <c r="B748" s="19"/>
      <c r="C748" s="19" t="s">
        <v>22</v>
      </c>
      <c r="D748" s="37">
        <v>45899</v>
      </c>
      <c r="E748" s="31" t="s">
        <v>588</v>
      </c>
      <c r="F748" s="31" t="s">
        <v>91</v>
      </c>
      <c r="G748" s="31">
        <v>649</v>
      </c>
      <c r="H748" s="31" t="s">
        <v>160</v>
      </c>
      <c r="J748" s="38">
        <v>0</v>
      </c>
    </row>
    <row r="749" spans="1:10" x14ac:dyDescent="0.35">
      <c r="A749" s="31">
        <v>374</v>
      </c>
      <c r="B749" s="19" t="s">
        <v>17</v>
      </c>
      <c r="C749" s="19"/>
      <c r="D749" s="37">
        <v>45899</v>
      </c>
      <c r="E749" s="31" t="s">
        <v>589</v>
      </c>
      <c r="F749" s="31" t="s">
        <v>91</v>
      </c>
      <c r="G749" s="31">
        <v>649</v>
      </c>
      <c r="H749" s="31" t="s">
        <v>160</v>
      </c>
      <c r="I749" s="38">
        <v>0</v>
      </c>
    </row>
    <row r="750" spans="1:10" x14ac:dyDescent="0.35">
      <c r="A750" s="31">
        <v>374.5</v>
      </c>
      <c r="B750" s="19"/>
      <c r="C750" s="19" t="s">
        <v>22</v>
      </c>
      <c r="D750" s="37">
        <v>45899</v>
      </c>
      <c r="E750" s="31" t="s">
        <v>589</v>
      </c>
      <c r="F750" s="31" t="s">
        <v>91</v>
      </c>
      <c r="G750" s="31">
        <v>649</v>
      </c>
      <c r="H750" s="31" t="s">
        <v>160</v>
      </c>
      <c r="J750" s="38">
        <v>0</v>
      </c>
    </row>
    <row r="751" spans="1:10" x14ac:dyDescent="0.35">
      <c r="A751" s="31">
        <v>375</v>
      </c>
      <c r="B751" s="19" t="s">
        <v>17</v>
      </c>
      <c r="C751" s="19"/>
      <c r="D751" s="37">
        <v>45899</v>
      </c>
      <c r="E751" s="31" t="s">
        <v>590</v>
      </c>
      <c r="F751" s="31" t="s">
        <v>91</v>
      </c>
      <c r="G751" s="31">
        <v>649</v>
      </c>
      <c r="H751" s="31" t="s">
        <v>160</v>
      </c>
      <c r="I751" s="38">
        <v>0</v>
      </c>
    </row>
    <row r="752" spans="1:10" x14ac:dyDescent="0.35">
      <c r="A752" s="31">
        <v>375.5</v>
      </c>
      <c r="B752" s="19"/>
      <c r="C752" s="19" t="s">
        <v>22</v>
      </c>
      <c r="D752" s="37">
        <v>45899</v>
      </c>
      <c r="E752" s="31" t="s">
        <v>590</v>
      </c>
      <c r="F752" s="31" t="s">
        <v>91</v>
      </c>
      <c r="G752" s="31">
        <v>649</v>
      </c>
      <c r="H752" s="31" t="s">
        <v>160</v>
      </c>
      <c r="J752" s="38">
        <v>0</v>
      </c>
    </row>
    <row r="753" spans="1:10" x14ac:dyDescent="0.35">
      <c r="A753" s="31">
        <v>376</v>
      </c>
      <c r="B753" s="19" t="s">
        <v>17</v>
      </c>
      <c r="C753" s="19"/>
      <c r="D753" s="37">
        <v>45899</v>
      </c>
      <c r="E753" s="31" t="s">
        <v>591</v>
      </c>
      <c r="F753" s="31" t="s">
        <v>91</v>
      </c>
      <c r="G753" s="31">
        <v>649</v>
      </c>
      <c r="H753" s="31" t="s">
        <v>160</v>
      </c>
      <c r="I753" s="38">
        <v>0</v>
      </c>
    </row>
    <row r="754" spans="1:10" x14ac:dyDescent="0.35">
      <c r="A754" s="31">
        <v>376.5</v>
      </c>
      <c r="B754" s="19"/>
      <c r="C754" s="19" t="s">
        <v>22</v>
      </c>
      <c r="D754" s="37">
        <v>45899</v>
      </c>
      <c r="E754" s="31" t="s">
        <v>591</v>
      </c>
      <c r="F754" s="31" t="s">
        <v>91</v>
      </c>
      <c r="G754" s="31">
        <v>649</v>
      </c>
      <c r="H754" s="31" t="s">
        <v>160</v>
      </c>
      <c r="J754" s="38">
        <v>0</v>
      </c>
    </row>
    <row r="755" spans="1:10" x14ac:dyDescent="0.35">
      <c r="A755" s="31">
        <v>377</v>
      </c>
      <c r="B755" s="19" t="s">
        <v>17</v>
      </c>
      <c r="C755" s="19"/>
      <c r="D755" s="37">
        <v>45899</v>
      </c>
      <c r="E755" s="31" t="s">
        <v>592</v>
      </c>
      <c r="F755" s="31" t="s">
        <v>91</v>
      </c>
      <c r="G755" s="31">
        <v>649</v>
      </c>
      <c r="H755" s="31" t="s">
        <v>160</v>
      </c>
      <c r="I755" s="38">
        <v>0</v>
      </c>
    </row>
    <row r="756" spans="1:10" x14ac:dyDescent="0.35">
      <c r="A756" s="31">
        <v>377.5</v>
      </c>
      <c r="B756" s="19"/>
      <c r="C756" s="19" t="s">
        <v>22</v>
      </c>
      <c r="D756" s="37">
        <v>45899</v>
      </c>
      <c r="E756" s="31" t="s">
        <v>592</v>
      </c>
      <c r="F756" s="31" t="s">
        <v>91</v>
      </c>
      <c r="G756" s="31">
        <v>649</v>
      </c>
      <c r="H756" s="31" t="s">
        <v>160</v>
      </c>
      <c r="J756" s="38">
        <v>0</v>
      </c>
    </row>
    <row r="757" spans="1:10" x14ac:dyDescent="0.35">
      <c r="A757" s="31">
        <v>378</v>
      </c>
      <c r="B757" s="19" t="s">
        <v>17</v>
      </c>
      <c r="C757" s="19"/>
      <c r="D757" s="37">
        <v>45899</v>
      </c>
      <c r="E757" s="31" t="s">
        <v>593</v>
      </c>
      <c r="F757" s="31" t="s">
        <v>91</v>
      </c>
      <c r="G757" s="31">
        <v>649</v>
      </c>
      <c r="H757" s="31" t="s">
        <v>160</v>
      </c>
      <c r="I757" s="38">
        <v>0</v>
      </c>
    </row>
    <row r="758" spans="1:10" x14ac:dyDescent="0.35">
      <c r="A758" s="31">
        <v>378.5</v>
      </c>
      <c r="B758" s="19"/>
      <c r="C758" s="19" t="s">
        <v>22</v>
      </c>
      <c r="D758" s="37">
        <v>45899</v>
      </c>
      <c r="E758" s="31" t="s">
        <v>593</v>
      </c>
      <c r="F758" s="31" t="s">
        <v>91</v>
      </c>
      <c r="G758" s="31">
        <v>649</v>
      </c>
      <c r="H758" s="31" t="s">
        <v>160</v>
      </c>
      <c r="J758" s="38">
        <v>0</v>
      </c>
    </row>
    <row r="759" spans="1:10" x14ac:dyDescent="0.35">
      <c r="A759" s="31">
        <v>379</v>
      </c>
      <c r="B759" s="19" t="s">
        <v>17</v>
      </c>
      <c r="C759" s="19"/>
      <c r="D759" s="37">
        <v>45899</v>
      </c>
      <c r="E759" s="31" t="s">
        <v>594</v>
      </c>
      <c r="F759" s="31" t="s">
        <v>91</v>
      </c>
      <c r="G759" s="31">
        <v>649</v>
      </c>
      <c r="H759" s="31" t="s">
        <v>160</v>
      </c>
      <c r="I759" s="38">
        <v>0</v>
      </c>
    </row>
    <row r="760" spans="1:10" x14ac:dyDescent="0.35">
      <c r="A760" s="31">
        <v>379.5</v>
      </c>
      <c r="B760" s="19"/>
      <c r="C760" s="19" t="s">
        <v>22</v>
      </c>
      <c r="D760" s="37">
        <v>45899</v>
      </c>
      <c r="E760" s="31" t="s">
        <v>594</v>
      </c>
      <c r="F760" s="31" t="s">
        <v>91</v>
      </c>
      <c r="G760" s="31">
        <v>649</v>
      </c>
      <c r="H760" s="31" t="s">
        <v>160</v>
      </c>
      <c r="J760" s="38">
        <v>0</v>
      </c>
    </row>
    <row r="761" spans="1:10" x14ac:dyDescent="0.35">
      <c r="A761" s="31">
        <v>380</v>
      </c>
      <c r="B761" s="19" t="s">
        <v>17</v>
      </c>
      <c r="C761" s="19"/>
      <c r="D761" s="37">
        <v>45899</v>
      </c>
      <c r="E761" s="31" t="s">
        <v>595</v>
      </c>
      <c r="F761" s="31" t="s">
        <v>91</v>
      </c>
      <c r="G761" s="31">
        <v>649</v>
      </c>
      <c r="H761" s="31" t="s">
        <v>160</v>
      </c>
      <c r="I761" s="38">
        <v>0</v>
      </c>
    </row>
    <row r="762" spans="1:10" x14ac:dyDescent="0.35">
      <c r="A762" s="31">
        <v>380.5</v>
      </c>
      <c r="B762" s="19"/>
      <c r="C762" s="19" t="s">
        <v>22</v>
      </c>
      <c r="D762" s="37">
        <v>45899</v>
      </c>
      <c r="E762" s="31" t="s">
        <v>595</v>
      </c>
      <c r="F762" s="31" t="s">
        <v>91</v>
      </c>
      <c r="G762" s="31">
        <v>649</v>
      </c>
      <c r="H762" s="31" t="s">
        <v>160</v>
      </c>
      <c r="J762" s="38">
        <v>0</v>
      </c>
    </row>
    <row r="763" spans="1:10" x14ac:dyDescent="0.35">
      <c r="A763" s="31">
        <v>381</v>
      </c>
      <c r="B763" s="19" t="s">
        <v>17</v>
      </c>
      <c r="C763" s="19"/>
      <c r="D763" s="37">
        <v>45899</v>
      </c>
      <c r="E763" s="31" t="s">
        <v>596</v>
      </c>
      <c r="F763" s="31" t="s">
        <v>597</v>
      </c>
      <c r="G763" s="31">
        <v>3393</v>
      </c>
      <c r="H763" s="31" t="s">
        <v>160</v>
      </c>
      <c r="I763" s="38">
        <v>0</v>
      </c>
    </row>
    <row r="764" spans="1:10" x14ac:dyDescent="0.35">
      <c r="A764" s="31">
        <v>381.5</v>
      </c>
      <c r="B764" s="19"/>
      <c r="C764" s="19" t="s">
        <v>22</v>
      </c>
      <c r="D764" s="37">
        <v>45899</v>
      </c>
      <c r="E764" s="31" t="s">
        <v>596</v>
      </c>
      <c r="F764" s="31" t="s">
        <v>597</v>
      </c>
      <c r="G764" s="31">
        <v>3393</v>
      </c>
      <c r="H764" s="31" t="s">
        <v>160</v>
      </c>
      <c r="J764" s="38">
        <v>0</v>
      </c>
    </row>
    <row r="765" spans="1:10" x14ac:dyDescent="0.35">
      <c r="A765" s="31">
        <v>382</v>
      </c>
      <c r="B765" s="19" t="s">
        <v>17</v>
      </c>
      <c r="C765" s="19"/>
      <c r="D765" s="37">
        <v>45899</v>
      </c>
      <c r="E765" s="31" t="s">
        <v>598</v>
      </c>
      <c r="F765" s="31" t="s">
        <v>597</v>
      </c>
      <c r="G765" s="31">
        <v>3393</v>
      </c>
      <c r="H765" s="31" t="s">
        <v>160</v>
      </c>
      <c r="I765" s="38">
        <v>0</v>
      </c>
    </row>
    <row r="766" spans="1:10" x14ac:dyDescent="0.35">
      <c r="A766" s="31">
        <v>382.5</v>
      </c>
      <c r="B766" s="19"/>
      <c r="C766" s="19" t="s">
        <v>22</v>
      </c>
      <c r="D766" s="37">
        <v>45899</v>
      </c>
      <c r="E766" s="31" t="s">
        <v>598</v>
      </c>
      <c r="F766" s="31" t="s">
        <v>597</v>
      </c>
      <c r="G766" s="31">
        <v>3393</v>
      </c>
      <c r="H766" s="31" t="s">
        <v>160</v>
      </c>
      <c r="J766" s="38">
        <v>0</v>
      </c>
    </row>
    <row r="767" spans="1:10" x14ac:dyDescent="0.35">
      <c r="A767" s="31">
        <v>383</v>
      </c>
      <c r="B767" s="19" t="s">
        <v>17</v>
      </c>
      <c r="C767" s="19"/>
      <c r="D767" s="37">
        <v>45899</v>
      </c>
      <c r="E767" s="31" t="s">
        <v>599</v>
      </c>
      <c r="F767" s="31" t="s">
        <v>597</v>
      </c>
      <c r="G767" s="31">
        <v>3393</v>
      </c>
      <c r="H767" s="31" t="s">
        <v>160</v>
      </c>
      <c r="I767" s="38">
        <v>0</v>
      </c>
    </row>
    <row r="768" spans="1:10" x14ac:dyDescent="0.35">
      <c r="A768" s="31">
        <v>383.5</v>
      </c>
      <c r="B768" s="19"/>
      <c r="C768" s="19" t="s">
        <v>22</v>
      </c>
      <c r="D768" s="37">
        <v>45899</v>
      </c>
      <c r="E768" s="31" t="s">
        <v>599</v>
      </c>
      <c r="F768" s="31" t="s">
        <v>597</v>
      </c>
      <c r="G768" s="31">
        <v>3393</v>
      </c>
      <c r="H768" s="31" t="s">
        <v>160</v>
      </c>
      <c r="J768" s="38">
        <v>0</v>
      </c>
    </row>
    <row r="769" spans="1:10" x14ac:dyDescent="0.35">
      <c r="A769" s="31">
        <v>384</v>
      </c>
      <c r="B769" s="19" t="s">
        <v>17</v>
      </c>
      <c r="C769" s="19"/>
      <c r="D769" s="37">
        <v>45899</v>
      </c>
      <c r="E769" s="31" t="s">
        <v>600</v>
      </c>
      <c r="F769" s="31" t="s">
        <v>176</v>
      </c>
      <c r="G769" s="31">
        <v>2628</v>
      </c>
      <c r="H769" s="31" t="s">
        <v>160</v>
      </c>
      <c r="I769" s="38">
        <v>0</v>
      </c>
    </row>
    <row r="770" spans="1:10" x14ac:dyDescent="0.35">
      <c r="A770" s="31">
        <v>384.5</v>
      </c>
      <c r="B770" s="19"/>
      <c r="C770" s="19" t="s">
        <v>22</v>
      </c>
      <c r="D770" s="37">
        <v>45899</v>
      </c>
      <c r="E770" s="31" t="s">
        <v>600</v>
      </c>
      <c r="F770" s="31" t="s">
        <v>176</v>
      </c>
      <c r="G770" s="31">
        <v>2628</v>
      </c>
      <c r="H770" s="31" t="s">
        <v>160</v>
      </c>
      <c r="J770" s="38">
        <v>0</v>
      </c>
    </row>
    <row r="771" spans="1:10" x14ac:dyDescent="0.35">
      <c r="A771" s="31">
        <v>385</v>
      </c>
      <c r="B771" s="19" t="s">
        <v>17</v>
      </c>
      <c r="C771" s="19"/>
      <c r="D771" s="37">
        <v>45899</v>
      </c>
      <c r="E771" s="31" t="s">
        <v>601</v>
      </c>
      <c r="F771" s="31" t="s">
        <v>176</v>
      </c>
      <c r="G771" s="31">
        <v>2628</v>
      </c>
      <c r="H771" s="31" t="s">
        <v>160</v>
      </c>
      <c r="I771" s="38">
        <v>0</v>
      </c>
    </row>
    <row r="772" spans="1:10" x14ac:dyDescent="0.35">
      <c r="A772" s="31">
        <v>385.5</v>
      </c>
      <c r="B772" s="19"/>
      <c r="C772" s="19" t="s">
        <v>22</v>
      </c>
      <c r="D772" s="37">
        <v>45899</v>
      </c>
      <c r="E772" s="31" t="s">
        <v>601</v>
      </c>
      <c r="F772" s="31" t="s">
        <v>176</v>
      </c>
      <c r="G772" s="31">
        <v>2628</v>
      </c>
      <c r="H772" s="31" t="s">
        <v>160</v>
      </c>
      <c r="J772" s="38">
        <v>0</v>
      </c>
    </row>
    <row r="773" spans="1:10" x14ac:dyDescent="0.35">
      <c r="A773" s="31">
        <v>386</v>
      </c>
      <c r="B773" s="19" t="s">
        <v>17</v>
      </c>
      <c r="C773" s="19"/>
      <c r="D773" s="37">
        <v>45899</v>
      </c>
      <c r="E773" s="31" t="s">
        <v>602</v>
      </c>
      <c r="F773" s="31" t="s">
        <v>176</v>
      </c>
      <c r="G773" s="31">
        <v>2628</v>
      </c>
      <c r="H773" s="31" t="s">
        <v>160</v>
      </c>
      <c r="I773" s="38">
        <v>0</v>
      </c>
    </row>
    <row r="774" spans="1:10" x14ac:dyDescent="0.35">
      <c r="A774" s="31">
        <v>386.5</v>
      </c>
      <c r="B774" s="19"/>
      <c r="C774" s="19" t="s">
        <v>22</v>
      </c>
      <c r="D774" s="37">
        <v>45899</v>
      </c>
      <c r="E774" s="31" t="s">
        <v>602</v>
      </c>
      <c r="F774" s="31" t="s">
        <v>176</v>
      </c>
      <c r="G774" s="31">
        <v>2628</v>
      </c>
      <c r="H774" s="31" t="s">
        <v>160</v>
      </c>
      <c r="J774" s="38">
        <v>0</v>
      </c>
    </row>
    <row r="775" spans="1:10" x14ac:dyDescent="0.35">
      <c r="A775" s="31">
        <v>387</v>
      </c>
      <c r="B775" s="19" t="s">
        <v>17</v>
      </c>
      <c r="C775" s="19"/>
      <c r="D775" s="37">
        <v>45899</v>
      </c>
      <c r="E775" s="31" t="s">
        <v>603</v>
      </c>
      <c r="F775" s="31" t="s">
        <v>176</v>
      </c>
      <c r="G775" s="31">
        <v>2628</v>
      </c>
      <c r="H775" s="31" t="s">
        <v>160</v>
      </c>
      <c r="I775" s="38">
        <v>0</v>
      </c>
    </row>
    <row r="776" spans="1:10" x14ac:dyDescent="0.35">
      <c r="A776" s="31">
        <v>387.5</v>
      </c>
      <c r="B776" s="19"/>
      <c r="C776" s="19" t="s">
        <v>22</v>
      </c>
      <c r="D776" s="37">
        <v>45899</v>
      </c>
      <c r="E776" s="31" t="s">
        <v>603</v>
      </c>
      <c r="F776" s="31" t="s">
        <v>176</v>
      </c>
      <c r="G776" s="31">
        <v>2628</v>
      </c>
      <c r="H776" s="31" t="s">
        <v>160</v>
      </c>
      <c r="J776" s="38">
        <v>0</v>
      </c>
    </row>
    <row r="777" spans="1:10" x14ac:dyDescent="0.35">
      <c r="A777" s="31">
        <v>388</v>
      </c>
      <c r="B777" s="19" t="s">
        <v>17</v>
      </c>
      <c r="C777" s="19"/>
      <c r="D777" s="37">
        <v>45899</v>
      </c>
      <c r="E777" s="31" t="s">
        <v>604</v>
      </c>
      <c r="F777" s="31" t="s">
        <v>605</v>
      </c>
      <c r="G777" s="31">
        <v>3326</v>
      </c>
      <c r="H777" s="31" t="s">
        <v>160</v>
      </c>
      <c r="I777" s="38">
        <v>0</v>
      </c>
    </row>
    <row r="778" spans="1:10" x14ac:dyDescent="0.35">
      <c r="A778" s="31">
        <v>388.5</v>
      </c>
      <c r="B778" s="19"/>
      <c r="C778" s="19" t="s">
        <v>22</v>
      </c>
      <c r="D778" s="37">
        <v>45899</v>
      </c>
      <c r="E778" s="31" t="s">
        <v>604</v>
      </c>
      <c r="F778" s="31" t="s">
        <v>605</v>
      </c>
      <c r="G778" s="31">
        <v>3326</v>
      </c>
      <c r="H778" s="31" t="s">
        <v>160</v>
      </c>
      <c r="J778" s="38">
        <v>0</v>
      </c>
    </row>
    <row r="779" spans="1:10" x14ac:dyDescent="0.35">
      <c r="A779" s="31">
        <v>389</v>
      </c>
      <c r="B779" s="19" t="s">
        <v>17</v>
      </c>
      <c r="C779" s="19"/>
      <c r="D779" s="37">
        <v>45899</v>
      </c>
      <c r="E779" s="31" t="s">
        <v>606</v>
      </c>
      <c r="F779" s="31" t="s">
        <v>605</v>
      </c>
      <c r="G779" s="31">
        <v>3326</v>
      </c>
      <c r="H779" s="31" t="s">
        <v>160</v>
      </c>
      <c r="I779" s="38">
        <v>0</v>
      </c>
    </row>
    <row r="780" spans="1:10" x14ac:dyDescent="0.35">
      <c r="A780" s="31">
        <v>389.5</v>
      </c>
      <c r="B780" s="19"/>
      <c r="C780" s="19" t="s">
        <v>22</v>
      </c>
      <c r="D780" s="37">
        <v>45899</v>
      </c>
      <c r="E780" s="31" t="s">
        <v>606</v>
      </c>
      <c r="F780" s="31" t="s">
        <v>605</v>
      </c>
      <c r="G780" s="31">
        <v>3326</v>
      </c>
      <c r="H780" s="31" t="s">
        <v>160</v>
      </c>
      <c r="J780" s="38">
        <v>0</v>
      </c>
    </row>
    <row r="781" spans="1:10" x14ac:dyDescent="0.35">
      <c r="A781" s="31">
        <v>390</v>
      </c>
      <c r="B781" s="19" t="s">
        <v>17</v>
      </c>
      <c r="C781" s="19"/>
      <c r="D781" s="37">
        <v>45899</v>
      </c>
      <c r="E781" s="31" t="s">
        <v>607</v>
      </c>
      <c r="F781" s="31" t="s">
        <v>57</v>
      </c>
      <c r="G781" s="31">
        <v>3330</v>
      </c>
      <c r="H781" s="31" t="s">
        <v>160</v>
      </c>
      <c r="I781" s="38">
        <v>0</v>
      </c>
    </row>
    <row r="782" spans="1:10" x14ac:dyDescent="0.35">
      <c r="A782" s="31">
        <v>390.5</v>
      </c>
      <c r="B782" s="19"/>
      <c r="C782" s="19" t="s">
        <v>22</v>
      </c>
      <c r="D782" s="37">
        <v>45899</v>
      </c>
      <c r="E782" s="31" t="s">
        <v>607</v>
      </c>
      <c r="F782" s="31" t="s">
        <v>57</v>
      </c>
      <c r="G782" s="31">
        <v>3330</v>
      </c>
      <c r="H782" s="31" t="s">
        <v>160</v>
      </c>
      <c r="J782" s="38">
        <v>0</v>
      </c>
    </row>
    <row r="783" spans="1:10" x14ac:dyDescent="0.35">
      <c r="A783" s="31">
        <v>391</v>
      </c>
      <c r="B783" s="19" t="s">
        <v>17</v>
      </c>
      <c r="C783" s="19"/>
      <c r="D783" s="37">
        <v>45899</v>
      </c>
      <c r="E783" s="31" t="s">
        <v>608</v>
      </c>
      <c r="F783" s="31" t="s">
        <v>57</v>
      </c>
      <c r="G783" s="31">
        <v>3330</v>
      </c>
      <c r="H783" s="31" t="s">
        <v>160</v>
      </c>
      <c r="I783" s="38">
        <v>0</v>
      </c>
    </row>
    <row r="784" spans="1:10" x14ac:dyDescent="0.35">
      <c r="A784" s="31">
        <v>391.5</v>
      </c>
      <c r="B784" s="19"/>
      <c r="C784" s="19" t="s">
        <v>22</v>
      </c>
      <c r="D784" s="37">
        <v>45899</v>
      </c>
      <c r="E784" s="31" t="s">
        <v>608</v>
      </c>
      <c r="F784" s="31" t="s">
        <v>57</v>
      </c>
      <c r="G784" s="31">
        <v>3330</v>
      </c>
      <c r="H784" s="31" t="s">
        <v>160</v>
      </c>
      <c r="J784" s="38">
        <v>0</v>
      </c>
    </row>
    <row r="785" spans="1:10" x14ac:dyDescent="0.35">
      <c r="A785" s="31">
        <v>392</v>
      </c>
      <c r="B785" s="19" t="s">
        <v>17</v>
      </c>
      <c r="C785" s="19"/>
      <c r="D785" s="37">
        <v>45899</v>
      </c>
      <c r="E785" s="31" t="s">
        <v>609</v>
      </c>
      <c r="F785" s="31" t="s">
        <v>57</v>
      </c>
      <c r="G785" s="31">
        <v>3330</v>
      </c>
      <c r="H785" s="31" t="s">
        <v>160</v>
      </c>
      <c r="I785" s="38">
        <v>0</v>
      </c>
    </row>
    <row r="786" spans="1:10" x14ac:dyDescent="0.35">
      <c r="A786" s="31">
        <v>392.5</v>
      </c>
      <c r="B786" s="19"/>
      <c r="C786" s="19" t="s">
        <v>22</v>
      </c>
      <c r="D786" s="37">
        <v>45899</v>
      </c>
      <c r="E786" s="31" t="s">
        <v>609</v>
      </c>
      <c r="F786" s="31" t="s">
        <v>57</v>
      </c>
      <c r="G786" s="31">
        <v>3330</v>
      </c>
      <c r="H786" s="31" t="s">
        <v>160</v>
      </c>
      <c r="J786" s="38">
        <v>0</v>
      </c>
    </row>
    <row r="787" spans="1:10" x14ac:dyDescent="0.35">
      <c r="A787" s="31">
        <v>393</v>
      </c>
      <c r="B787" s="19" t="s">
        <v>17</v>
      </c>
      <c r="C787" s="19"/>
      <c r="D787" s="37">
        <v>45899</v>
      </c>
      <c r="E787" s="31" t="s">
        <v>610</v>
      </c>
      <c r="F787" s="31" t="s">
        <v>57</v>
      </c>
      <c r="G787" s="31">
        <v>3330</v>
      </c>
      <c r="H787" s="31" t="s">
        <v>160</v>
      </c>
      <c r="I787" s="38">
        <v>0</v>
      </c>
    </row>
    <row r="788" spans="1:10" x14ac:dyDescent="0.35">
      <c r="A788" s="31">
        <v>393.5</v>
      </c>
      <c r="B788" s="19"/>
      <c r="C788" s="19" t="s">
        <v>22</v>
      </c>
      <c r="D788" s="37">
        <v>45899</v>
      </c>
      <c r="E788" s="31" t="s">
        <v>610</v>
      </c>
      <c r="F788" s="31" t="s">
        <v>57</v>
      </c>
      <c r="G788" s="31">
        <v>3330</v>
      </c>
      <c r="H788" s="31" t="s">
        <v>160</v>
      </c>
      <c r="J788" s="38">
        <v>0</v>
      </c>
    </row>
    <row r="789" spans="1:10" x14ac:dyDescent="0.35">
      <c r="A789" s="31">
        <v>394</v>
      </c>
      <c r="B789" s="19" t="s">
        <v>17</v>
      </c>
      <c r="C789" s="19"/>
      <c r="D789" s="37">
        <v>45899</v>
      </c>
      <c r="E789" s="31" t="s">
        <v>611</v>
      </c>
      <c r="F789" s="31" t="s">
        <v>57</v>
      </c>
      <c r="G789" s="31">
        <v>3330</v>
      </c>
      <c r="H789" s="31" t="s">
        <v>160</v>
      </c>
      <c r="I789" s="38">
        <v>0</v>
      </c>
    </row>
    <row r="790" spans="1:10" x14ac:dyDescent="0.35">
      <c r="A790" s="31">
        <v>394.5</v>
      </c>
      <c r="B790" s="19"/>
      <c r="C790" s="19" t="s">
        <v>22</v>
      </c>
      <c r="D790" s="37">
        <v>45899</v>
      </c>
      <c r="E790" s="31" t="s">
        <v>611</v>
      </c>
      <c r="F790" s="31" t="s">
        <v>57</v>
      </c>
      <c r="G790" s="31">
        <v>3330</v>
      </c>
      <c r="H790" s="31" t="s">
        <v>160</v>
      </c>
      <c r="J790" s="38">
        <v>0</v>
      </c>
    </row>
    <row r="791" spans="1:10" x14ac:dyDescent="0.35">
      <c r="A791" s="31">
        <v>395</v>
      </c>
      <c r="B791" s="19" t="s">
        <v>17</v>
      </c>
      <c r="C791" s="19"/>
      <c r="D791" s="37">
        <v>45899</v>
      </c>
      <c r="E791" s="31" t="s">
        <v>612</v>
      </c>
      <c r="F791" s="31" t="s">
        <v>57</v>
      </c>
      <c r="G791" s="31">
        <v>3330</v>
      </c>
      <c r="H791" s="31" t="s">
        <v>160</v>
      </c>
      <c r="I791" s="38">
        <v>0</v>
      </c>
    </row>
    <row r="792" spans="1:10" x14ac:dyDescent="0.35">
      <c r="A792" s="31">
        <v>395.5</v>
      </c>
      <c r="B792" s="19"/>
      <c r="C792" s="19" t="s">
        <v>22</v>
      </c>
      <c r="D792" s="37">
        <v>45899</v>
      </c>
      <c r="E792" s="31" t="s">
        <v>612</v>
      </c>
      <c r="F792" s="31" t="s">
        <v>57</v>
      </c>
      <c r="G792" s="31">
        <v>3330</v>
      </c>
      <c r="H792" s="31" t="s">
        <v>160</v>
      </c>
      <c r="J792" s="38">
        <v>0</v>
      </c>
    </row>
    <row r="793" spans="1:10" x14ac:dyDescent="0.35">
      <c r="A793" s="31">
        <v>396</v>
      </c>
      <c r="B793" s="19" t="s">
        <v>17</v>
      </c>
      <c r="C793" s="19"/>
      <c r="D793" s="37">
        <v>45899</v>
      </c>
      <c r="E793" s="31" t="s">
        <v>613</v>
      </c>
      <c r="F793" s="31" t="s">
        <v>57</v>
      </c>
      <c r="G793" s="31">
        <v>3330</v>
      </c>
      <c r="H793" s="31" t="s">
        <v>160</v>
      </c>
      <c r="I793" s="38">
        <v>0</v>
      </c>
    </row>
    <row r="794" spans="1:10" x14ac:dyDescent="0.35">
      <c r="A794" s="31">
        <v>396.5</v>
      </c>
      <c r="B794" s="19"/>
      <c r="C794" s="19" t="s">
        <v>22</v>
      </c>
      <c r="D794" s="37">
        <v>45899</v>
      </c>
      <c r="E794" s="31" t="s">
        <v>613</v>
      </c>
      <c r="F794" s="31" t="s">
        <v>57</v>
      </c>
      <c r="G794" s="31">
        <v>3330</v>
      </c>
      <c r="H794" s="31" t="s">
        <v>160</v>
      </c>
      <c r="J794" s="38">
        <v>0</v>
      </c>
    </row>
    <row r="795" spans="1:10" x14ac:dyDescent="0.35">
      <c r="A795" s="31">
        <v>397</v>
      </c>
      <c r="B795" s="19" t="s">
        <v>17</v>
      </c>
      <c r="C795" s="19"/>
      <c r="D795" s="37">
        <v>45899</v>
      </c>
      <c r="E795" s="31" t="s">
        <v>614</v>
      </c>
      <c r="F795" s="31" t="s">
        <v>57</v>
      </c>
      <c r="G795" s="31">
        <v>3330</v>
      </c>
      <c r="H795" s="31" t="s">
        <v>160</v>
      </c>
      <c r="I795" s="38">
        <v>0</v>
      </c>
    </row>
    <row r="796" spans="1:10" x14ac:dyDescent="0.35">
      <c r="A796" s="31">
        <v>397.5</v>
      </c>
      <c r="B796" s="19"/>
      <c r="C796" s="19" t="s">
        <v>22</v>
      </c>
      <c r="D796" s="37">
        <v>45899</v>
      </c>
      <c r="E796" s="31" t="s">
        <v>614</v>
      </c>
      <c r="F796" s="31" t="s">
        <v>57</v>
      </c>
      <c r="G796" s="31">
        <v>3330</v>
      </c>
      <c r="H796" s="31" t="s">
        <v>160</v>
      </c>
      <c r="J796" s="38">
        <v>0</v>
      </c>
    </row>
    <row r="797" spans="1:10" x14ac:dyDescent="0.35">
      <c r="A797" s="31">
        <v>398</v>
      </c>
      <c r="B797" s="19" t="s">
        <v>17</v>
      </c>
      <c r="C797" s="19"/>
      <c r="D797" s="37">
        <v>45899</v>
      </c>
      <c r="E797" s="31" t="s">
        <v>615</v>
      </c>
      <c r="F797" s="31" t="s">
        <v>57</v>
      </c>
      <c r="G797" s="31">
        <v>3330</v>
      </c>
      <c r="H797" s="31" t="s">
        <v>160</v>
      </c>
      <c r="I797" s="38">
        <v>0</v>
      </c>
    </row>
    <row r="798" spans="1:10" x14ac:dyDescent="0.35">
      <c r="A798" s="31">
        <v>398.5</v>
      </c>
      <c r="B798" s="19"/>
      <c r="C798" s="19" t="s">
        <v>22</v>
      </c>
      <c r="D798" s="37">
        <v>45899</v>
      </c>
      <c r="E798" s="31" t="s">
        <v>615</v>
      </c>
      <c r="F798" s="31" t="s">
        <v>57</v>
      </c>
      <c r="G798" s="31">
        <v>3330</v>
      </c>
      <c r="H798" s="31" t="s">
        <v>160</v>
      </c>
      <c r="J798" s="38">
        <v>0</v>
      </c>
    </row>
    <row r="799" spans="1:10" x14ac:dyDescent="0.35">
      <c r="A799" s="31">
        <v>399</v>
      </c>
      <c r="B799" s="19" t="s">
        <v>17</v>
      </c>
      <c r="C799" s="19"/>
      <c r="D799" s="37">
        <v>45899</v>
      </c>
      <c r="E799" s="31" t="s">
        <v>616</v>
      </c>
      <c r="F799" s="31" t="s">
        <v>57</v>
      </c>
      <c r="G799" s="31">
        <v>3330</v>
      </c>
      <c r="H799" s="31" t="s">
        <v>160</v>
      </c>
      <c r="I799" s="38">
        <v>0</v>
      </c>
    </row>
    <row r="800" spans="1:10" x14ac:dyDescent="0.35">
      <c r="A800" s="31">
        <v>399.5</v>
      </c>
      <c r="B800" s="19"/>
      <c r="C800" s="19" t="s">
        <v>22</v>
      </c>
      <c r="D800" s="37">
        <v>45899</v>
      </c>
      <c r="E800" s="31" t="s">
        <v>616</v>
      </c>
      <c r="F800" s="31" t="s">
        <v>57</v>
      </c>
      <c r="G800" s="31">
        <v>3330</v>
      </c>
      <c r="H800" s="31" t="s">
        <v>160</v>
      </c>
      <c r="J800" s="38">
        <v>0</v>
      </c>
    </row>
    <row r="801" spans="1:10" x14ac:dyDescent="0.35">
      <c r="A801" s="31">
        <v>400</v>
      </c>
      <c r="B801" s="19" t="s">
        <v>17</v>
      </c>
      <c r="C801" s="19"/>
      <c r="D801" s="37">
        <v>45899</v>
      </c>
      <c r="E801" s="31" t="s">
        <v>617</v>
      </c>
      <c r="F801" s="31" t="s">
        <v>57</v>
      </c>
      <c r="G801" s="31">
        <v>3330</v>
      </c>
      <c r="H801" s="31" t="s">
        <v>160</v>
      </c>
      <c r="I801" s="38">
        <v>0</v>
      </c>
    </row>
    <row r="802" spans="1:10" x14ac:dyDescent="0.35">
      <c r="A802" s="31">
        <v>400.5</v>
      </c>
      <c r="B802" s="19"/>
      <c r="C802" s="19" t="s">
        <v>22</v>
      </c>
      <c r="D802" s="37">
        <v>45899</v>
      </c>
      <c r="E802" s="31" t="s">
        <v>617</v>
      </c>
      <c r="F802" s="31" t="s">
        <v>57</v>
      </c>
      <c r="G802" s="31">
        <v>3330</v>
      </c>
      <c r="H802" s="31" t="s">
        <v>160</v>
      </c>
      <c r="J802" s="38">
        <v>0</v>
      </c>
    </row>
    <row r="803" spans="1:10" x14ac:dyDescent="0.35">
      <c r="A803" s="31">
        <v>401</v>
      </c>
      <c r="B803" s="19" t="s">
        <v>17</v>
      </c>
      <c r="C803" s="19"/>
      <c r="D803" s="37">
        <v>45899</v>
      </c>
      <c r="E803" s="31" t="s">
        <v>618</v>
      </c>
      <c r="F803" s="31" t="s">
        <v>57</v>
      </c>
      <c r="G803" s="31">
        <v>3330</v>
      </c>
      <c r="H803" s="31" t="s">
        <v>160</v>
      </c>
      <c r="I803" s="38">
        <v>0.56000000000000005</v>
      </c>
    </row>
    <row r="804" spans="1:10" x14ac:dyDescent="0.35">
      <c r="A804" s="31">
        <v>401.5</v>
      </c>
      <c r="B804" s="19"/>
      <c r="C804" s="19" t="s">
        <v>22</v>
      </c>
      <c r="D804" s="37">
        <v>45899</v>
      </c>
      <c r="E804" s="31" t="s">
        <v>618</v>
      </c>
      <c r="F804" s="31" t="s">
        <v>57</v>
      </c>
      <c r="G804" s="31">
        <v>3330</v>
      </c>
      <c r="H804" s="31" t="s">
        <v>160</v>
      </c>
      <c r="J804" s="38">
        <v>0.56000000000000005</v>
      </c>
    </row>
    <row r="805" spans="1:10" x14ac:dyDescent="0.35">
      <c r="A805" s="31">
        <v>402</v>
      </c>
      <c r="B805" s="19" t="s">
        <v>17</v>
      </c>
      <c r="C805" s="19"/>
      <c r="D805" s="37">
        <v>45899</v>
      </c>
      <c r="E805" s="31" t="s">
        <v>619</v>
      </c>
      <c r="F805" s="31" t="s">
        <v>57</v>
      </c>
      <c r="G805" s="31">
        <v>3330</v>
      </c>
      <c r="H805" s="31" t="s">
        <v>160</v>
      </c>
      <c r="I805" s="38">
        <v>0</v>
      </c>
    </row>
    <row r="806" spans="1:10" x14ac:dyDescent="0.35">
      <c r="A806" s="31">
        <v>402.5</v>
      </c>
      <c r="B806" s="19"/>
      <c r="C806" s="19" t="s">
        <v>22</v>
      </c>
      <c r="D806" s="37">
        <v>45899</v>
      </c>
      <c r="E806" s="31" t="s">
        <v>619</v>
      </c>
      <c r="F806" s="31" t="s">
        <v>57</v>
      </c>
      <c r="G806" s="31">
        <v>3330</v>
      </c>
      <c r="H806" s="31" t="s">
        <v>160</v>
      </c>
      <c r="J806" s="38">
        <v>0</v>
      </c>
    </row>
    <row r="807" spans="1:10" x14ac:dyDescent="0.35">
      <c r="A807" s="31">
        <v>403</v>
      </c>
      <c r="B807" s="19" t="s">
        <v>17</v>
      </c>
      <c r="C807" s="19"/>
      <c r="D807" s="37">
        <v>45899</v>
      </c>
      <c r="E807" s="31" t="s">
        <v>620</v>
      </c>
      <c r="F807" s="31" t="s">
        <v>128</v>
      </c>
      <c r="G807" s="31">
        <v>2442</v>
      </c>
      <c r="H807" s="31" t="s">
        <v>160</v>
      </c>
      <c r="I807" s="38">
        <v>0</v>
      </c>
    </row>
    <row r="808" spans="1:10" x14ac:dyDescent="0.35">
      <c r="A808" s="31">
        <v>403.5</v>
      </c>
      <c r="B808" s="19"/>
      <c r="C808" s="19" t="s">
        <v>22</v>
      </c>
      <c r="D808" s="37">
        <v>45899</v>
      </c>
      <c r="E808" s="31" t="s">
        <v>620</v>
      </c>
      <c r="F808" s="31" t="s">
        <v>128</v>
      </c>
      <c r="G808" s="31">
        <v>2442</v>
      </c>
      <c r="H808" s="31" t="s">
        <v>160</v>
      </c>
      <c r="J808" s="38">
        <v>0</v>
      </c>
    </row>
    <row r="809" spans="1:10" x14ac:dyDescent="0.35">
      <c r="A809" s="31">
        <v>404</v>
      </c>
      <c r="B809" s="19" t="s">
        <v>17</v>
      </c>
      <c r="C809" s="19"/>
      <c r="D809" s="37">
        <v>45899</v>
      </c>
      <c r="E809" s="31" t="s">
        <v>621</v>
      </c>
      <c r="F809" s="31" t="s">
        <v>128</v>
      </c>
      <c r="G809" s="31">
        <v>2442</v>
      </c>
      <c r="H809" s="31" t="s">
        <v>160</v>
      </c>
      <c r="I809" s="38">
        <v>0</v>
      </c>
    </row>
    <row r="810" spans="1:10" x14ac:dyDescent="0.35">
      <c r="A810" s="31">
        <v>404.5</v>
      </c>
      <c r="B810" s="19"/>
      <c r="C810" s="19" t="s">
        <v>22</v>
      </c>
      <c r="D810" s="37">
        <v>45899</v>
      </c>
      <c r="E810" s="31" t="s">
        <v>621</v>
      </c>
      <c r="F810" s="31" t="s">
        <v>128</v>
      </c>
      <c r="G810" s="31">
        <v>2442</v>
      </c>
      <c r="H810" s="31" t="s">
        <v>160</v>
      </c>
      <c r="J810" s="38">
        <v>0</v>
      </c>
    </row>
    <row r="811" spans="1:10" x14ac:dyDescent="0.35">
      <c r="A811" s="31">
        <v>405</v>
      </c>
      <c r="B811" s="19" t="s">
        <v>17</v>
      </c>
      <c r="C811" s="19"/>
      <c r="D811" s="37">
        <v>45899</v>
      </c>
      <c r="E811" s="31" t="s">
        <v>622</v>
      </c>
      <c r="F811" s="31" t="s">
        <v>128</v>
      </c>
      <c r="G811" s="31">
        <v>2442</v>
      </c>
      <c r="H811" s="31" t="s">
        <v>160</v>
      </c>
      <c r="I811" s="38">
        <v>0</v>
      </c>
    </row>
    <row r="812" spans="1:10" x14ac:dyDescent="0.35">
      <c r="A812" s="31">
        <v>405.5</v>
      </c>
      <c r="B812" s="19"/>
      <c r="C812" s="19" t="s">
        <v>22</v>
      </c>
      <c r="D812" s="37">
        <v>45899</v>
      </c>
      <c r="E812" s="31" t="s">
        <v>622</v>
      </c>
      <c r="F812" s="31" t="s">
        <v>128</v>
      </c>
      <c r="G812" s="31">
        <v>2442</v>
      </c>
      <c r="H812" s="31" t="s">
        <v>160</v>
      </c>
      <c r="J812" s="38">
        <v>0</v>
      </c>
    </row>
    <row r="813" spans="1:10" x14ac:dyDescent="0.35">
      <c r="A813" s="31">
        <v>406</v>
      </c>
      <c r="B813" s="19" t="s">
        <v>17</v>
      </c>
      <c r="C813" s="19"/>
      <c r="D813" s="37">
        <v>45899</v>
      </c>
      <c r="E813" s="31" t="s">
        <v>623</v>
      </c>
      <c r="F813" s="31" t="s">
        <v>128</v>
      </c>
      <c r="G813" s="31">
        <v>2442</v>
      </c>
      <c r="H813" s="31" t="s">
        <v>160</v>
      </c>
      <c r="I813" s="38">
        <v>0</v>
      </c>
    </row>
    <row r="814" spans="1:10" x14ac:dyDescent="0.35">
      <c r="A814" s="31">
        <v>406.5</v>
      </c>
      <c r="B814" s="19"/>
      <c r="C814" s="19" t="s">
        <v>22</v>
      </c>
      <c r="D814" s="37">
        <v>45899</v>
      </c>
      <c r="E814" s="31" t="s">
        <v>623</v>
      </c>
      <c r="F814" s="31" t="s">
        <v>128</v>
      </c>
      <c r="G814" s="31">
        <v>2442</v>
      </c>
      <c r="H814" s="31" t="s">
        <v>160</v>
      </c>
      <c r="J814" s="38">
        <v>0</v>
      </c>
    </row>
    <row r="815" spans="1:10" x14ac:dyDescent="0.35">
      <c r="A815" s="31">
        <v>407</v>
      </c>
      <c r="B815" s="19" t="s">
        <v>17</v>
      </c>
      <c r="C815" s="19"/>
      <c r="D815" s="37">
        <v>45899</v>
      </c>
      <c r="E815" s="31" t="s">
        <v>624</v>
      </c>
      <c r="F815" s="31" t="s">
        <v>128</v>
      </c>
      <c r="G815" s="31">
        <v>2442</v>
      </c>
      <c r="H815" s="31" t="s">
        <v>160</v>
      </c>
      <c r="I815" s="38">
        <v>0</v>
      </c>
    </row>
    <row r="816" spans="1:10" x14ac:dyDescent="0.35">
      <c r="A816" s="31">
        <v>407.5</v>
      </c>
      <c r="B816" s="19"/>
      <c r="C816" s="19" t="s">
        <v>22</v>
      </c>
      <c r="D816" s="37">
        <v>45899</v>
      </c>
      <c r="E816" s="31" t="s">
        <v>624</v>
      </c>
      <c r="F816" s="31" t="s">
        <v>128</v>
      </c>
      <c r="G816" s="31">
        <v>2442</v>
      </c>
      <c r="H816" s="31" t="s">
        <v>160</v>
      </c>
      <c r="J816" s="38">
        <v>0</v>
      </c>
    </row>
    <row r="817" spans="1:10" x14ac:dyDescent="0.35">
      <c r="A817" s="31">
        <v>408</v>
      </c>
      <c r="B817" s="19" t="s">
        <v>17</v>
      </c>
      <c r="C817" s="19"/>
      <c r="D817" s="37">
        <v>45899</v>
      </c>
      <c r="E817" s="31" t="s">
        <v>625</v>
      </c>
      <c r="F817" s="31" t="s">
        <v>626</v>
      </c>
      <c r="G817" s="31">
        <v>695</v>
      </c>
      <c r="H817" s="31" t="s">
        <v>160</v>
      </c>
      <c r="I817" s="38">
        <v>48.79</v>
      </c>
    </row>
    <row r="818" spans="1:10" x14ac:dyDescent="0.35">
      <c r="A818" s="31">
        <v>408.5</v>
      </c>
      <c r="B818" s="19"/>
      <c r="C818" s="19" t="s">
        <v>22</v>
      </c>
      <c r="D818" s="37">
        <v>45899</v>
      </c>
      <c r="E818" s="31" t="s">
        <v>625</v>
      </c>
      <c r="F818" s="31" t="s">
        <v>626</v>
      </c>
      <c r="G818" s="31">
        <v>695</v>
      </c>
      <c r="H818" s="31" t="s">
        <v>160</v>
      </c>
      <c r="J818" s="38">
        <v>48.79</v>
      </c>
    </row>
    <row r="819" spans="1:10" x14ac:dyDescent="0.35">
      <c r="A819" s="31">
        <v>409</v>
      </c>
      <c r="B819" s="19" t="s">
        <v>17</v>
      </c>
      <c r="C819" s="19"/>
      <c r="D819" s="37">
        <v>45899</v>
      </c>
      <c r="E819" s="31" t="s">
        <v>627</v>
      </c>
      <c r="F819" s="31" t="s">
        <v>626</v>
      </c>
      <c r="G819" s="31">
        <v>695</v>
      </c>
      <c r="H819" s="31" t="s">
        <v>160</v>
      </c>
      <c r="I819" s="38">
        <v>8.92</v>
      </c>
    </row>
    <row r="820" spans="1:10" x14ac:dyDescent="0.35">
      <c r="A820" s="31">
        <v>409.5</v>
      </c>
      <c r="B820" s="19"/>
      <c r="C820" s="19" t="s">
        <v>22</v>
      </c>
      <c r="D820" s="37">
        <v>45899</v>
      </c>
      <c r="E820" s="31" t="s">
        <v>627</v>
      </c>
      <c r="F820" s="31" t="s">
        <v>626</v>
      </c>
      <c r="G820" s="31">
        <v>695</v>
      </c>
      <c r="H820" s="31" t="s">
        <v>160</v>
      </c>
      <c r="J820" s="38">
        <v>8.92</v>
      </c>
    </row>
    <row r="821" spans="1:10" x14ac:dyDescent="0.35">
      <c r="A821" s="31">
        <v>410</v>
      </c>
      <c r="B821" s="19" t="s">
        <v>17</v>
      </c>
      <c r="C821" s="19"/>
      <c r="D821" s="37">
        <v>45899</v>
      </c>
      <c r="E821" s="31" t="s">
        <v>628</v>
      </c>
      <c r="F821" s="31" t="s">
        <v>82</v>
      </c>
      <c r="G821" s="31">
        <v>2571</v>
      </c>
      <c r="H821" s="31" t="s">
        <v>160</v>
      </c>
      <c r="I821" s="38">
        <v>0</v>
      </c>
    </row>
    <row r="822" spans="1:10" x14ac:dyDescent="0.35">
      <c r="A822" s="31">
        <v>410.5</v>
      </c>
      <c r="B822" s="19"/>
      <c r="C822" s="19" t="s">
        <v>22</v>
      </c>
      <c r="D822" s="37">
        <v>45899</v>
      </c>
      <c r="E822" s="31" t="s">
        <v>628</v>
      </c>
      <c r="F822" s="31" t="s">
        <v>82</v>
      </c>
      <c r="G822" s="31">
        <v>2571</v>
      </c>
      <c r="H822" s="31" t="s">
        <v>160</v>
      </c>
      <c r="J822" s="38">
        <v>0</v>
      </c>
    </row>
    <row r="823" spans="1:10" x14ac:dyDescent="0.35">
      <c r="A823" s="31">
        <v>411</v>
      </c>
      <c r="B823" s="19" t="s">
        <v>17</v>
      </c>
      <c r="C823" s="19"/>
      <c r="D823" s="37">
        <v>45899</v>
      </c>
      <c r="E823" s="31" t="s">
        <v>629</v>
      </c>
      <c r="F823" s="31" t="s">
        <v>82</v>
      </c>
      <c r="G823" s="31">
        <v>2571</v>
      </c>
      <c r="H823" s="31" t="s">
        <v>160</v>
      </c>
      <c r="I823" s="38">
        <v>0</v>
      </c>
    </row>
    <row r="824" spans="1:10" x14ac:dyDescent="0.35">
      <c r="A824" s="31">
        <v>411.5</v>
      </c>
      <c r="B824" s="19"/>
      <c r="C824" s="19" t="s">
        <v>22</v>
      </c>
      <c r="D824" s="37">
        <v>45899</v>
      </c>
      <c r="E824" s="31" t="s">
        <v>629</v>
      </c>
      <c r="F824" s="31" t="s">
        <v>82</v>
      </c>
      <c r="G824" s="31">
        <v>2571</v>
      </c>
      <c r="H824" s="31" t="s">
        <v>160</v>
      </c>
      <c r="J824" s="38">
        <v>0</v>
      </c>
    </row>
    <row r="825" spans="1:10" x14ac:dyDescent="0.35">
      <c r="A825" s="31">
        <v>412</v>
      </c>
      <c r="B825" s="19" t="s">
        <v>17</v>
      </c>
      <c r="C825" s="19"/>
      <c r="D825" s="37">
        <v>45899</v>
      </c>
      <c r="E825" s="31" t="s">
        <v>630</v>
      </c>
      <c r="F825" s="31" t="s">
        <v>82</v>
      </c>
      <c r="G825" s="31">
        <v>2571</v>
      </c>
      <c r="H825" s="31" t="s">
        <v>160</v>
      </c>
      <c r="I825" s="38">
        <v>0</v>
      </c>
    </row>
    <row r="826" spans="1:10" x14ac:dyDescent="0.35">
      <c r="A826" s="31">
        <v>412.5</v>
      </c>
      <c r="B826" s="19"/>
      <c r="C826" s="19" t="s">
        <v>22</v>
      </c>
      <c r="D826" s="37">
        <v>45899</v>
      </c>
      <c r="E826" s="31" t="s">
        <v>630</v>
      </c>
      <c r="F826" s="31" t="s">
        <v>82</v>
      </c>
      <c r="G826" s="31">
        <v>2571</v>
      </c>
      <c r="H826" s="31" t="s">
        <v>160</v>
      </c>
      <c r="J826" s="38">
        <v>0</v>
      </c>
    </row>
    <row r="827" spans="1:10" x14ac:dyDescent="0.35">
      <c r="A827" s="31">
        <v>413</v>
      </c>
      <c r="B827" s="19" t="s">
        <v>17</v>
      </c>
      <c r="C827" s="19"/>
      <c r="D827" s="37">
        <v>45899</v>
      </c>
      <c r="E827" s="31" t="s">
        <v>631</v>
      </c>
      <c r="F827" s="31" t="s">
        <v>233</v>
      </c>
      <c r="G827" s="31">
        <v>3346</v>
      </c>
      <c r="H827" s="31" t="s">
        <v>160</v>
      </c>
      <c r="I827" s="38">
        <v>0</v>
      </c>
    </row>
    <row r="828" spans="1:10" x14ac:dyDescent="0.35">
      <c r="A828" s="31">
        <v>413.5</v>
      </c>
      <c r="B828" s="19"/>
      <c r="C828" s="19" t="s">
        <v>22</v>
      </c>
      <c r="D828" s="37">
        <v>45899</v>
      </c>
      <c r="E828" s="31" t="s">
        <v>631</v>
      </c>
      <c r="F828" s="31" t="s">
        <v>233</v>
      </c>
      <c r="G828" s="31">
        <v>3346</v>
      </c>
      <c r="H828" s="31" t="s">
        <v>160</v>
      </c>
      <c r="J828" s="38">
        <v>0</v>
      </c>
    </row>
    <row r="829" spans="1:10" x14ac:dyDescent="0.35">
      <c r="A829" s="31">
        <v>414</v>
      </c>
      <c r="B829" s="19" t="s">
        <v>17</v>
      </c>
      <c r="C829" s="19"/>
      <c r="D829" s="37">
        <v>45899</v>
      </c>
      <c r="E829" s="31" t="s">
        <v>632</v>
      </c>
      <c r="F829" s="31" t="s">
        <v>233</v>
      </c>
      <c r="G829" s="31">
        <v>3346</v>
      </c>
      <c r="H829" s="31" t="s">
        <v>160</v>
      </c>
      <c r="I829" s="38">
        <v>0</v>
      </c>
    </row>
    <row r="830" spans="1:10" x14ac:dyDescent="0.35">
      <c r="A830" s="31">
        <v>414.5</v>
      </c>
      <c r="B830" s="19"/>
      <c r="C830" s="19" t="s">
        <v>22</v>
      </c>
      <c r="D830" s="37">
        <v>45899</v>
      </c>
      <c r="E830" s="31" t="s">
        <v>632</v>
      </c>
      <c r="F830" s="31" t="s">
        <v>233</v>
      </c>
      <c r="G830" s="31">
        <v>3346</v>
      </c>
      <c r="H830" s="31" t="s">
        <v>160</v>
      </c>
      <c r="J830" s="38">
        <v>0</v>
      </c>
    </row>
    <row r="831" spans="1:10" x14ac:dyDescent="0.35">
      <c r="A831" s="31">
        <v>415</v>
      </c>
      <c r="B831" s="19" t="s">
        <v>17</v>
      </c>
      <c r="C831" s="19"/>
      <c r="D831" s="37">
        <v>45899</v>
      </c>
      <c r="E831" s="31" t="s">
        <v>633</v>
      </c>
      <c r="F831" s="31" t="s">
        <v>233</v>
      </c>
      <c r="G831" s="31">
        <v>3346</v>
      </c>
      <c r="H831" s="31" t="s">
        <v>160</v>
      </c>
      <c r="I831" s="38">
        <v>0</v>
      </c>
    </row>
    <row r="832" spans="1:10" x14ac:dyDescent="0.35">
      <c r="A832" s="31">
        <v>415.5</v>
      </c>
      <c r="B832" s="19"/>
      <c r="C832" s="19" t="s">
        <v>22</v>
      </c>
      <c r="D832" s="37">
        <v>45899</v>
      </c>
      <c r="E832" s="31" t="s">
        <v>633</v>
      </c>
      <c r="F832" s="31" t="s">
        <v>233</v>
      </c>
      <c r="G832" s="31">
        <v>3346</v>
      </c>
      <c r="H832" s="31" t="s">
        <v>160</v>
      </c>
      <c r="J832" s="38">
        <v>0</v>
      </c>
    </row>
    <row r="833" spans="1:10" x14ac:dyDescent="0.35">
      <c r="A833" s="31">
        <v>416</v>
      </c>
      <c r="B833" s="19" t="s">
        <v>17</v>
      </c>
      <c r="C833" s="19"/>
      <c r="D833" s="37">
        <v>45899</v>
      </c>
      <c r="E833" s="31" t="s">
        <v>634</v>
      </c>
      <c r="F833" s="31" t="s">
        <v>635</v>
      </c>
      <c r="G833" s="31">
        <v>3325</v>
      </c>
      <c r="H833" s="31" t="s">
        <v>160</v>
      </c>
      <c r="I833" s="38">
        <v>0</v>
      </c>
    </row>
    <row r="834" spans="1:10" x14ac:dyDescent="0.35">
      <c r="A834" s="31">
        <v>416.5</v>
      </c>
      <c r="B834" s="19"/>
      <c r="C834" s="19" t="s">
        <v>22</v>
      </c>
      <c r="D834" s="37">
        <v>45899</v>
      </c>
      <c r="E834" s="31" t="s">
        <v>634</v>
      </c>
      <c r="F834" s="31" t="s">
        <v>635</v>
      </c>
      <c r="G834" s="31">
        <v>3325</v>
      </c>
      <c r="H834" s="31" t="s">
        <v>160</v>
      </c>
      <c r="J834" s="38">
        <v>0</v>
      </c>
    </row>
    <row r="835" spans="1:10" x14ac:dyDescent="0.35">
      <c r="A835" s="31">
        <v>417</v>
      </c>
      <c r="B835" s="19" t="s">
        <v>17</v>
      </c>
      <c r="C835" s="19"/>
      <c r="D835" s="37">
        <v>45899</v>
      </c>
      <c r="E835" s="31" t="s">
        <v>636</v>
      </c>
      <c r="F835" s="31" t="s">
        <v>635</v>
      </c>
      <c r="G835" s="31">
        <v>3325</v>
      </c>
      <c r="H835" s="31" t="s">
        <v>160</v>
      </c>
      <c r="I835" s="38">
        <v>0</v>
      </c>
    </row>
    <row r="836" spans="1:10" x14ac:dyDescent="0.35">
      <c r="A836" s="31">
        <v>417.5</v>
      </c>
      <c r="B836" s="19"/>
      <c r="C836" s="19" t="s">
        <v>22</v>
      </c>
      <c r="D836" s="37">
        <v>45899</v>
      </c>
      <c r="E836" s="31" t="s">
        <v>636</v>
      </c>
      <c r="F836" s="31" t="s">
        <v>635</v>
      </c>
      <c r="G836" s="31">
        <v>3325</v>
      </c>
      <c r="H836" s="31" t="s">
        <v>160</v>
      </c>
      <c r="J836" s="38">
        <v>0</v>
      </c>
    </row>
    <row r="837" spans="1:10" x14ac:dyDescent="0.35">
      <c r="A837" s="31">
        <v>418</v>
      </c>
      <c r="B837" s="19" t="s">
        <v>17</v>
      </c>
      <c r="C837" s="19"/>
      <c r="D837" s="37">
        <v>45899</v>
      </c>
      <c r="E837" s="31" t="s">
        <v>637</v>
      </c>
      <c r="F837" s="31" t="s">
        <v>635</v>
      </c>
      <c r="G837" s="31">
        <v>3325</v>
      </c>
      <c r="H837" s="31" t="s">
        <v>160</v>
      </c>
      <c r="I837" s="38">
        <v>0</v>
      </c>
    </row>
    <row r="838" spans="1:10" x14ac:dyDescent="0.35">
      <c r="A838" s="31">
        <v>418.5</v>
      </c>
      <c r="B838" s="19"/>
      <c r="C838" s="19" t="s">
        <v>22</v>
      </c>
      <c r="D838" s="37">
        <v>45899</v>
      </c>
      <c r="E838" s="31" t="s">
        <v>637</v>
      </c>
      <c r="F838" s="31" t="s">
        <v>635</v>
      </c>
      <c r="G838" s="31">
        <v>3325</v>
      </c>
      <c r="H838" s="31" t="s">
        <v>160</v>
      </c>
      <c r="J838" s="38">
        <v>0</v>
      </c>
    </row>
    <row r="839" spans="1:10" x14ac:dyDescent="0.35">
      <c r="A839" s="31">
        <v>419</v>
      </c>
      <c r="B839" s="19" t="s">
        <v>17</v>
      </c>
      <c r="C839" s="19"/>
      <c r="D839" s="37">
        <v>45899</v>
      </c>
      <c r="E839" s="31" t="s">
        <v>638</v>
      </c>
      <c r="F839" s="31" t="s">
        <v>635</v>
      </c>
      <c r="G839" s="31">
        <v>3325</v>
      </c>
      <c r="H839" s="31" t="s">
        <v>160</v>
      </c>
      <c r="I839" s="38">
        <v>0</v>
      </c>
    </row>
    <row r="840" spans="1:10" x14ac:dyDescent="0.35">
      <c r="A840" s="31">
        <v>419.5</v>
      </c>
      <c r="B840" s="19"/>
      <c r="C840" s="19" t="s">
        <v>22</v>
      </c>
      <c r="D840" s="37">
        <v>45899</v>
      </c>
      <c r="E840" s="31" t="s">
        <v>638</v>
      </c>
      <c r="F840" s="31" t="s">
        <v>635</v>
      </c>
      <c r="G840" s="31">
        <v>3325</v>
      </c>
      <c r="H840" s="31" t="s">
        <v>160</v>
      </c>
      <c r="J840" s="38">
        <v>0</v>
      </c>
    </row>
    <row r="841" spans="1:10" x14ac:dyDescent="0.35">
      <c r="A841" s="31">
        <v>420</v>
      </c>
      <c r="B841" s="19" t="s">
        <v>17</v>
      </c>
      <c r="C841" s="19"/>
      <c r="D841" s="37">
        <v>45899</v>
      </c>
      <c r="E841" s="31" t="s">
        <v>639</v>
      </c>
      <c r="F841" s="31" t="s">
        <v>235</v>
      </c>
      <c r="G841" s="31">
        <v>2705</v>
      </c>
      <c r="H841" s="31" t="s">
        <v>160</v>
      </c>
      <c r="I841" s="38">
        <v>600</v>
      </c>
    </row>
    <row r="842" spans="1:10" x14ac:dyDescent="0.35">
      <c r="A842" s="31">
        <v>420.5</v>
      </c>
      <c r="B842" s="19"/>
      <c r="C842" s="19" t="s">
        <v>22</v>
      </c>
      <c r="D842" s="37">
        <v>45899</v>
      </c>
      <c r="E842" s="31" t="s">
        <v>639</v>
      </c>
      <c r="F842" s="31" t="s">
        <v>235</v>
      </c>
      <c r="G842" s="31">
        <v>2705</v>
      </c>
      <c r="H842" s="31" t="s">
        <v>160</v>
      </c>
      <c r="J842" s="38">
        <v>600</v>
      </c>
    </row>
    <row r="843" spans="1:10" x14ac:dyDescent="0.35">
      <c r="A843" s="31">
        <v>421</v>
      </c>
      <c r="B843" s="19" t="s">
        <v>17</v>
      </c>
      <c r="C843" s="19"/>
      <c r="D843" s="37">
        <v>45899</v>
      </c>
      <c r="E843" s="31" t="s">
        <v>640</v>
      </c>
      <c r="F843" s="31" t="s">
        <v>235</v>
      </c>
      <c r="G843" s="31">
        <v>2705</v>
      </c>
      <c r="H843" s="31" t="s">
        <v>160</v>
      </c>
      <c r="I843" s="38">
        <v>0</v>
      </c>
    </row>
    <row r="844" spans="1:10" x14ac:dyDescent="0.35">
      <c r="A844" s="31">
        <v>421.5</v>
      </c>
      <c r="B844" s="19"/>
      <c r="C844" s="19" t="s">
        <v>22</v>
      </c>
      <c r="D844" s="37">
        <v>45899</v>
      </c>
      <c r="E844" s="31" t="s">
        <v>640</v>
      </c>
      <c r="F844" s="31" t="s">
        <v>235</v>
      </c>
      <c r="G844" s="31">
        <v>2705</v>
      </c>
      <c r="H844" s="31" t="s">
        <v>160</v>
      </c>
      <c r="J844" s="38">
        <v>0</v>
      </c>
    </row>
    <row r="845" spans="1:10" x14ac:dyDescent="0.35">
      <c r="A845" s="31">
        <v>422</v>
      </c>
      <c r="B845" s="19" t="s">
        <v>17</v>
      </c>
      <c r="C845" s="19"/>
      <c r="D845" s="37">
        <v>45899</v>
      </c>
      <c r="E845" s="31" t="s">
        <v>641</v>
      </c>
      <c r="F845" s="31" t="s">
        <v>235</v>
      </c>
      <c r="G845" s="31">
        <v>2705</v>
      </c>
      <c r="H845" s="31" t="s">
        <v>160</v>
      </c>
      <c r="I845" s="38">
        <v>0</v>
      </c>
    </row>
    <row r="846" spans="1:10" x14ac:dyDescent="0.35">
      <c r="A846" s="31">
        <v>422.5</v>
      </c>
      <c r="B846" s="19"/>
      <c r="C846" s="19" t="s">
        <v>22</v>
      </c>
      <c r="D846" s="37">
        <v>45899</v>
      </c>
      <c r="E846" s="31" t="s">
        <v>641</v>
      </c>
      <c r="F846" s="31" t="s">
        <v>235</v>
      </c>
      <c r="G846" s="31">
        <v>2705</v>
      </c>
      <c r="H846" s="31" t="s">
        <v>160</v>
      </c>
      <c r="J846" s="38">
        <v>0</v>
      </c>
    </row>
    <row r="847" spans="1:10" x14ac:dyDescent="0.35">
      <c r="A847" s="31">
        <v>423</v>
      </c>
      <c r="B847" s="19" t="s">
        <v>17</v>
      </c>
      <c r="C847" s="19"/>
      <c r="D847" s="37">
        <v>45899</v>
      </c>
      <c r="E847" s="31" t="s">
        <v>642</v>
      </c>
      <c r="F847" s="31" t="s">
        <v>235</v>
      </c>
      <c r="G847" s="31">
        <v>2705</v>
      </c>
      <c r="H847" s="31" t="s">
        <v>160</v>
      </c>
      <c r="I847" s="38">
        <v>0</v>
      </c>
    </row>
    <row r="848" spans="1:10" x14ac:dyDescent="0.35">
      <c r="A848" s="31">
        <v>423.5</v>
      </c>
      <c r="B848" s="19"/>
      <c r="C848" s="19" t="s">
        <v>22</v>
      </c>
      <c r="D848" s="37">
        <v>45899</v>
      </c>
      <c r="E848" s="31" t="s">
        <v>642</v>
      </c>
      <c r="F848" s="31" t="s">
        <v>235</v>
      </c>
      <c r="G848" s="31">
        <v>2705</v>
      </c>
      <c r="H848" s="31" t="s">
        <v>160</v>
      </c>
      <c r="J848" s="38">
        <v>0</v>
      </c>
    </row>
    <row r="849" spans="1:10" x14ac:dyDescent="0.35">
      <c r="A849" s="31">
        <v>424</v>
      </c>
      <c r="B849" s="19" t="s">
        <v>17</v>
      </c>
      <c r="C849" s="19"/>
      <c r="D849" s="37">
        <v>45899</v>
      </c>
      <c r="E849" s="31" t="s">
        <v>643</v>
      </c>
      <c r="F849" s="31" t="s">
        <v>235</v>
      </c>
      <c r="G849" s="31">
        <v>2705</v>
      </c>
      <c r="H849" s="31" t="s">
        <v>160</v>
      </c>
      <c r="I849" s="38">
        <v>0</v>
      </c>
    </row>
    <row r="850" spans="1:10" x14ac:dyDescent="0.35">
      <c r="A850" s="31">
        <v>424.5</v>
      </c>
      <c r="B850" s="19"/>
      <c r="C850" s="19" t="s">
        <v>22</v>
      </c>
      <c r="D850" s="37">
        <v>45899</v>
      </c>
      <c r="E850" s="31" t="s">
        <v>643</v>
      </c>
      <c r="F850" s="31" t="s">
        <v>235</v>
      </c>
      <c r="G850" s="31">
        <v>2705</v>
      </c>
      <c r="H850" s="31" t="s">
        <v>160</v>
      </c>
      <c r="J850" s="38">
        <v>0</v>
      </c>
    </row>
    <row r="851" spans="1:10" x14ac:dyDescent="0.35">
      <c r="A851" s="31">
        <v>425</v>
      </c>
      <c r="B851" s="19" t="s">
        <v>17</v>
      </c>
      <c r="C851" s="19"/>
      <c r="D851" s="37">
        <v>45899</v>
      </c>
      <c r="E851" s="31" t="s">
        <v>644</v>
      </c>
      <c r="F851" s="31" t="s">
        <v>235</v>
      </c>
      <c r="G851" s="31">
        <v>2705</v>
      </c>
      <c r="H851" s="31" t="s">
        <v>160</v>
      </c>
      <c r="I851" s="38">
        <v>0</v>
      </c>
    </row>
    <row r="852" spans="1:10" x14ac:dyDescent="0.35">
      <c r="A852" s="31">
        <v>425.5</v>
      </c>
      <c r="B852" s="19"/>
      <c r="C852" s="19" t="s">
        <v>22</v>
      </c>
      <c r="D852" s="37">
        <v>45899</v>
      </c>
      <c r="E852" s="31" t="s">
        <v>644</v>
      </c>
      <c r="F852" s="31" t="s">
        <v>235</v>
      </c>
      <c r="G852" s="31">
        <v>2705</v>
      </c>
      <c r="H852" s="31" t="s">
        <v>160</v>
      </c>
      <c r="J852" s="38">
        <v>0</v>
      </c>
    </row>
    <row r="853" spans="1:10" x14ac:dyDescent="0.35">
      <c r="A853" s="31">
        <v>426</v>
      </c>
      <c r="B853" s="19" t="s">
        <v>17</v>
      </c>
      <c r="C853" s="19"/>
      <c r="D853" s="37">
        <v>45899</v>
      </c>
      <c r="E853" s="31" t="s">
        <v>645</v>
      </c>
      <c r="F853" s="31" t="s">
        <v>235</v>
      </c>
      <c r="G853" s="31">
        <v>2705</v>
      </c>
      <c r="H853" s="31" t="s">
        <v>160</v>
      </c>
      <c r="I853" s="38">
        <v>0</v>
      </c>
    </row>
    <row r="854" spans="1:10" x14ac:dyDescent="0.35">
      <c r="A854" s="31">
        <v>426.5</v>
      </c>
      <c r="B854" s="19"/>
      <c r="C854" s="19" t="s">
        <v>22</v>
      </c>
      <c r="D854" s="37">
        <v>45899</v>
      </c>
      <c r="E854" s="31" t="s">
        <v>645</v>
      </c>
      <c r="F854" s="31" t="s">
        <v>235</v>
      </c>
      <c r="G854" s="31">
        <v>2705</v>
      </c>
      <c r="H854" s="31" t="s">
        <v>160</v>
      </c>
      <c r="J854" s="38">
        <v>0</v>
      </c>
    </row>
    <row r="855" spans="1:10" x14ac:dyDescent="0.35">
      <c r="A855" s="31">
        <v>427</v>
      </c>
      <c r="B855" s="19" t="s">
        <v>17</v>
      </c>
      <c r="C855" s="19"/>
      <c r="D855" s="37">
        <v>45899</v>
      </c>
      <c r="E855" s="31" t="s">
        <v>646</v>
      </c>
      <c r="F855" s="31" t="s">
        <v>235</v>
      </c>
      <c r="G855" s="31">
        <v>2705</v>
      </c>
      <c r="H855" s="31" t="s">
        <v>160</v>
      </c>
      <c r="I855" s="38">
        <v>0</v>
      </c>
    </row>
    <row r="856" spans="1:10" x14ac:dyDescent="0.35">
      <c r="A856" s="31">
        <v>427.5</v>
      </c>
      <c r="B856" s="19"/>
      <c r="C856" s="19" t="s">
        <v>22</v>
      </c>
      <c r="D856" s="37">
        <v>45899</v>
      </c>
      <c r="E856" s="31" t="s">
        <v>646</v>
      </c>
      <c r="F856" s="31" t="s">
        <v>235</v>
      </c>
      <c r="G856" s="31">
        <v>2705</v>
      </c>
      <c r="H856" s="31" t="s">
        <v>160</v>
      </c>
      <c r="J856" s="38">
        <v>0</v>
      </c>
    </row>
    <row r="857" spans="1:10" x14ac:dyDescent="0.35">
      <c r="A857" s="31">
        <v>428</v>
      </c>
      <c r="B857" s="19" t="s">
        <v>17</v>
      </c>
      <c r="C857" s="19"/>
      <c r="D857" s="37">
        <v>45899</v>
      </c>
      <c r="E857" s="31" t="s">
        <v>647</v>
      </c>
      <c r="F857" s="31" t="s">
        <v>235</v>
      </c>
      <c r="G857" s="31">
        <v>2705</v>
      </c>
      <c r="H857" s="31" t="s">
        <v>160</v>
      </c>
      <c r="I857" s="38">
        <v>0</v>
      </c>
    </row>
    <row r="858" spans="1:10" x14ac:dyDescent="0.35">
      <c r="A858" s="31">
        <v>428.5</v>
      </c>
      <c r="B858" s="19"/>
      <c r="C858" s="19" t="s">
        <v>22</v>
      </c>
      <c r="D858" s="37">
        <v>45899</v>
      </c>
      <c r="E858" s="31" t="s">
        <v>647</v>
      </c>
      <c r="F858" s="31" t="s">
        <v>235</v>
      </c>
      <c r="G858" s="31">
        <v>2705</v>
      </c>
      <c r="H858" s="31" t="s">
        <v>160</v>
      </c>
      <c r="J858" s="38">
        <v>0</v>
      </c>
    </row>
    <row r="859" spans="1:10" x14ac:dyDescent="0.35">
      <c r="A859" s="31">
        <v>429</v>
      </c>
      <c r="B859" s="19" t="s">
        <v>17</v>
      </c>
      <c r="C859" s="19"/>
      <c r="D859" s="37">
        <v>45899</v>
      </c>
      <c r="E859" s="31" t="s">
        <v>648</v>
      </c>
      <c r="F859" s="31" t="s">
        <v>235</v>
      </c>
      <c r="G859" s="31">
        <v>2705</v>
      </c>
      <c r="H859" s="31" t="s">
        <v>160</v>
      </c>
      <c r="I859" s="38">
        <v>0</v>
      </c>
    </row>
    <row r="860" spans="1:10" x14ac:dyDescent="0.35">
      <c r="A860" s="31">
        <v>429.5</v>
      </c>
      <c r="B860" s="19"/>
      <c r="C860" s="19" t="s">
        <v>22</v>
      </c>
      <c r="D860" s="37">
        <v>45899</v>
      </c>
      <c r="E860" s="31" t="s">
        <v>648</v>
      </c>
      <c r="F860" s="31" t="s">
        <v>235</v>
      </c>
      <c r="G860" s="31">
        <v>2705</v>
      </c>
      <c r="H860" s="31" t="s">
        <v>160</v>
      </c>
      <c r="J860" s="38">
        <v>0</v>
      </c>
    </row>
    <row r="861" spans="1:10" x14ac:dyDescent="0.35">
      <c r="A861" s="31">
        <v>430</v>
      </c>
      <c r="B861" s="19" t="s">
        <v>17</v>
      </c>
      <c r="C861" s="19"/>
      <c r="D861" s="37">
        <v>45899</v>
      </c>
      <c r="E861" s="31" t="s">
        <v>649</v>
      </c>
      <c r="F861" s="31" t="s">
        <v>131</v>
      </c>
      <c r="G861" s="31">
        <v>464</v>
      </c>
      <c r="H861" s="31" t="s">
        <v>160</v>
      </c>
      <c r="I861" s="38">
        <v>0</v>
      </c>
    </row>
    <row r="862" spans="1:10" x14ac:dyDescent="0.35">
      <c r="A862" s="31">
        <v>430.5</v>
      </c>
      <c r="B862" s="19"/>
      <c r="C862" s="19" t="s">
        <v>22</v>
      </c>
      <c r="D862" s="37">
        <v>45899</v>
      </c>
      <c r="E862" s="31" t="s">
        <v>649</v>
      </c>
      <c r="F862" s="31" t="s">
        <v>131</v>
      </c>
      <c r="G862" s="31">
        <v>464</v>
      </c>
      <c r="H862" s="31" t="s">
        <v>160</v>
      </c>
      <c r="J862" s="38">
        <v>0</v>
      </c>
    </row>
    <row r="863" spans="1:10" x14ac:dyDescent="0.35">
      <c r="A863" s="31">
        <v>431</v>
      </c>
      <c r="B863" s="19" t="s">
        <v>17</v>
      </c>
      <c r="C863" s="19"/>
      <c r="D863" s="37">
        <v>45899</v>
      </c>
      <c r="E863" s="31" t="s">
        <v>650</v>
      </c>
      <c r="F863" s="31" t="s">
        <v>651</v>
      </c>
      <c r="G863" s="31">
        <v>603</v>
      </c>
      <c r="H863" s="31" t="s">
        <v>160</v>
      </c>
      <c r="I863" s="38">
        <v>0</v>
      </c>
    </row>
    <row r="864" spans="1:10" x14ac:dyDescent="0.35">
      <c r="A864" s="31">
        <v>431.5</v>
      </c>
      <c r="B864" s="19"/>
      <c r="C864" s="19" t="s">
        <v>22</v>
      </c>
      <c r="D864" s="37">
        <v>45899</v>
      </c>
      <c r="E864" s="31" t="s">
        <v>650</v>
      </c>
      <c r="F864" s="31" t="s">
        <v>651</v>
      </c>
      <c r="G864" s="31">
        <v>603</v>
      </c>
      <c r="H864" s="31" t="s">
        <v>160</v>
      </c>
      <c r="J864" s="38">
        <v>0</v>
      </c>
    </row>
    <row r="865" spans="1:10" x14ac:dyDescent="0.35">
      <c r="A865" s="31">
        <v>432</v>
      </c>
      <c r="B865" s="19" t="s">
        <v>17</v>
      </c>
      <c r="C865" s="19"/>
      <c r="D865" s="37">
        <v>45899</v>
      </c>
      <c r="E865" s="31" t="s">
        <v>652</v>
      </c>
      <c r="F865" s="31" t="s">
        <v>57</v>
      </c>
      <c r="G865" s="31">
        <v>3330</v>
      </c>
      <c r="H865" s="31" t="s">
        <v>160</v>
      </c>
      <c r="I865" s="38">
        <v>0</v>
      </c>
    </row>
    <row r="866" spans="1:10" x14ac:dyDescent="0.35">
      <c r="A866" s="31">
        <v>432.5</v>
      </c>
      <c r="B866" s="19"/>
      <c r="C866" s="19" t="s">
        <v>22</v>
      </c>
      <c r="D866" s="37">
        <v>45899</v>
      </c>
      <c r="E866" s="31" t="s">
        <v>652</v>
      </c>
      <c r="F866" s="31" t="s">
        <v>57</v>
      </c>
      <c r="G866" s="31">
        <v>3330</v>
      </c>
      <c r="H866" s="31" t="s">
        <v>160</v>
      </c>
      <c r="J866" s="38">
        <v>0</v>
      </c>
    </row>
    <row r="867" spans="1:10" x14ac:dyDescent="0.35">
      <c r="A867" s="31">
        <v>433</v>
      </c>
      <c r="B867" s="19" t="s">
        <v>17</v>
      </c>
      <c r="C867" s="19"/>
      <c r="D867" s="37">
        <v>45899</v>
      </c>
      <c r="E867" s="31" t="s">
        <v>653</v>
      </c>
      <c r="F867" s="31" t="s">
        <v>131</v>
      </c>
      <c r="G867" s="31">
        <v>464</v>
      </c>
      <c r="H867" s="31" t="s">
        <v>160</v>
      </c>
      <c r="I867" s="38">
        <v>0</v>
      </c>
    </row>
    <row r="868" spans="1:10" x14ac:dyDescent="0.35">
      <c r="A868" s="31">
        <v>433.5</v>
      </c>
      <c r="B868" s="19"/>
      <c r="C868" s="19" t="s">
        <v>22</v>
      </c>
      <c r="D868" s="37">
        <v>45899</v>
      </c>
      <c r="E868" s="31" t="s">
        <v>653</v>
      </c>
      <c r="F868" s="31" t="s">
        <v>131</v>
      </c>
      <c r="G868" s="31">
        <v>464</v>
      </c>
      <c r="H868" s="31" t="s">
        <v>160</v>
      </c>
      <c r="J868" s="38">
        <v>0</v>
      </c>
    </row>
    <row r="869" spans="1:10" x14ac:dyDescent="0.35">
      <c r="A869" s="31">
        <v>434</v>
      </c>
      <c r="B869" s="19" t="s">
        <v>17</v>
      </c>
      <c r="C869" s="19"/>
      <c r="D869" s="37">
        <v>45899</v>
      </c>
      <c r="E869" s="31" t="s">
        <v>654</v>
      </c>
      <c r="F869" s="31" t="s">
        <v>655</v>
      </c>
      <c r="G869" s="31">
        <v>2712</v>
      </c>
      <c r="H869" s="31" t="s">
        <v>160</v>
      </c>
      <c r="I869" s="38">
        <v>0</v>
      </c>
    </row>
    <row r="870" spans="1:10" x14ac:dyDescent="0.35">
      <c r="A870" s="31">
        <v>434.5</v>
      </c>
      <c r="B870" s="19"/>
      <c r="C870" s="19" t="s">
        <v>22</v>
      </c>
      <c r="D870" s="37">
        <v>45899</v>
      </c>
      <c r="E870" s="31" t="s">
        <v>654</v>
      </c>
      <c r="F870" s="31" t="s">
        <v>655</v>
      </c>
      <c r="G870" s="31">
        <v>2712</v>
      </c>
      <c r="H870" s="31" t="s">
        <v>160</v>
      </c>
      <c r="J870" s="38">
        <v>0</v>
      </c>
    </row>
    <row r="871" spans="1:10" x14ac:dyDescent="0.35">
      <c r="A871" s="31">
        <v>435</v>
      </c>
      <c r="B871" s="19" t="s">
        <v>17</v>
      </c>
      <c r="C871" s="19"/>
      <c r="D871" s="37">
        <v>45899</v>
      </c>
      <c r="E871" s="31" t="s">
        <v>656</v>
      </c>
      <c r="F871" s="31" t="s">
        <v>464</v>
      </c>
      <c r="G871" s="31">
        <v>3543</v>
      </c>
      <c r="H871" s="31" t="s">
        <v>160</v>
      </c>
      <c r="I871" s="38">
        <v>0</v>
      </c>
    </row>
    <row r="872" spans="1:10" x14ac:dyDescent="0.35">
      <c r="A872" s="31">
        <v>435.5</v>
      </c>
      <c r="B872" s="19"/>
      <c r="C872" s="19" t="s">
        <v>22</v>
      </c>
      <c r="D872" s="37">
        <v>45899</v>
      </c>
      <c r="E872" s="31" t="s">
        <v>656</v>
      </c>
      <c r="F872" s="31" t="s">
        <v>464</v>
      </c>
      <c r="G872" s="31">
        <v>3543</v>
      </c>
      <c r="H872" s="31" t="s">
        <v>160</v>
      </c>
      <c r="J872" s="38">
        <v>0</v>
      </c>
    </row>
    <row r="873" spans="1:10" x14ac:dyDescent="0.35">
      <c r="A873" s="31">
        <v>436</v>
      </c>
      <c r="B873" s="19" t="s">
        <v>17</v>
      </c>
      <c r="C873" s="19"/>
      <c r="D873" s="37">
        <v>45899</v>
      </c>
      <c r="E873" s="31" t="s">
        <v>657</v>
      </c>
      <c r="F873" s="31" t="s">
        <v>145</v>
      </c>
      <c r="G873" s="31">
        <v>2713</v>
      </c>
      <c r="H873" s="31" t="s">
        <v>160</v>
      </c>
      <c r="I873" s="38">
        <v>0</v>
      </c>
    </row>
    <row r="874" spans="1:10" x14ac:dyDescent="0.35">
      <c r="A874" s="31">
        <v>436.5</v>
      </c>
      <c r="B874" s="19"/>
      <c r="C874" s="19" t="s">
        <v>22</v>
      </c>
      <c r="D874" s="37">
        <v>45899</v>
      </c>
      <c r="E874" s="31" t="s">
        <v>657</v>
      </c>
      <c r="F874" s="31" t="s">
        <v>145</v>
      </c>
      <c r="G874" s="31">
        <v>2713</v>
      </c>
      <c r="H874" s="31" t="s">
        <v>160</v>
      </c>
      <c r="J874" s="38">
        <v>0</v>
      </c>
    </row>
    <row r="875" spans="1:10" x14ac:dyDescent="0.35">
      <c r="A875" s="31">
        <v>437</v>
      </c>
      <c r="B875" s="19" t="s">
        <v>17</v>
      </c>
      <c r="C875" s="19"/>
      <c r="D875" s="37">
        <v>45899</v>
      </c>
      <c r="E875" s="31" t="s">
        <v>658</v>
      </c>
      <c r="F875" s="31" t="s">
        <v>145</v>
      </c>
      <c r="G875" s="31">
        <v>2713</v>
      </c>
      <c r="H875" s="31" t="s">
        <v>160</v>
      </c>
      <c r="I875" s="38">
        <v>0</v>
      </c>
    </row>
    <row r="876" spans="1:10" x14ac:dyDescent="0.35">
      <c r="A876" s="31">
        <v>437.5</v>
      </c>
      <c r="B876" s="19"/>
      <c r="C876" s="19" t="s">
        <v>22</v>
      </c>
      <c r="D876" s="37">
        <v>45899</v>
      </c>
      <c r="E876" s="31" t="s">
        <v>658</v>
      </c>
      <c r="F876" s="31" t="s">
        <v>145</v>
      </c>
      <c r="G876" s="31">
        <v>2713</v>
      </c>
      <c r="H876" s="31" t="s">
        <v>160</v>
      </c>
      <c r="J876" s="38">
        <v>0</v>
      </c>
    </row>
    <row r="877" spans="1:10" x14ac:dyDescent="0.35">
      <c r="A877" s="31">
        <v>438</v>
      </c>
      <c r="B877" s="19" t="s">
        <v>17</v>
      </c>
      <c r="C877" s="19"/>
      <c r="D877" s="37">
        <v>45899</v>
      </c>
      <c r="E877" s="31" t="s">
        <v>659</v>
      </c>
      <c r="F877" s="31" t="s">
        <v>145</v>
      </c>
      <c r="G877" s="31">
        <v>2713</v>
      </c>
      <c r="H877" s="31" t="s">
        <v>160</v>
      </c>
      <c r="I877" s="38">
        <v>0</v>
      </c>
    </row>
    <row r="878" spans="1:10" x14ac:dyDescent="0.35">
      <c r="A878" s="31">
        <v>438.5</v>
      </c>
      <c r="B878" s="19"/>
      <c r="C878" s="19" t="s">
        <v>22</v>
      </c>
      <c r="D878" s="37">
        <v>45899</v>
      </c>
      <c r="E878" s="31" t="s">
        <v>659</v>
      </c>
      <c r="F878" s="31" t="s">
        <v>145</v>
      </c>
      <c r="G878" s="31">
        <v>2713</v>
      </c>
      <c r="H878" s="31" t="s">
        <v>160</v>
      </c>
      <c r="J878" s="38">
        <v>0</v>
      </c>
    </row>
    <row r="879" spans="1:10" x14ac:dyDescent="0.35">
      <c r="A879" s="31">
        <v>439</v>
      </c>
      <c r="B879" s="19" t="s">
        <v>17</v>
      </c>
      <c r="C879" s="19"/>
      <c r="D879" s="37">
        <v>45899</v>
      </c>
      <c r="E879" s="31" t="s">
        <v>660</v>
      </c>
      <c r="F879" s="31" t="s">
        <v>145</v>
      </c>
      <c r="G879" s="31">
        <v>2713</v>
      </c>
      <c r="H879" s="31" t="s">
        <v>160</v>
      </c>
      <c r="I879" s="38">
        <v>0</v>
      </c>
    </row>
    <row r="880" spans="1:10" x14ac:dyDescent="0.35">
      <c r="A880" s="31">
        <v>439.5</v>
      </c>
      <c r="B880" s="19"/>
      <c r="C880" s="19" t="s">
        <v>22</v>
      </c>
      <c r="D880" s="37">
        <v>45899</v>
      </c>
      <c r="E880" s="31" t="s">
        <v>660</v>
      </c>
      <c r="F880" s="31" t="s">
        <v>145</v>
      </c>
      <c r="G880" s="31">
        <v>2713</v>
      </c>
      <c r="H880" s="31" t="s">
        <v>160</v>
      </c>
      <c r="J880" s="38">
        <v>0</v>
      </c>
    </row>
    <row r="881" spans="1:10" x14ac:dyDescent="0.35">
      <c r="A881" s="31">
        <v>440</v>
      </c>
      <c r="B881" s="19" t="s">
        <v>17</v>
      </c>
      <c r="C881" s="19"/>
      <c r="D881" s="37">
        <v>45899</v>
      </c>
      <c r="E881" s="31" t="s">
        <v>661</v>
      </c>
      <c r="F881" s="31" t="s">
        <v>145</v>
      </c>
      <c r="G881" s="31">
        <v>2713</v>
      </c>
      <c r="H881" s="31" t="s">
        <v>160</v>
      </c>
      <c r="I881" s="38">
        <v>0</v>
      </c>
    </row>
    <row r="882" spans="1:10" x14ac:dyDescent="0.35">
      <c r="A882" s="31">
        <v>440.5</v>
      </c>
      <c r="B882" s="19"/>
      <c r="C882" s="19" t="s">
        <v>22</v>
      </c>
      <c r="D882" s="37">
        <v>45899</v>
      </c>
      <c r="E882" s="31" t="s">
        <v>661</v>
      </c>
      <c r="F882" s="31" t="s">
        <v>145</v>
      </c>
      <c r="G882" s="31">
        <v>2713</v>
      </c>
      <c r="H882" s="31" t="s">
        <v>160</v>
      </c>
      <c r="J882" s="38">
        <v>0</v>
      </c>
    </row>
    <row r="883" spans="1:10" x14ac:dyDescent="0.35">
      <c r="A883" s="31">
        <v>441</v>
      </c>
      <c r="B883" s="19" t="s">
        <v>17</v>
      </c>
      <c r="C883" s="19"/>
      <c r="D883" s="37">
        <v>45899</v>
      </c>
      <c r="E883" s="31" t="s">
        <v>662</v>
      </c>
      <c r="F883" s="31" t="s">
        <v>145</v>
      </c>
      <c r="G883" s="31">
        <v>2713</v>
      </c>
      <c r="H883" s="31" t="s">
        <v>160</v>
      </c>
      <c r="I883" s="38">
        <v>0</v>
      </c>
    </row>
    <row r="884" spans="1:10" x14ac:dyDescent="0.35">
      <c r="A884" s="31">
        <v>441.5</v>
      </c>
      <c r="B884" s="19"/>
      <c r="C884" s="19" t="s">
        <v>22</v>
      </c>
      <c r="D884" s="37">
        <v>45899</v>
      </c>
      <c r="E884" s="31" t="s">
        <v>662</v>
      </c>
      <c r="F884" s="31" t="s">
        <v>145</v>
      </c>
      <c r="G884" s="31">
        <v>2713</v>
      </c>
      <c r="H884" s="31" t="s">
        <v>160</v>
      </c>
      <c r="J884" s="38">
        <v>0</v>
      </c>
    </row>
    <row r="885" spans="1:10" x14ac:dyDescent="0.35">
      <c r="A885" s="31">
        <v>442</v>
      </c>
      <c r="B885" s="19" t="s">
        <v>17</v>
      </c>
      <c r="C885" s="19"/>
      <c r="D885" s="37">
        <v>45899</v>
      </c>
      <c r="E885" s="31" t="s">
        <v>663</v>
      </c>
      <c r="F885" s="31" t="s">
        <v>84</v>
      </c>
      <c r="G885" s="31">
        <v>1708</v>
      </c>
      <c r="H885" s="31" t="s">
        <v>160</v>
      </c>
      <c r="I885" s="38">
        <v>0</v>
      </c>
    </row>
    <row r="886" spans="1:10" x14ac:dyDescent="0.35">
      <c r="A886" s="31">
        <v>442.5</v>
      </c>
      <c r="B886" s="19"/>
      <c r="C886" s="19" t="s">
        <v>22</v>
      </c>
      <c r="D886" s="37">
        <v>45899</v>
      </c>
      <c r="E886" s="31" t="s">
        <v>663</v>
      </c>
      <c r="F886" s="31" t="s">
        <v>84</v>
      </c>
      <c r="G886" s="31">
        <v>1708</v>
      </c>
      <c r="H886" s="31" t="s">
        <v>160</v>
      </c>
      <c r="J886" s="38">
        <v>0</v>
      </c>
    </row>
    <row r="887" spans="1:10" x14ac:dyDescent="0.35">
      <c r="A887" s="31">
        <v>443</v>
      </c>
      <c r="B887" s="19" t="s">
        <v>17</v>
      </c>
      <c r="C887" s="19"/>
      <c r="D887" s="37">
        <v>45899</v>
      </c>
      <c r="E887" s="31" t="s">
        <v>664</v>
      </c>
      <c r="F887" s="31" t="s">
        <v>84</v>
      </c>
      <c r="G887" s="31">
        <v>1708</v>
      </c>
      <c r="H887" s="31" t="s">
        <v>160</v>
      </c>
      <c r="I887" s="38">
        <v>0</v>
      </c>
    </row>
    <row r="888" spans="1:10" x14ac:dyDescent="0.35">
      <c r="A888" s="31">
        <v>443.5</v>
      </c>
      <c r="B888" s="19"/>
      <c r="C888" s="19" t="s">
        <v>22</v>
      </c>
      <c r="D888" s="37">
        <v>45899</v>
      </c>
      <c r="E888" s="31" t="s">
        <v>664</v>
      </c>
      <c r="F888" s="31" t="s">
        <v>84</v>
      </c>
      <c r="G888" s="31">
        <v>1708</v>
      </c>
      <c r="H888" s="31" t="s">
        <v>160</v>
      </c>
      <c r="J888" s="38">
        <v>0</v>
      </c>
    </row>
    <row r="889" spans="1:10" x14ac:dyDescent="0.35">
      <c r="A889" s="31">
        <v>444</v>
      </c>
      <c r="B889" s="19" t="s">
        <v>17</v>
      </c>
      <c r="C889" s="19"/>
      <c r="D889" s="37">
        <v>45899</v>
      </c>
      <c r="E889" s="31" t="s">
        <v>665</v>
      </c>
      <c r="F889" s="31" t="s">
        <v>84</v>
      </c>
      <c r="G889" s="31">
        <v>1708</v>
      </c>
      <c r="H889" s="31" t="s">
        <v>160</v>
      </c>
      <c r="I889" s="38">
        <v>0</v>
      </c>
    </row>
    <row r="890" spans="1:10" x14ac:dyDescent="0.35">
      <c r="A890" s="31">
        <v>444.5</v>
      </c>
      <c r="B890" s="19"/>
      <c r="C890" s="19" t="s">
        <v>22</v>
      </c>
      <c r="D890" s="37">
        <v>45899</v>
      </c>
      <c r="E890" s="31" t="s">
        <v>665</v>
      </c>
      <c r="F890" s="31" t="s">
        <v>84</v>
      </c>
      <c r="G890" s="31">
        <v>1708</v>
      </c>
      <c r="H890" s="31" t="s">
        <v>160</v>
      </c>
      <c r="J890" s="38">
        <v>0</v>
      </c>
    </row>
    <row r="891" spans="1:10" x14ac:dyDescent="0.35">
      <c r="A891" s="31">
        <v>445</v>
      </c>
      <c r="B891" s="19" t="s">
        <v>17</v>
      </c>
      <c r="C891" s="19"/>
      <c r="D891" s="37">
        <v>45899</v>
      </c>
      <c r="E891" s="31" t="s">
        <v>666</v>
      </c>
      <c r="F891" s="31" t="s">
        <v>84</v>
      </c>
      <c r="G891" s="31">
        <v>1708</v>
      </c>
      <c r="H891" s="31" t="s">
        <v>160</v>
      </c>
      <c r="I891" s="38">
        <v>0</v>
      </c>
    </row>
    <row r="892" spans="1:10" x14ac:dyDescent="0.35">
      <c r="A892" s="31">
        <v>445.5</v>
      </c>
      <c r="B892" s="19"/>
      <c r="C892" s="19" t="s">
        <v>22</v>
      </c>
      <c r="D892" s="37">
        <v>45899</v>
      </c>
      <c r="E892" s="31" t="s">
        <v>666</v>
      </c>
      <c r="F892" s="31" t="s">
        <v>84</v>
      </c>
      <c r="G892" s="31">
        <v>1708</v>
      </c>
      <c r="H892" s="31" t="s">
        <v>160</v>
      </c>
      <c r="J892" s="38">
        <v>0</v>
      </c>
    </row>
    <row r="893" spans="1:10" x14ac:dyDescent="0.35">
      <c r="A893" s="31">
        <v>446</v>
      </c>
      <c r="B893" s="19" t="s">
        <v>17</v>
      </c>
      <c r="C893" s="19"/>
      <c r="D893" s="37">
        <v>45899</v>
      </c>
      <c r="E893" s="31" t="s">
        <v>667</v>
      </c>
      <c r="F893" s="31" t="s">
        <v>84</v>
      </c>
      <c r="G893" s="31">
        <v>1708</v>
      </c>
      <c r="H893" s="31" t="s">
        <v>160</v>
      </c>
      <c r="I893" s="38">
        <v>0</v>
      </c>
    </row>
    <row r="894" spans="1:10" x14ac:dyDescent="0.35">
      <c r="A894" s="31">
        <v>446.5</v>
      </c>
      <c r="B894" s="19"/>
      <c r="C894" s="19" t="s">
        <v>22</v>
      </c>
      <c r="D894" s="37">
        <v>45899</v>
      </c>
      <c r="E894" s="31" t="s">
        <v>667</v>
      </c>
      <c r="F894" s="31" t="s">
        <v>84</v>
      </c>
      <c r="G894" s="31">
        <v>1708</v>
      </c>
      <c r="H894" s="31" t="s">
        <v>160</v>
      </c>
      <c r="J894" s="38">
        <v>0</v>
      </c>
    </row>
    <row r="895" spans="1:10" x14ac:dyDescent="0.35">
      <c r="A895" s="31">
        <v>447</v>
      </c>
      <c r="B895" s="19" t="s">
        <v>17</v>
      </c>
      <c r="C895" s="19"/>
      <c r="D895" s="37">
        <v>45899</v>
      </c>
      <c r="E895" s="31" t="s">
        <v>668</v>
      </c>
      <c r="F895" s="31" t="s">
        <v>84</v>
      </c>
      <c r="G895" s="31">
        <v>1708</v>
      </c>
      <c r="H895" s="31" t="s">
        <v>160</v>
      </c>
      <c r="I895" s="38">
        <v>0</v>
      </c>
    </row>
    <row r="896" spans="1:10" x14ac:dyDescent="0.35">
      <c r="A896" s="31">
        <v>447.5</v>
      </c>
      <c r="B896" s="19"/>
      <c r="C896" s="19" t="s">
        <v>22</v>
      </c>
      <c r="D896" s="37">
        <v>45899</v>
      </c>
      <c r="E896" s="31" t="s">
        <v>668</v>
      </c>
      <c r="F896" s="31" t="s">
        <v>84</v>
      </c>
      <c r="G896" s="31">
        <v>1708</v>
      </c>
      <c r="H896" s="31" t="s">
        <v>160</v>
      </c>
      <c r="J896" s="38">
        <v>0</v>
      </c>
    </row>
    <row r="897" spans="1:10" x14ac:dyDescent="0.35">
      <c r="A897" s="31">
        <v>448</v>
      </c>
      <c r="B897" s="19" t="s">
        <v>17</v>
      </c>
      <c r="C897" s="19"/>
      <c r="D897" s="37">
        <v>45899</v>
      </c>
      <c r="E897" s="31" t="s">
        <v>669</v>
      </c>
      <c r="F897" s="31" t="s">
        <v>670</v>
      </c>
      <c r="G897" s="31">
        <v>3372</v>
      </c>
      <c r="H897" s="31" t="s">
        <v>160</v>
      </c>
      <c r="I897" s="38">
        <v>0</v>
      </c>
    </row>
    <row r="898" spans="1:10" x14ac:dyDescent="0.35">
      <c r="A898" s="31">
        <v>448.5</v>
      </c>
      <c r="B898" s="19"/>
      <c r="C898" s="19" t="s">
        <v>22</v>
      </c>
      <c r="D898" s="37">
        <v>45899</v>
      </c>
      <c r="E898" s="31" t="s">
        <v>669</v>
      </c>
      <c r="F898" s="31" t="s">
        <v>670</v>
      </c>
      <c r="G898" s="31">
        <v>3372</v>
      </c>
      <c r="H898" s="31" t="s">
        <v>160</v>
      </c>
      <c r="J898" s="38">
        <v>0</v>
      </c>
    </row>
    <row r="899" spans="1:10" x14ac:dyDescent="0.35">
      <c r="A899" s="31">
        <v>449</v>
      </c>
      <c r="B899" s="19" t="s">
        <v>17</v>
      </c>
      <c r="C899" s="19"/>
      <c r="D899" s="37">
        <v>45899</v>
      </c>
      <c r="E899" s="31" t="s">
        <v>671</v>
      </c>
      <c r="F899" s="31" t="s">
        <v>672</v>
      </c>
      <c r="G899" s="31">
        <v>2615</v>
      </c>
      <c r="H899" s="31" t="s">
        <v>160</v>
      </c>
      <c r="I899" s="38">
        <v>0</v>
      </c>
    </row>
    <row r="900" spans="1:10" x14ac:dyDescent="0.35">
      <c r="A900" s="31">
        <v>449.5</v>
      </c>
      <c r="B900" s="19"/>
      <c r="C900" s="19" t="s">
        <v>22</v>
      </c>
      <c r="D900" s="37">
        <v>45899</v>
      </c>
      <c r="E900" s="31" t="s">
        <v>671</v>
      </c>
      <c r="F900" s="31" t="s">
        <v>672</v>
      </c>
      <c r="G900" s="31">
        <v>2615</v>
      </c>
      <c r="H900" s="31" t="s">
        <v>160</v>
      </c>
      <c r="J900" s="38">
        <v>0</v>
      </c>
    </row>
    <row r="901" spans="1:10" x14ac:dyDescent="0.35">
      <c r="A901" s="31">
        <v>450</v>
      </c>
      <c r="B901" s="19" t="s">
        <v>17</v>
      </c>
      <c r="C901" s="19"/>
      <c r="D901" s="37">
        <v>45899</v>
      </c>
      <c r="E901" s="31" t="s">
        <v>673</v>
      </c>
      <c r="F901" s="31" t="s">
        <v>529</v>
      </c>
      <c r="G901" s="31">
        <v>727</v>
      </c>
      <c r="H901" s="31" t="s">
        <v>160</v>
      </c>
      <c r="I901" s="38">
        <v>0</v>
      </c>
    </row>
    <row r="902" spans="1:10" x14ac:dyDescent="0.35">
      <c r="A902" s="31">
        <v>450.5</v>
      </c>
      <c r="B902" s="19"/>
      <c r="C902" s="19" t="s">
        <v>22</v>
      </c>
      <c r="D902" s="37">
        <v>45899</v>
      </c>
      <c r="E902" s="31" t="s">
        <v>673</v>
      </c>
      <c r="F902" s="31" t="s">
        <v>529</v>
      </c>
      <c r="G902" s="31">
        <v>727</v>
      </c>
      <c r="H902" s="31" t="s">
        <v>160</v>
      </c>
      <c r="J902" s="38">
        <v>0</v>
      </c>
    </row>
    <row r="903" spans="1:10" x14ac:dyDescent="0.35">
      <c r="A903" s="31">
        <v>451</v>
      </c>
      <c r="B903" s="19" t="s">
        <v>17</v>
      </c>
      <c r="C903" s="19"/>
      <c r="D903" s="37">
        <v>45899</v>
      </c>
      <c r="E903" s="31" t="s">
        <v>674</v>
      </c>
      <c r="F903" s="31" t="s">
        <v>225</v>
      </c>
      <c r="G903" s="31">
        <v>2618</v>
      </c>
      <c r="H903" s="31" t="s">
        <v>160</v>
      </c>
      <c r="I903" s="38">
        <v>0</v>
      </c>
    </row>
    <row r="904" spans="1:10" x14ac:dyDescent="0.35">
      <c r="A904" s="31">
        <v>451.5</v>
      </c>
      <c r="B904" s="19"/>
      <c r="C904" s="19" t="s">
        <v>22</v>
      </c>
      <c r="D904" s="37">
        <v>45899</v>
      </c>
      <c r="E904" s="31" t="s">
        <v>674</v>
      </c>
      <c r="F904" s="31" t="s">
        <v>225</v>
      </c>
      <c r="G904" s="31">
        <v>2618</v>
      </c>
      <c r="H904" s="31" t="s">
        <v>160</v>
      </c>
      <c r="J904" s="38">
        <v>0</v>
      </c>
    </row>
    <row r="905" spans="1:10" x14ac:dyDescent="0.35">
      <c r="A905" s="31">
        <v>452</v>
      </c>
      <c r="B905" s="19" t="s">
        <v>17</v>
      </c>
      <c r="C905" s="19"/>
      <c r="D905" s="37">
        <v>45899</v>
      </c>
      <c r="E905" s="31" t="s">
        <v>675</v>
      </c>
      <c r="F905" s="31" t="s">
        <v>635</v>
      </c>
      <c r="G905" s="31">
        <v>3325</v>
      </c>
      <c r="H905" s="31" t="s">
        <v>160</v>
      </c>
      <c r="I905" s="38">
        <v>0</v>
      </c>
    </row>
    <row r="906" spans="1:10" x14ac:dyDescent="0.35">
      <c r="A906" s="31">
        <v>452.5</v>
      </c>
      <c r="B906" s="19"/>
      <c r="C906" s="19" t="s">
        <v>22</v>
      </c>
      <c r="D906" s="37">
        <v>45899</v>
      </c>
      <c r="E906" s="31" t="s">
        <v>675</v>
      </c>
      <c r="F906" s="31" t="s">
        <v>635</v>
      </c>
      <c r="G906" s="31">
        <v>3325</v>
      </c>
      <c r="H906" s="31" t="s">
        <v>160</v>
      </c>
      <c r="J906" s="38">
        <v>0</v>
      </c>
    </row>
    <row r="907" spans="1:10" x14ac:dyDescent="0.35">
      <c r="A907" s="31">
        <v>453</v>
      </c>
      <c r="B907" s="19" t="s">
        <v>17</v>
      </c>
      <c r="C907" s="19"/>
      <c r="D907" s="37">
        <v>45899</v>
      </c>
      <c r="E907" s="31" t="s">
        <v>676</v>
      </c>
      <c r="F907" s="31" t="s">
        <v>677</v>
      </c>
      <c r="G907" s="31">
        <v>2629</v>
      </c>
      <c r="H907" s="31" t="s">
        <v>160</v>
      </c>
      <c r="I907" s="38">
        <v>0</v>
      </c>
    </row>
    <row r="908" spans="1:10" x14ac:dyDescent="0.35">
      <c r="A908" s="31">
        <v>453.5</v>
      </c>
      <c r="B908" s="19"/>
      <c r="C908" s="19" t="s">
        <v>22</v>
      </c>
      <c r="D908" s="37">
        <v>45899</v>
      </c>
      <c r="E908" s="31" t="s">
        <v>676</v>
      </c>
      <c r="F908" s="31" t="s">
        <v>677</v>
      </c>
      <c r="G908" s="31">
        <v>2629</v>
      </c>
      <c r="H908" s="31" t="s">
        <v>160</v>
      </c>
      <c r="J908" s="38">
        <v>0</v>
      </c>
    </row>
    <row r="909" spans="1:10" x14ac:dyDescent="0.35">
      <c r="A909" s="31">
        <v>454</v>
      </c>
      <c r="B909" s="19" t="s">
        <v>17</v>
      </c>
      <c r="C909" s="19"/>
      <c r="D909" s="37">
        <v>45899</v>
      </c>
      <c r="E909" s="31" t="s">
        <v>678</v>
      </c>
      <c r="F909" s="31" t="s">
        <v>677</v>
      </c>
      <c r="G909" s="31">
        <v>2629</v>
      </c>
      <c r="H909" s="31" t="s">
        <v>160</v>
      </c>
      <c r="I909" s="38">
        <v>0</v>
      </c>
    </row>
    <row r="910" spans="1:10" x14ac:dyDescent="0.35">
      <c r="A910" s="31">
        <v>454.5</v>
      </c>
      <c r="B910" s="19"/>
      <c r="C910" s="19" t="s">
        <v>22</v>
      </c>
      <c r="D910" s="37">
        <v>45899</v>
      </c>
      <c r="E910" s="31" t="s">
        <v>678</v>
      </c>
      <c r="F910" s="31" t="s">
        <v>677</v>
      </c>
      <c r="G910" s="31">
        <v>2629</v>
      </c>
      <c r="H910" s="31" t="s">
        <v>160</v>
      </c>
      <c r="J910" s="38">
        <v>0</v>
      </c>
    </row>
    <row r="911" spans="1:10" x14ac:dyDescent="0.35">
      <c r="A911" s="31">
        <v>455</v>
      </c>
      <c r="B911" s="19" t="s">
        <v>17</v>
      </c>
      <c r="C911" s="19"/>
      <c r="D911" s="37">
        <v>45899</v>
      </c>
      <c r="E911" s="31" t="s">
        <v>679</v>
      </c>
      <c r="F911" s="31" t="s">
        <v>677</v>
      </c>
      <c r="G911" s="31">
        <v>2629</v>
      </c>
      <c r="H911" s="31" t="s">
        <v>160</v>
      </c>
      <c r="I911" s="38">
        <v>0</v>
      </c>
    </row>
    <row r="912" spans="1:10" x14ac:dyDescent="0.35">
      <c r="A912" s="31">
        <v>455.5</v>
      </c>
      <c r="B912" s="19"/>
      <c r="C912" s="19" t="s">
        <v>22</v>
      </c>
      <c r="D912" s="37">
        <v>45899</v>
      </c>
      <c r="E912" s="31" t="s">
        <v>679</v>
      </c>
      <c r="F912" s="31" t="s">
        <v>677</v>
      </c>
      <c r="G912" s="31">
        <v>2629</v>
      </c>
      <c r="H912" s="31" t="s">
        <v>160</v>
      </c>
      <c r="J912" s="38">
        <v>0</v>
      </c>
    </row>
    <row r="913" spans="1:10" x14ac:dyDescent="0.35">
      <c r="A913" s="31">
        <v>456</v>
      </c>
      <c r="B913" s="19" t="s">
        <v>17</v>
      </c>
      <c r="C913" s="19"/>
      <c r="D913" s="37">
        <v>45899</v>
      </c>
      <c r="E913" s="31" t="s">
        <v>680</v>
      </c>
      <c r="F913" s="31" t="s">
        <v>395</v>
      </c>
      <c r="G913" s="31">
        <v>3401</v>
      </c>
      <c r="H913" s="31" t="s">
        <v>160</v>
      </c>
      <c r="I913" s="38">
        <v>0</v>
      </c>
    </row>
    <row r="914" spans="1:10" x14ac:dyDescent="0.35">
      <c r="A914" s="31">
        <v>456.5</v>
      </c>
      <c r="B914" s="19"/>
      <c r="C914" s="19" t="s">
        <v>22</v>
      </c>
      <c r="D914" s="37">
        <v>45899</v>
      </c>
      <c r="E914" s="31" t="s">
        <v>680</v>
      </c>
      <c r="F914" s="31" t="s">
        <v>395</v>
      </c>
      <c r="G914" s="31">
        <v>3401</v>
      </c>
      <c r="H914" s="31" t="s">
        <v>160</v>
      </c>
      <c r="J914" s="38">
        <v>0</v>
      </c>
    </row>
    <row r="915" spans="1:10" x14ac:dyDescent="0.35">
      <c r="A915" s="31">
        <v>457</v>
      </c>
      <c r="B915" s="19" t="s">
        <v>17</v>
      </c>
      <c r="C915" s="19"/>
      <c r="D915" s="37">
        <v>45899</v>
      </c>
      <c r="E915" s="31" t="s">
        <v>681</v>
      </c>
      <c r="F915" s="31" t="s">
        <v>682</v>
      </c>
      <c r="G915" s="31">
        <v>3273</v>
      </c>
      <c r="H915" s="31" t="s">
        <v>160</v>
      </c>
      <c r="I915" s="38">
        <v>0</v>
      </c>
    </row>
    <row r="916" spans="1:10" x14ac:dyDescent="0.35">
      <c r="A916" s="31">
        <v>457.5</v>
      </c>
      <c r="B916" s="19"/>
      <c r="C916" s="19" t="s">
        <v>22</v>
      </c>
      <c r="D916" s="37">
        <v>45899</v>
      </c>
      <c r="E916" s="31" t="s">
        <v>681</v>
      </c>
      <c r="F916" s="31" t="s">
        <v>682</v>
      </c>
      <c r="G916" s="31">
        <v>3273</v>
      </c>
      <c r="H916" s="31" t="s">
        <v>160</v>
      </c>
      <c r="J916" s="38">
        <v>0</v>
      </c>
    </row>
    <row r="917" spans="1:10" x14ac:dyDescent="0.35">
      <c r="A917" s="31">
        <v>458</v>
      </c>
      <c r="B917" s="19" t="s">
        <v>17</v>
      </c>
      <c r="C917" s="19"/>
      <c r="D917" s="37">
        <v>45899</v>
      </c>
      <c r="E917" s="31" t="s">
        <v>683</v>
      </c>
      <c r="F917" s="31" t="s">
        <v>581</v>
      </c>
      <c r="G917" s="31">
        <v>2884</v>
      </c>
      <c r="H917" s="31" t="s">
        <v>160</v>
      </c>
      <c r="I917" s="38">
        <v>0</v>
      </c>
    </row>
    <row r="918" spans="1:10" x14ac:dyDescent="0.35">
      <c r="A918" s="31">
        <v>458.5</v>
      </c>
      <c r="B918" s="19"/>
      <c r="C918" s="19" t="s">
        <v>22</v>
      </c>
      <c r="D918" s="37">
        <v>45899</v>
      </c>
      <c r="E918" s="31" t="s">
        <v>683</v>
      </c>
      <c r="F918" s="31" t="s">
        <v>581</v>
      </c>
      <c r="G918" s="31">
        <v>2884</v>
      </c>
      <c r="H918" s="31" t="s">
        <v>160</v>
      </c>
      <c r="J918" s="38">
        <v>0</v>
      </c>
    </row>
    <row r="919" spans="1:10" x14ac:dyDescent="0.35">
      <c r="A919" s="31">
        <v>459</v>
      </c>
      <c r="B919" s="19" t="s">
        <v>17</v>
      </c>
      <c r="C919" s="19"/>
      <c r="D919" s="37">
        <v>45899</v>
      </c>
      <c r="E919" s="31" t="s">
        <v>684</v>
      </c>
      <c r="F919" s="31" t="s">
        <v>581</v>
      </c>
      <c r="G919" s="31">
        <v>2884</v>
      </c>
      <c r="H919" s="31" t="s">
        <v>160</v>
      </c>
      <c r="I919" s="38">
        <v>0</v>
      </c>
    </row>
    <row r="920" spans="1:10" x14ac:dyDescent="0.35">
      <c r="A920" s="31">
        <v>459.5</v>
      </c>
      <c r="B920" s="19"/>
      <c r="C920" s="19" t="s">
        <v>22</v>
      </c>
      <c r="D920" s="37">
        <v>45899</v>
      </c>
      <c r="E920" s="31" t="s">
        <v>684</v>
      </c>
      <c r="F920" s="31" t="s">
        <v>581</v>
      </c>
      <c r="G920" s="31">
        <v>2884</v>
      </c>
      <c r="H920" s="31" t="s">
        <v>160</v>
      </c>
      <c r="J920" s="38">
        <v>0</v>
      </c>
    </row>
    <row r="921" spans="1:10" x14ac:dyDescent="0.35">
      <c r="A921" s="31">
        <v>460</v>
      </c>
      <c r="B921" s="19" t="s">
        <v>17</v>
      </c>
      <c r="C921" s="19"/>
      <c r="D921" s="37">
        <v>45899</v>
      </c>
      <c r="E921" s="31" t="s">
        <v>685</v>
      </c>
      <c r="F921" s="31" t="s">
        <v>581</v>
      </c>
      <c r="G921" s="31">
        <v>2884</v>
      </c>
      <c r="H921" s="31" t="s">
        <v>160</v>
      </c>
      <c r="I921" s="38">
        <v>0</v>
      </c>
    </row>
    <row r="922" spans="1:10" x14ac:dyDescent="0.35">
      <c r="A922" s="31">
        <v>460.5</v>
      </c>
      <c r="B922" s="19"/>
      <c r="C922" s="19" t="s">
        <v>22</v>
      </c>
      <c r="D922" s="37">
        <v>45899</v>
      </c>
      <c r="E922" s="31" t="s">
        <v>685</v>
      </c>
      <c r="F922" s="31" t="s">
        <v>581</v>
      </c>
      <c r="G922" s="31">
        <v>2884</v>
      </c>
      <c r="H922" s="31" t="s">
        <v>160</v>
      </c>
      <c r="J922" s="38">
        <v>0</v>
      </c>
    </row>
    <row r="923" spans="1:10" x14ac:dyDescent="0.35">
      <c r="A923" s="31">
        <v>461</v>
      </c>
      <c r="B923" s="19" t="s">
        <v>17</v>
      </c>
      <c r="C923" s="19"/>
      <c r="D923" s="37">
        <v>45899</v>
      </c>
      <c r="E923" s="31" t="s">
        <v>686</v>
      </c>
      <c r="F923" s="31" t="s">
        <v>55</v>
      </c>
      <c r="G923" s="31">
        <v>3335</v>
      </c>
      <c r="H923" s="31" t="s">
        <v>160</v>
      </c>
      <c r="I923" s="38">
        <v>0</v>
      </c>
    </row>
    <row r="924" spans="1:10" x14ac:dyDescent="0.35">
      <c r="A924" s="31">
        <v>461.5</v>
      </c>
      <c r="B924" s="19"/>
      <c r="C924" s="19" t="s">
        <v>22</v>
      </c>
      <c r="D924" s="37">
        <v>45899</v>
      </c>
      <c r="E924" s="31" t="s">
        <v>686</v>
      </c>
      <c r="F924" s="31" t="s">
        <v>55</v>
      </c>
      <c r="G924" s="31">
        <v>3335</v>
      </c>
      <c r="H924" s="31" t="s">
        <v>160</v>
      </c>
      <c r="J924" s="38">
        <v>0</v>
      </c>
    </row>
    <row r="925" spans="1:10" x14ac:dyDescent="0.35">
      <c r="A925" s="31">
        <v>462</v>
      </c>
      <c r="B925" s="19" t="s">
        <v>17</v>
      </c>
      <c r="C925" s="19"/>
      <c r="D925" s="37">
        <v>45899</v>
      </c>
      <c r="E925" s="31" t="s">
        <v>687</v>
      </c>
      <c r="F925" s="31" t="s">
        <v>148</v>
      </c>
      <c r="G925" s="31">
        <v>3358</v>
      </c>
      <c r="H925" s="31" t="s">
        <v>160</v>
      </c>
      <c r="I925" s="38">
        <v>0</v>
      </c>
    </row>
    <row r="926" spans="1:10" x14ac:dyDescent="0.35">
      <c r="A926" s="31">
        <v>462.5</v>
      </c>
      <c r="B926" s="19"/>
      <c r="C926" s="19" t="s">
        <v>22</v>
      </c>
      <c r="D926" s="37">
        <v>45899</v>
      </c>
      <c r="E926" s="31" t="s">
        <v>687</v>
      </c>
      <c r="F926" s="31" t="s">
        <v>148</v>
      </c>
      <c r="G926" s="31">
        <v>3358</v>
      </c>
      <c r="H926" s="31" t="s">
        <v>160</v>
      </c>
      <c r="J926" s="38">
        <v>0</v>
      </c>
    </row>
    <row r="927" spans="1:10" x14ac:dyDescent="0.35">
      <c r="A927" s="31">
        <v>463</v>
      </c>
      <c r="B927" s="19" t="s">
        <v>17</v>
      </c>
      <c r="C927" s="19"/>
      <c r="D927" s="37">
        <v>45899</v>
      </c>
      <c r="E927" s="31" t="s">
        <v>688</v>
      </c>
      <c r="F927" s="31" t="s">
        <v>148</v>
      </c>
      <c r="G927" s="31">
        <v>3358</v>
      </c>
      <c r="H927" s="31" t="s">
        <v>160</v>
      </c>
      <c r="I927" s="38">
        <v>0</v>
      </c>
    </row>
    <row r="928" spans="1:10" x14ac:dyDescent="0.35">
      <c r="A928" s="31">
        <v>463.5</v>
      </c>
      <c r="B928" s="19"/>
      <c r="C928" s="19" t="s">
        <v>22</v>
      </c>
      <c r="D928" s="37">
        <v>45899</v>
      </c>
      <c r="E928" s="31" t="s">
        <v>688</v>
      </c>
      <c r="F928" s="31" t="s">
        <v>148</v>
      </c>
      <c r="G928" s="31">
        <v>3358</v>
      </c>
      <c r="H928" s="31" t="s">
        <v>160</v>
      </c>
      <c r="J928" s="38">
        <v>0</v>
      </c>
    </row>
    <row r="929" spans="1:10" x14ac:dyDescent="0.35">
      <c r="A929" s="31">
        <v>464</v>
      </c>
      <c r="B929" s="19" t="s">
        <v>17</v>
      </c>
      <c r="C929" s="19"/>
      <c r="D929" s="37">
        <v>45899</v>
      </c>
      <c r="E929" s="31" t="s">
        <v>689</v>
      </c>
      <c r="F929" s="31" t="s">
        <v>148</v>
      </c>
      <c r="G929" s="31">
        <v>3358</v>
      </c>
      <c r="H929" s="31" t="s">
        <v>160</v>
      </c>
      <c r="I929" s="38">
        <v>0</v>
      </c>
    </row>
    <row r="930" spans="1:10" x14ac:dyDescent="0.35">
      <c r="A930" s="31">
        <v>464.5</v>
      </c>
      <c r="B930" s="19"/>
      <c r="C930" s="19" t="s">
        <v>22</v>
      </c>
      <c r="D930" s="37">
        <v>45899</v>
      </c>
      <c r="E930" s="31" t="s">
        <v>689</v>
      </c>
      <c r="F930" s="31" t="s">
        <v>148</v>
      </c>
      <c r="G930" s="31">
        <v>3358</v>
      </c>
      <c r="H930" s="31" t="s">
        <v>160</v>
      </c>
      <c r="J930" s="38">
        <v>0</v>
      </c>
    </row>
    <row r="931" spans="1:10" x14ac:dyDescent="0.35">
      <c r="A931" s="31">
        <v>465</v>
      </c>
      <c r="B931" s="19" t="s">
        <v>17</v>
      </c>
      <c r="C931" s="19"/>
      <c r="D931" s="37">
        <v>45899</v>
      </c>
      <c r="E931" s="31" t="s">
        <v>690</v>
      </c>
      <c r="F931" s="31" t="s">
        <v>148</v>
      </c>
      <c r="G931" s="31">
        <v>3358</v>
      </c>
      <c r="H931" s="31" t="s">
        <v>160</v>
      </c>
      <c r="I931" s="38">
        <v>0</v>
      </c>
    </row>
    <row r="932" spans="1:10" x14ac:dyDescent="0.35">
      <c r="A932" s="31">
        <v>465.5</v>
      </c>
      <c r="B932" s="19"/>
      <c r="C932" s="19" t="s">
        <v>22</v>
      </c>
      <c r="D932" s="37">
        <v>45899</v>
      </c>
      <c r="E932" s="31" t="s">
        <v>690</v>
      </c>
      <c r="F932" s="31" t="s">
        <v>148</v>
      </c>
      <c r="G932" s="31">
        <v>3358</v>
      </c>
      <c r="H932" s="31" t="s">
        <v>160</v>
      </c>
      <c r="J932" s="38">
        <v>0</v>
      </c>
    </row>
    <row r="933" spans="1:10" x14ac:dyDescent="0.35">
      <c r="A933" s="31">
        <v>466</v>
      </c>
      <c r="B933" s="19" t="s">
        <v>17</v>
      </c>
      <c r="C933" s="19"/>
      <c r="D933" s="37">
        <v>45899</v>
      </c>
      <c r="E933" s="31" t="s">
        <v>691</v>
      </c>
      <c r="F933" s="31" t="s">
        <v>148</v>
      </c>
      <c r="G933" s="31">
        <v>3358</v>
      </c>
      <c r="H933" s="31" t="s">
        <v>160</v>
      </c>
      <c r="I933" s="38">
        <v>0</v>
      </c>
    </row>
    <row r="934" spans="1:10" x14ac:dyDescent="0.35">
      <c r="A934" s="31">
        <v>466.5</v>
      </c>
      <c r="B934" s="19"/>
      <c r="C934" s="19" t="s">
        <v>22</v>
      </c>
      <c r="D934" s="37">
        <v>45899</v>
      </c>
      <c r="E934" s="31" t="s">
        <v>691</v>
      </c>
      <c r="F934" s="31" t="s">
        <v>148</v>
      </c>
      <c r="G934" s="31">
        <v>3358</v>
      </c>
      <c r="H934" s="31" t="s">
        <v>160</v>
      </c>
      <c r="J934" s="38">
        <v>0</v>
      </c>
    </row>
    <row r="935" spans="1:10" x14ac:dyDescent="0.35">
      <c r="A935" s="31">
        <v>467</v>
      </c>
      <c r="B935" s="19" t="s">
        <v>17</v>
      </c>
      <c r="C935" s="19"/>
      <c r="D935" s="37">
        <v>45899</v>
      </c>
      <c r="E935" s="31" t="s">
        <v>692</v>
      </c>
      <c r="F935" s="31" t="s">
        <v>86</v>
      </c>
      <c r="G935" s="31">
        <v>3375</v>
      </c>
      <c r="H935" s="31" t="s">
        <v>160</v>
      </c>
      <c r="I935" s="38">
        <v>0</v>
      </c>
    </row>
    <row r="936" spans="1:10" x14ac:dyDescent="0.35">
      <c r="A936" s="31">
        <v>467.5</v>
      </c>
      <c r="B936" s="19"/>
      <c r="C936" s="19" t="s">
        <v>22</v>
      </c>
      <c r="D936" s="37">
        <v>45899</v>
      </c>
      <c r="E936" s="31" t="s">
        <v>692</v>
      </c>
      <c r="F936" s="31" t="s">
        <v>86</v>
      </c>
      <c r="G936" s="31">
        <v>3375</v>
      </c>
      <c r="H936" s="31" t="s">
        <v>160</v>
      </c>
      <c r="J936" s="38">
        <v>0</v>
      </c>
    </row>
    <row r="937" spans="1:10" x14ac:dyDescent="0.35">
      <c r="A937" s="31">
        <v>468</v>
      </c>
      <c r="B937" s="19" t="s">
        <v>17</v>
      </c>
      <c r="C937" s="19"/>
      <c r="D937" s="37">
        <v>45899</v>
      </c>
      <c r="E937" s="31" t="s">
        <v>693</v>
      </c>
      <c r="F937" s="31" t="s">
        <v>86</v>
      </c>
      <c r="G937" s="31">
        <v>3375</v>
      </c>
      <c r="H937" s="31" t="s">
        <v>160</v>
      </c>
      <c r="I937" s="38">
        <v>0</v>
      </c>
    </row>
    <row r="938" spans="1:10" x14ac:dyDescent="0.35">
      <c r="A938" s="31">
        <v>468.5</v>
      </c>
      <c r="B938" s="19"/>
      <c r="C938" s="19" t="s">
        <v>22</v>
      </c>
      <c r="D938" s="37">
        <v>45899</v>
      </c>
      <c r="E938" s="31" t="s">
        <v>693</v>
      </c>
      <c r="F938" s="31" t="s">
        <v>86</v>
      </c>
      <c r="G938" s="31">
        <v>3375</v>
      </c>
      <c r="H938" s="31" t="s">
        <v>160</v>
      </c>
      <c r="J938" s="38">
        <v>0</v>
      </c>
    </row>
    <row r="939" spans="1:10" x14ac:dyDescent="0.35">
      <c r="A939" s="31">
        <v>469</v>
      </c>
      <c r="B939" s="19" t="s">
        <v>17</v>
      </c>
      <c r="C939" s="19"/>
      <c r="D939" s="37">
        <v>45899</v>
      </c>
      <c r="E939" s="31" t="s">
        <v>694</v>
      </c>
      <c r="F939" s="31" t="s">
        <v>86</v>
      </c>
      <c r="G939" s="31">
        <v>3375</v>
      </c>
      <c r="H939" s="31" t="s">
        <v>160</v>
      </c>
      <c r="I939" s="38">
        <v>0</v>
      </c>
    </row>
    <row r="940" spans="1:10" x14ac:dyDescent="0.35">
      <c r="A940" s="31">
        <v>469.5</v>
      </c>
      <c r="B940" s="19"/>
      <c r="C940" s="19" t="s">
        <v>22</v>
      </c>
      <c r="D940" s="37">
        <v>45899</v>
      </c>
      <c r="E940" s="31" t="s">
        <v>694</v>
      </c>
      <c r="F940" s="31" t="s">
        <v>86</v>
      </c>
      <c r="G940" s="31">
        <v>3375</v>
      </c>
      <c r="H940" s="31" t="s">
        <v>160</v>
      </c>
      <c r="J940" s="38">
        <v>0</v>
      </c>
    </row>
    <row r="941" spans="1:10" x14ac:dyDescent="0.35">
      <c r="A941" s="31">
        <v>470</v>
      </c>
      <c r="B941" s="19" t="s">
        <v>17</v>
      </c>
      <c r="C941" s="19"/>
      <c r="D941" s="37">
        <v>45899</v>
      </c>
      <c r="E941" s="31" t="s">
        <v>695</v>
      </c>
      <c r="F941" s="31" t="s">
        <v>177</v>
      </c>
      <c r="G941" s="31">
        <v>3526</v>
      </c>
      <c r="H941" s="31" t="s">
        <v>160</v>
      </c>
      <c r="I941" s="38">
        <v>0</v>
      </c>
    </row>
    <row r="942" spans="1:10" x14ac:dyDescent="0.35">
      <c r="A942" s="31">
        <v>470.5</v>
      </c>
      <c r="B942" s="19"/>
      <c r="C942" s="19" t="s">
        <v>22</v>
      </c>
      <c r="D942" s="37">
        <v>45899</v>
      </c>
      <c r="E942" s="31" t="s">
        <v>695</v>
      </c>
      <c r="F942" s="31" t="s">
        <v>177</v>
      </c>
      <c r="G942" s="31">
        <v>3526</v>
      </c>
      <c r="H942" s="31" t="s">
        <v>160</v>
      </c>
      <c r="J942" s="38">
        <v>0</v>
      </c>
    </row>
    <row r="943" spans="1:10" x14ac:dyDescent="0.35">
      <c r="A943" s="31">
        <v>471</v>
      </c>
      <c r="B943" s="19" t="s">
        <v>17</v>
      </c>
      <c r="C943" s="19"/>
      <c r="D943" s="37">
        <v>45899</v>
      </c>
      <c r="E943" s="31" t="s">
        <v>696</v>
      </c>
      <c r="F943" s="31" t="s">
        <v>86</v>
      </c>
      <c r="G943" s="31">
        <v>3375</v>
      </c>
      <c r="H943" s="31" t="s">
        <v>160</v>
      </c>
      <c r="I943" s="38">
        <v>1750.43</v>
      </c>
    </row>
    <row r="944" spans="1:10" x14ac:dyDescent="0.35">
      <c r="A944" s="31">
        <v>471.5</v>
      </c>
      <c r="B944" s="19"/>
      <c r="C944" s="19" t="s">
        <v>22</v>
      </c>
      <c r="D944" s="37">
        <v>45899</v>
      </c>
      <c r="E944" s="31" t="s">
        <v>696</v>
      </c>
      <c r="F944" s="31" t="s">
        <v>86</v>
      </c>
      <c r="G944" s="31">
        <v>3375</v>
      </c>
      <c r="H944" s="31" t="s">
        <v>160</v>
      </c>
      <c r="J944" s="38">
        <v>1750.43</v>
      </c>
    </row>
    <row r="945" spans="1:10" x14ac:dyDescent="0.35">
      <c r="A945" s="31">
        <v>472</v>
      </c>
      <c r="B945" s="19" t="s">
        <v>17</v>
      </c>
      <c r="C945" s="19"/>
      <c r="D945" s="37">
        <v>45899</v>
      </c>
      <c r="E945" s="31" t="s">
        <v>697</v>
      </c>
      <c r="F945" s="31" t="s">
        <v>86</v>
      </c>
      <c r="G945" s="31">
        <v>3375</v>
      </c>
      <c r="H945" s="31" t="s">
        <v>160</v>
      </c>
      <c r="I945" s="38">
        <v>0</v>
      </c>
    </row>
    <row r="946" spans="1:10" x14ac:dyDescent="0.35">
      <c r="A946" s="31">
        <v>472.5</v>
      </c>
      <c r="B946" s="19"/>
      <c r="C946" s="19" t="s">
        <v>22</v>
      </c>
      <c r="D946" s="37">
        <v>45899</v>
      </c>
      <c r="E946" s="31" t="s">
        <v>697</v>
      </c>
      <c r="F946" s="31" t="s">
        <v>86</v>
      </c>
      <c r="G946" s="31">
        <v>3375</v>
      </c>
      <c r="H946" s="31" t="s">
        <v>160</v>
      </c>
      <c r="J946" s="38">
        <v>0</v>
      </c>
    </row>
    <row r="947" spans="1:10" x14ac:dyDescent="0.35">
      <c r="A947" s="31">
        <v>473</v>
      </c>
      <c r="B947" s="19" t="s">
        <v>17</v>
      </c>
      <c r="C947" s="19"/>
      <c r="D947" s="37">
        <v>45899</v>
      </c>
      <c r="E947" s="31" t="s">
        <v>698</v>
      </c>
      <c r="F947" s="31" t="s">
        <v>86</v>
      </c>
      <c r="G947" s="31">
        <v>3375</v>
      </c>
      <c r="H947" s="31" t="s">
        <v>160</v>
      </c>
      <c r="I947" s="38">
        <v>0</v>
      </c>
    </row>
    <row r="948" spans="1:10" x14ac:dyDescent="0.35">
      <c r="A948" s="31">
        <v>473.5</v>
      </c>
      <c r="B948" s="19"/>
      <c r="C948" s="19" t="s">
        <v>22</v>
      </c>
      <c r="D948" s="37">
        <v>45899</v>
      </c>
      <c r="E948" s="31" t="s">
        <v>698</v>
      </c>
      <c r="F948" s="31" t="s">
        <v>86</v>
      </c>
      <c r="G948" s="31">
        <v>3375</v>
      </c>
      <c r="H948" s="31" t="s">
        <v>160</v>
      </c>
      <c r="J948" s="38">
        <v>0</v>
      </c>
    </row>
    <row r="949" spans="1:10" x14ac:dyDescent="0.35">
      <c r="A949" s="31">
        <v>474</v>
      </c>
      <c r="B949" s="19" t="s">
        <v>17</v>
      </c>
      <c r="C949" s="19"/>
      <c r="D949" s="37">
        <v>45899</v>
      </c>
      <c r="E949" s="31" t="s">
        <v>699</v>
      </c>
      <c r="F949" s="31" t="s">
        <v>432</v>
      </c>
      <c r="G949" s="31">
        <v>3324</v>
      </c>
      <c r="H949" s="31" t="s">
        <v>160</v>
      </c>
      <c r="I949" s="38">
        <v>0</v>
      </c>
    </row>
    <row r="950" spans="1:10" x14ac:dyDescent="0.35">
      <c r="A950" s="31">
        <v>474.5</v>
      </c>
      <c r="B950" s="19"/>
      <c r="C950" s="19" t="s">
        <v>22</v>
      </c>
      <c r="D950" s="37">
        <v>45899</v>
      </c>
      <c r="E950" s="31" t="s">
        <v>699</v>
      </c>
      <c r="F950" s="31" t="s">
        <v>432</v>
      </c>
      <c r="G950" s="31">
        <v>3324</v>
      </c>
      <c r="H950" s="31" t="s">
        <v>160</v>
      </c>
      <c r="J950" s="38">
        <v>0</v>
      </c>
    </row>
    <row r="951" spans="1:10" x14ac:dyDescent="0.35">
      <c r="A951" s="31">
        <v>475</v>
      </c>
      <c r="B951" s="19" t="s">
        <v>17</v>
      </c>
      <c r="C951" s="19"/>
      <c r="D951" s="37">
        <v>45899</v>
      </c>
      <c r="E951" s="31" t="s">
        <v>700</v>
      </c>
      <c r="F951" s="31" t="s">
        <v>701</v>
      </c>
      <c r="G951" s="31">
        <v>2491</v>
      </c>
      <c r="H951" s="31" t="s">
        <v>160</v>
      </c>
      <c r="I951" s="38">
        <v>0</v>
      </c>
    </row>
    <row r="952" spans="1:10" x14ac:dyDescent="0.35">
      <c r="A952" s="31">
        <v>475.5</v>
      </c>
      <c r="B952" s="19"/>
      <c r="C952" s="19" t="s">
        <v>22</v>
      </c>
      <c r="D952" s="37">
        <v>45899</v>
      </c>
      <c r="E952" s="31" t="s">
        <v>700</v>
      </c>
      <c r="F952" s="31" t="s">
        <v>701</v>
      </c>
      <c r="G952" s="31">
        <v>2491</v>
      </c>
      <c r="H952" s="31" t="s">
        <v>160</v>
      </c>
      <c r="J952" s="38">
        <v>0</v>
      </c>
    </row>
    <row r="953" spans="1:10" x14ac:dyDescent="0.35">
      <c r="A953" s="31">
        <v>476</v>
      </c>
      <c r="B953" s="19" t="s">
        <v>17</v>
      </c>
      <c r="C953" s="19"/>
      <c r="D953" s="37">
        <v>45899</v>
      </c>
      <c r="E953" s="31" t="s">
        <v>702</v>
      </c>
      <c r="F953" s="31" t="s">
        <v>701</v>
      </c>
      <c r="G953" s="31">
        <v>2491</v>
      </c>
      <c r="H953" s="31" t="s">
        <v>160</v>
      </c>
      <c r="I953" s="38">
        <v>0</v>
      </c>
    </row>
    <row r="954" spans="1:10" x14ac:dyDescent="0.35">
      <c r="A954" s="31">
        <v>476.5</v>
      </c>
      <c r="B954" s="19"/>
      <c r="C954" s="19" t="s">
        <v>22</v>
      </c>
      <c r="D954" s="37">
        <v>45899</v>
      </c>
      <c r="E954" s="31" t="s">
        <v>702</v>
      </c>
      <c r="F954" s="31" t="s">
        <v>701</v>
      </c>
      <c r="G954" s="31">
        <v>2491</v>
      </c>
      <c r="H954" s="31" t="s">
        <v>160</v>
      </c>
      <c r="J954" s="38">
        <v>0</v>
      </c>
    </row>
    <row r="955" spans="1:10" x14ac:dyDescent="0.35">
      <c r="A955" s="31">
        <v>477</v>
      </c>
      <c r="B955" s="19" t="s">
        <v>17</v>
      </c>
      <c r="C955" s="19"/>
      <c r="D955" s="37">
        <v>45899</v>
      </c>
      <c r="E955" s="31" t="s">
        <v>703</v>
      </c>
      <c r="F955" s="31" t="s">
        <v>701</v>
      </c>
      <c r="G955" s="31">
        <v>2491</v>
      </c>
      <c r="H955" s="31" t="s">
        <v>160</v>
      </c>
      <c r="I955" s="38">
        <v>0</v>
      </c>
    </row>
    <row r="956" spans="1:10" x14ac:dyDescent="0.35">
      <c r="A956" s="31">
        <v>477.5</v>
      </c>
      <c r="B956" s="19"/>
      <c r="C956" s="19" t="s">
        <v>22</v>
      </c>
      <c r="D956" s="37">
        <v>45899</v>
      </c>
      <c r="E956" s="31" t="s">
        <v>703</v>
      </c>
      <c r="F956" s="31" t="s">
        <v>701</v>
      </c>
      <c r="G956" s="31">
        <v>2491</v>
      </c>
      <c r="H956" s="31" t="s">
        <v>160</v>
      </c>
      <c r="J956" s="38">
        <v>0</v>
      </c>
    </row>
    <row r="957" spans="1:10" x14ac:dyDescent="0.35">
      <c r="A957" s="31">
        <v>478</v>
      </c>
      <c r="B957" s="19" t="s">
        <v>17</v>
      </c>
      <c r="C957" s="19"/>
      <c r="D957" s="37">
        <v>45899</v>
      </c>
      <c r="E957" s="31" t="s">
        <v>704</v>
      </c>
      <c r="F957" s="31" t="s">
        <v>475</v>
      </c>
      <c r="G957" s="31">
        <v>3317</v>
      </c>
      <c r="H957" s="31" t="s">
        <v>160</v>
      </c>
      <c r="I957" s="38">
        <v>0</v>
      </c>
    </row>
    <row r="958" spans="1:10" x14ac:dyDescent="0.35">
      <c r="A958" s="31">
        <v>478.5</v>
      </c>
      <c r="B958" s="19"/>
      <c r="C958" s="19" t="s">
        <v>22</v>
      </c>
      <c r="D958" s="37">
        <v>45899</v>
      </c>
      <c r="E958" s="31" t="s">
        <v>704</v>
      </c>
      <c r="F958" s="31" t="s">
        <v>475</v>
      </c>
      <c r="G958" s="31">
        <v>3317</v>
      </c>
      <c r="H958" s="31" t="s">
        <v>160</v>
      </c>
      <c r="J958" s="38">
        <v>0</v>
      </c>
    </row>
    <row r="959" spans="1:10" x14ac:dyDescent="0.35">
      <c r="A959" s="31">
        <v>479</v>
      </c>
      <c r="B959" s="19" t="s">
        <v>17</v>
      </c>
      <c r="C959" s="19"/>
      <c r="D959" s="37">
        <v>45899</v>
      </c>
      <c r="E959" s="31" t="s">
        <v>705</v>
      </c>
      <c r="F959" s="31" t="s">
        <v>337</v>
      </c>
      <c r="G959" s="31">
        <v>3389</v>
      </c>
      <c r="H959" s="31" t="s">
        <v>160</v>
      </c>
      <c r="I959" s="38">
        <v>0</v>
      </c>
    </row>
    <row r="960" spans="1:10" x14ac:dyDescent="0.35">
      <c r="A960" s="31">
        <v>479.5</v>
      </c>
      <c r="B960" s="19"/>
      <c r="C960" s="19" t="s">
        <v>22</v>
      </c>
      <c r="D960" s="37">
        <v>45899</v>
      </c>
      <c r="E960" s="31" t="s">
        <v>705</v>
      </c>
      <c r="F960" s="31" t="s">
        <v>337</v>
      </c>
      <c r="G960" s="31">
        <v>3389</v>
      </c>
      <c r="H960" s="31" t="s">
        <v>160</v>
      </c>
      <c r="J960" s="38">
        <v>0</v>
      </c>
    </row>
    <row r="961" spans="1:10" x14ac:dyDescent="0.35">
      <c r="A961" s="31">
        <v>480</v>
      </c>
      <c r="B961" s="19" t="s">
        <v>17</v>
      </c>
      <c r="C961" s="19"/>
      <c r="D961" s="37">
        <v>45899</v>
      </c>
      <c r="E961" s="31" t="s">
        <v>706</v>
      </c>
      <c r="F961" s="31" t="s">
        <v>707</v>
      </c>
      <c r="G961" s="31">
        <v>440</v>
      </c>
      <c r="H961" s="31" t="s">
        <v>160</v>
      </c>
      <c r="I961" s="38">
        <v>3097.55</v>
      </c>
    </row>
    <row r="962" spans="1:10" x14ac:dyDescent="0.35">
      <c r="A962" s="31">
        <v>480.5</v>
      </c>
      <c r="B962" s="19"/>
      <c r="C962" s="19" t="s">
        <v>22</v>
      </c>
      <c r="D962" s="37">
        <v>45899</v>
      </c>
      <c r="E962" s="31" t="s">
        <v>706</v>
      </c>
      <c r="F962" s="31" t="s">
        <v>707</v>
      </c>
      <c r="G962" s="31">
        <v>440</v>
      </c>
      <c r="H962" s="31" t="s">
        <v>160</v>
      </c>
      <c r="J962" s="38">
        <v>3097.55</v>
      </c>
    </row>
    <row r="963" spans="1:10" x14ac:dyDescent="0.35">
      <c r="A963" s="31">
        <v>481</v>
      </c>
      <c r="B963" s="19" t="s">
        <v>17</v>
      </c>
      <c r="C963" s="19"/>
      <c r="D963" s="37">
        <v>45899</v>
      </c>
      <c r="E963" s="31" t="s">
        <v>708</v>
      </c>
      <c r="F963" s="31" t="s">
        <v>597</v>
      </c>
      <c r="G963" s="31">
        <v>3393</v>
      </c>
      <c r="H963" s="31" t="s">
        <v>160</v>
      </c>
      <c r="I963" s="38">
        <v>0</v>
      </c>
    </row>
    <row r="964" spans="1:10" x14ac:dyDescent="0.35">
      <c r="A964" s="31">
        <v>481.5</v>
      </c>
      <c r="B964" s="19"/>
      <c r="C964" s="19" t="s">
        <v>22</v>
      </c>
      <c r="D964" s="37">
        <v>45899</v>
      </c>
      <c r="E964" s="31" t="s">
        <v>708</v>
      </c>
      <c r="F964" s="31" t="s">
        <v>597</v>
      </c>
      <c r="G964" s="31">
        <v>3393</v>
      </c>
      <c r="H964" s="31" t="s">
        <v>160</v>
      </c>
      <c r="J964" s="38">
        <v>0</v>
      </c>
    </row>
    <row r="965" spans="1:10" x14ac:dyDescent="0.35">
      <c r="A965" s="31">
        <v>482</v>
      </c>
      <c r="B965" s="19" t="s">
        <v>17</v>
      </c>
      <c r="C965" s="19"/>
      <c r="D965" s="37">
        <v>45899</v>
      </c>
      <c r="E965" s="31" t="s">
        <v>709</v>
      </c>
      <c r="F965" s="31" t="s">
        <v>597</v>
      </c>
      <c r="G965" s="31">
        <v>3393</v>
      </c>
      <c r="H965" s="31" t="s">
        <v>160</v>
      </c>
      <c r="I965" s="38">
        <v>0</v>
      </c>
    </row>
    <row r="966" spans="1:10" x14ac:dyDescent="0.35">
      <c r="A966" s="31">
        <v>482.5</v>
      </c>
      <c r="B966" s="19"/>
      <c r="C966" s="19" t="s">
        <v>22</v>
      </c>
      <c r="D966" s="37">
        <v>45899</v>
      </c>
      <c r="E966" s="31" t="s">
        <v>709</v>
      </c>
      <c r="F966" s="31" t="s">
        <v>597</v>
      </c>
      <c r="G966" s="31">
        <v>3393</v>
      </c>
      <c r="H966" s="31" t="s">
        <v>160</v>
      </c>
      <c r="J966" s="38">
        <v>0</v>
      </c>
    </row>
    <row r="967" spans="1:10" x14ac:dyDescent="0.35">
      <c r="A967" s="31">
        <v>483</v>
      </c>
      <c r="B967" s="19" t="s">
        <v>17</v>
      </c>
      <c r="C967" s="19"/>
      <c r="D967" s="37">
        <v>45899</v>
      </c>
      <c r="E967" s="31" t="s">
        <v>710</v>
      </c>
      <c r="F967" s="31" t="s">
        <v>597</v>
      </c>
      <c r="G967" s="31">
        <v>3393</v>
      </c>
      <c r="H967" s="31" t="s">
        <v>160</v>
      </c>
      <c r="I967" s="38">
        <v>0</v>
      </c>
    </row>
    <row r="968" spans="1:10" x14ac:dyDescent="0.35">
      <c r="A968" s="31">
        <v>483.5</v>
      </c>
      <c r="B968" s="19"/>
      <c r="C968" s="19" t="s">
        <v>22</v>
      </c>
      <c r="D968" s="37">
        <v>45899</v>
      </c>
      <c r="E968" s="31" t="s">
        <v>710</v>
      </c>
      <c r="F968" s="31" t="s">
        <v>597</v>
      </c>
      <c r="G968" s="31">
        <v>3393</v>
      </c>
      <c r="H968" s="31" t="s">
        <v>160</v>
      </c>
      <c r="J968" s="38">
        <v>0</v>
      </c>
    </row>
    <row r="969" spans="1:10" x14ac:dyDescent="0.35">
      <c r="A969" s="31">
        <v>484</v>
      </c>
      <c r="B969" s="19" t="s">
        <v>17</v>
      </c>
      <c r="C969" s="19"/>
      <c r="D969" s="37">
        <v>45899</v>
      </c>
      <c r="E969" s="31" t="s">
        <v>711</v>
      </c>
      <c r="F969" s="31" t="s">
        <v>597</v>
      </c>
      <c r="G969" s="31">
        <v>3393</v>
      </c>
      <c r="H969" s="31" t="s">
        <v>160</v>
      </c>
      <c r="I969" s="38">
        <v>0</v>
      </c>
    </row>
    <row r="970" spans="1:10" x14ac:dyDescent="0.35">
      <c r="A970" s="31">
        <v>484.5</v>
      </c>
      <c r="B970" s="19"/>
      <c r="C970" s="19" t="s">
        <v>22</v>
      </c>
      <c r="D970" s="37">
        <v>45899</v>
      </c>
      <c r="E970" s="31" t="s">
        <v>711</v>
      </c>
      <c r="F970" s="31" t="s">
        <v>597</v>
      </c>
      <c r="G970" s="31">
        <v>3393</v>
      </c>
      <c r="H970" s="31" t="s">
        <v>160</v>
      </c>
      <c r="J970" s="38">
        <v>0</v>
      </c>
    </row>
    <row r="971" spans="1:10" x14ac:dyDescent="0.35">
      <c r="A971" s="31">
        <v>485</v>
      </c>
      <c r="B971" s="19" t="s">
        <v>17</v>
      </c>
      <c r="C971" s="19"/>
      <c r="D971" s="37">
        <v>45899</v>
      </c>
      <c r="E971" s="31" t="s">
        <v>712</v>
      </c>
      <c r="F971" s="31" t="s">
        <v>713</v>
      </c>
      <c r="G971" s="31">
        <v>3548</v>
      </c>
      <c r="H971" s="31" t="s">
        <v>160</v>
      </c>
      <c r="I971" s="38">
        <v>0</v>
      </c>
    </row>
    <row r="972" spans="1:10" x14ac:dyDescent="0.35">
      <c r="A972" s="31">
        <v>485.5</v>
      </c>
      <c r="B972" s="19"/>
      <c r="C972" s="19" t="s">
        <v>22</v>
      </c>
      <c r="D972" s="37">
        <v>45899</v>
      </c>
      <c r="E972" s="31" t="s">
        <v>712</v>
      </c>
      <c r="F972" s="31" t="s">
        <v>713</v>
      </c>
      <c r="G972" s="31">
        <v>3548</v>
      </c>
      <c r="H972" s="31" t="s">
        <v>160</v>
      </c>
      <c r="J972" s="38">
        <v>0</v>
      </c>
    </row>
    <row r="973" spans="1:10" x14ac:dyDescent="0.35">
      <c r="A973" s="31">
        <v>486</v>
      </c>
      <c r="B973" s="19" t="s">
        <v>17</v>
      </c>
      <c r="C973" s="19"/>
      <c r="D973" s="37">
        <v>45899</v>
      </c>
      <c r="E973" s="31" t="s">
        <v>714</v>
      </c>
      <c r="F973" s="31" t="s">
        <v>715</v>
      </c>
      <c r="G973" s="31">
        <v>3549</v>
      </c>
      <c r="H973" s="31" t="s">
        <v>160</v>
      </c>
      <c r="I973" s="38">
        <v>0</v>
      </c>
    </row>
    <row r="974" spans="1:10" x14ac:dyDescent="0.35">
      <c r="A974" s="31">
        <v>486.5</v>
      </c>
      <c r="B974" s="19"/>
      <c r="C974" s="19" t="s">
        <v>22</v>
      </c>
      <c r="D974" s="37">
        <v>45899</v>
      </c>
      <c r="E974" s="31" t="s">
        <v>714</v>
      </c>
      <c r="F974" s="31" t="s">
        <v>715</v>
      </c>
      <c r="G974" s="31">
        <v>3549</v>
      </c>
      <c r="H974" s="31" t="s">
        <v>160</v>
      </c>
      <c r="J974" s="38">
        <v>0</v>
      </c>
    </row>
    <row r="975" spans="1:10" x14ac:dyDescent="0.35">
      <c r="A975" s="31">
        <v>487</v>
      </c>
      <c r="B975" s="19" t="s">
        <v>17</v>
      </c>
      <c r="C975" s="19"/>
      <c r="D975" s="37">
        <v>45899</v>
      </c>
      <c r="E975" s="31" t="s">
        <v>716</v>
      </c>
      <c r="F975" s="31" t="s">
        <v>715</v>
      </c>
      <c r="G975" s="31">
        <v>3549</v>
      </c>
      <c r="H975" s="31" t="s">
        <v>160</v>
      </c>
      <c r="I975" s="38">
        <v>0</v>
      </c>
    </row>
    <row r="976" spans="1:10" x14ac:dyDescent="0.35">
      <c r="A976" s="31">
        <v>487.5</v>
      </c>
      <c r="B976" s="19"/>
      <c r="C976" s="19" t="s">
        <v>22</v>
      </c>
      <c r="D976" s="37">
        <v>45899</v>
      </c>
      <c r="E976" s="31" t="s">
        <v>716</v>
      </c>
      <c r="F976" s="31" t="s">
        <v>715</v>
      </c>
      <c r="G976" s="31">
        <v>3549</v>
      </c>
      <c r="H976" s="31" t="s">
        <v>160</v>
      </c>
      <c r="J976" s="38">
        <v>0</v>
      </c>
    </row>
    <row r="977" spans="1:10" x14ac:dyDescent="0.35">
      <c r="A977" s="31">
        <v>488</v>
      </c>
      <c r="B977" s="19" t="s">
        <v>17</v>
      </c>
      <c r="C977" s="19"/>
      <c r="D977" s="37">
        <v>45899</v>
      </c>
      <c r="E977" s="31" t="s">
        <v>717</v>
      </c>
      <c r="F977" s="31" t="s">
        <v>715</v>
      </c>
      <c r="G977" s="31">
        <v>3549</v>
      </c>
      <c r="H977" s="31" t="s">
        <v>160</v>
      </c>
      <c r="I977" s="38">
        <v>0</v>
      </c>
    </row>
    <row r="978" spans="1:10" x14ac:dyDescent="0.35">
      <c r="A978" s="31">
        <v>488.5</v>
      </c>
      <c r="B978" s="19"/>
      <c r="C978" s="19" t="s">
        <v>22</v>
      </c>
      <c r="D978" s="37">
        <v>45899</v>
      </c>
      <c r="E978" s="31" t="s">
        <v>717</v>
      </c>
      <c r="F978" s="31" t="s">
        <v>715</v>
      </c>
      <c r="G978" s="31">
        <v>3549</v>
      </c>
      <c r="H978" s="31" t="s">
        <v>160</v>
      </c>
      <c r="J978" s="38">
        <v>0</v>
      </c>
    </row>
    <row r="979" spans="1:10" x14ac:dyDescent="0.35">
      <c r="A979" s="31">
        <v>489</v>
      </c>
      <c r="B979" s="19" t="s">
        <v>17</v>
      </c>
      <c r="C979" s="19"/>
      <c r="D979" s="37">
        <v>45899</v>
      </c>
      <c r="E979" s="31" t="s">
        <v>718</v>
      </c>
      <c r="F979" s="31" t="s">
        <v>715</v>
      </c>
      <c r="G979" s="31">
        <v>3549</v>
      </c>
      <c r="H979" s="31" t="s">
        <v>160</v>
      </c>
      <c r="I979" s="38">
        <v>0</v>
      </c>
    </row>
    <row r="980" spans="1:10" x14ac:dyDescent="0.35">
      <c r="A980" s="31">
        <v>489.5</v>
      </c>
      <c r="B980" s="19"/>
      <c r="C980" s="19" t="s">
        <v>22</v>
      </c>
      <c r="D980" s="37">
        <v>45899</v>
      </c>
      <c r="E980" s="31" t="s">
        <v>718</v>
      </c>
      <c r="F980" s="31" t="s">
        <v>715</v>
      </c>
      <c r="G980" s="31">
        <v>3549</v>
      </c>
      <c r="H980" s="31" t="s">
        <v>160</v>
      </c>
      <c r="J980" s="38">
        <v>0</v>
      </c>
    </row>
    <row r="981" spans="1:10" x14ac:dyDescent="0.35">
      <c r="A981" s="31">
        <v>490</v>
      </c>
      <c r="B981" s="19" t="s">
        <v>17</v>
      </c>
      <c r="C981" s="19"/>
      <c r="D981" s="37">
        <v>45899</v>
      </c>
      <c r="E981" s="31" t="s">
        <v>719</v>
      </c>
      <c r="F981" s="31" t="s">
        <v>701</v>
      </c>
      <c r="G981" s="31">
        <v>2491</v>
      </c>
      <c r="H981" s="31" t="s">
        <v>160</v>
      </c>
      <c r="I981" s="38">
        <v>0</v>
      </c>
    </row>
    <row r="982" spans="1:10" x14ac:dyDescent="0.35">
      <c r="A982" s="31">
        <v>490.5</v>
      </c>
      <c r="B982" s="19"/>
      <c r="C982" s="19" t="s">
        <v>22</v>
      </c>
      <c r="D982" s="37">
        <v>45899</v>
      </c>
      <c r="E982" s="31" t="s">
        <v>719</v>
      </c>
      <c r="F982" s="31" t="s">
        <v>701</v>
      </c>
      <c r="G982" s="31">
        <v>2491</v>
      </c>
      <c r="H982" s="31" t="s">
        <v>160</v>
      </c>
      <c r="J982" s="38">
        <v>0</v>
      </c>
    </row>
    <row r="983" spans="1:10" x14ac:dyDescent="0.35">
      <c r="A983" s="31">
        <v>491</v>
      </c>
      <c r="B983" s="19" t="s">
        <v>17</v>
      </c>
      <c r="C983" s="19"/>
      <c r="D983" s="37">
        <v>45899</v>
      </c>
      <c r="E983" s="31" t="s">
        <v>720</v>
      </c>
      <c r="F983" s="31" t="s">
        <v>701</v>
      </c>
      <c r="G983" s="31">
        <v>2491</v>
      </c>
      <c r="H983" s="31" t="s">
        <v>160</v>
      </c>
      <c r="I983" s="38">
        <v>0</v>
      </c>
    </row>
    <row r="984" spans="1:10" x14ac:dyDescent="0.35">
      <c r="A984" s="31">
        <v>491.5</v>
      </c>
      <c r="B984" s="19"/>
      <c r="C984" s="19" t="s">
        <v>22</v>
      </c>
      <c r="D984" s="37">
        <v>45899</v>
      </c>
      <c r="E984" s="31" t="s">
        <v>720</v>
      </c>
      <c r="F984" s="31" t="s">
        <v>701</v>
      </c>
      <c r="G984" s="31">
        <v>2491</v>
      </c>
      <c r="H984" s="31" t="s">
        <v>160</v>
      </c>
      <c r="J984" s="38">
        <v>0</v>
      </c>
    </row>
    <row r="985" spans="1:10" x14ac:dyDescent="0.35">
      <c r="A985" s="31">
        <v>492</v>
      </c>
      <c r="B985" s="19" t="s">
        <v>17</v>
      </c>
      <c r="C985" s="19"/>
      <c r="D985" s="37">
        <v>45899</v>
      </c>
      <c r="E985" s="31" t="s">
        <v>721</v>
      </c>
      <c r="F985" s="31" t="s">
        <v>722</v>
      </c>
      <c r="G985" s="31">
        <v>2346</v>
      </c>
      <c r="H985" s="31" t="s">
        <v>160</v>
      </c>
      <c r="I985" s="38">
        <v>622.25</v>
      </c>
    </row>
    <row r="986" spans="1:10" x14ac:dyDescent="0.35">
      <c r="A986" s="31">
        <v>492.5</v>
      </c>
      <c r="B986" s="19"/>
      <c r="C986" s="19" t="s">
        <v>22</v>
      </c>
      <c r="D986" s="37">
        <v>45899</v>
      </c>
      <c r="E986" s="31" t="s">
        <v>721</v>
      </c>
      <c r="F986" s="31" t="s">
        <v>722</v>
      </c>
      <c r="G986" s="31">
        <v>2346</v>
      </c>
      <c r="H986" s="31" t="s">
        <v>160</v>
      </c>
      <c r="J986" s="38">
        <v>622.25</v>
      </c>
    </row>
    <row r="987" spans="1:10" x14ac:dyDescent="0.35">
      <c r="A987" s="31">
        <v>493</v>
      </c>
      <c r="B987" s="19" t="s">
        <v>17</v>
      </c>
      <c r="C987" s="19"/>
      <c r="D987" s="37">
        <v>45899</v>
      </c>
      <c r="E987" s="31" t="s">
        <v>723</v>
      </c>
      <c r="F987" s="31" t="s">
        <v>722</v>
      </c>
      <c r="G987" s="31">
        <v>2346</v>
      </c>
      <c r="H987" s="31" t="s">
        <v>160</v>
      </c>
      <c r="I987" s="38">
        <v>0</v>
      </c>
    </row>
    <row r="988" spans="1:10" x14ac:dyDescent="0.35">
      <c r="A988" s="31">
        <v>493.5</v>
      </c>
      <c r="B988" s="19"/>
      <c r="C988" s="19" t="s">
        <v>22</v>
      </c>
      <c r="D988" s="37">
        <v>45899</v>
      </c>
      <c r="E988" s="31" t="s">
        <v>723</v>
      </c>
      <c r="F988" s="31" t="s">
        <v>722</v>
      </c>
      <c r="G988" s="31">
        <v>2346</v>
      </c>
      <c r="H988" s="31" t="s">
        <v>160</v>
      </c>
      <c r="J988" s="38">
        <v>0</v>
      </c>
    </row>
    <row r="989" spans="1:10" x14ac:dyDescent="0.35">
      <c r="A989" s="31">
        <v>494</v>
      </c>
      <c r="B989" s="19" t="s">
        <v>17</v>
      </c>
      <c r="C989" s="19"/>
      <c r="D989" s="37">
        <v>45899</v>
      </c>
      <c r="E989" s="31" t="s">
        <v>724</v>
      </c>
      <c r="F989" s="31" t="s">
        <v>725</v>
      </c>
      <c r="G989" s="31">
        <v>3321</v>
      </c>
      <c r="H989" s="31" t="s">
        <v>160</v>
      </c>
      <c r="I989" s="38">
        <v>0</v>
      </c>
    </row>
    <row r="990" spans="1:10" x14ac:dyDescent="0.35">
      <c r="A990" s="31">
        <v>494.5</v>
      </c>
      <c r="B990" s="19"/>
      <c r="C990" s="19" t="s">
        <v>22</v>
      </c>
      <c r="D990" s="37">
        <v>45899</v>
      </c>
      <c r="E990" s="31" t="s">
        <v>724</v>
      </c>
      <c r="F990" s="31" t="s">
        <v>725</v>
      </c>
      <c r="G990" s="31">
        <v>3321</v>
      </c>
      <c r="H990" s="31" t="s">
        <v>160</v>
      </c>
      <c r="J990" s="38">
        <v>0</v>
      </c>
    </row>
    <row r="991" spans="1:10" x14ac:dyDescent="0.35">
      <c r="A991" s="31">
        <v>495</v>
      </c>
      <c r="B991" s="19" t="s">
        <v>17</v>
      </c>
      <c r="C991" s="19"/>
      <c r="D991" s="37">
        <v>45899</v>
      </c>
      <c r="E991" s="31" t="s">
        <v>726</v>
      </c>
      <c r="F991" s="31" t="s">
        <v>727</v>
      </c>
      <c r="G991" s="31">
        <v>2606</v>
      </c>
      <c r="H991" s="31" t="s">
        <v>160</v>
      </c>
      <c r="I991" s="38">
        <v>0</v>
      </c>
    </row>
    <row r="992" spans="1:10" x14ac:dyDescent="0.35">
      <c r="A992" s="31">
        <v>495.5</v>
      </c>
      <c r="B992" s="19"/>
      <c r="C992" s="19" t="s">
        <v>22</v>
      </c>
      <c r="D992" s="37">
        <v>45899</v>
      </c>
      <c r="E992" s="31" t="s">
        <v>726</v>
      </c>
      <c r="F992" s="31" t="s">
        <v>727</v>
      </c>
      <c r="G992" s="31">
        <v>2606</v>
      </c>
      <c r="H992" s="31" t="s">
        <v>160</v>
      </c>
      <c r="J992" s="38">
        <v>0</v>
      </c>
    </row>
    <row r="993" spans="1:10" x14ac:dyDescent="0.35">
      <c r="A993" s="31">
        <v>496</v>
      </c>
      <c r="B993" s="19" t="s">
        <v>17</v>
      </c>
      <c r="C993" s="19"/>
      <c r="D993" s="37">
        <v>45899</v>
      </c>
      <c r="E993" s="31" t="s">
        <v>728</v>
      </c>
      <c r="F993" s="31" t="s">
        <v>75</v>
      </c>
      <c r="G993" s="31">
        <v>3320</v>
      </c>
      <c r="H993" s="31" t="s">
        <v>160</v>
      </c>
      <c r="I993" s="38">
        <v>0</v>
      </c>
    </row>
    <row r="994" spans="1:10" x14ac:dyDescent="0.35">
      <c r="A994" s="31">
        <v>496.5</v>
      </c>
      <c r="B994" s="19"/>
      <c r="C994" s="19" t="s">
        <v>22</v>
      </c>
      <c r="D994" s="37">
        <v>45899</v>
      </c>
      <c r="E994" s="31" t="s">
        <v>728</v>
      </c>
      <c r="F994" s="31" t="s">
        <v>75</v>
      </c>
      <c r="G994" s="31">
        <v>3320</v>
      </c>
      <c r="H994" s="31" t="s">
        <v>160</v>
      </c>
      <c r="J994" s="38">
        <v>0</v>
      </c>
    </row>
    <row r="995" spans="1:10" x14ac:dyDescent="0.35">
      <c r="A995" s="31">
        <v>497</v>
      </c>
      <c r="B995" s="19" t="s">
        <v>17</v>
      </c>
      <c r="C995" s="19"/>
      <c r="D995" s="37">
        <v>45899</v>
      </c>
      <c r="E995" s="31" t="s">
        <v>729</v>
      </c>
      <c r="F995" s="31" t="s">
        <v>75</v>
      </c>
      <c r="G995" s="31">
        <v>3320</v>
      </c>
      <c r="H995" s="31" t="s">
        <v>160</v>
      </c>
      <c r="I995" s="38">
        <v>0</v>
      </c>
    </row>
    <row r="996" spans="1:10" x14ac:dyDescent="0.35">
      <c r="A996" s="31">
        <v>497.5</v>
      </c>
      <c r="B996" s="19"/>
      <c r="C996" s="19" t="s">
        <v>22</v>
      </c>
      <c r="D996" s="37">
        <v>45899</v>
      </c>
      <c r="E996" s="31" t="s">
        <v>729</v>
      </c>
      <c r="F996" s="31" t="s">
        <v>75</v>
      </c>
      <c r="G996" s="31">
        <v>3320</v>
      </c>
      <c r="H996" s="31" t="s">
        <v>160</v>
      </c>
      <c r="J996" s="38">
        <v>0</v>
      </c>
    </row>
    <row r="997" spans="1:10" x14ac:dyDescent="0.35">
      <c r="A997" s="31">
        <v>498</v>
      </c>
      <c r="B997" s="19" t="s">
        <v>17</v>
      </c>
      <c r="C997" s="19"/>
      <c r="D997" s="37">
        <v>45899</v>
      </c>
      <c r="E997" s="31" t="s">
        <v>730</v>
      </c>
      <c r="F997" s="31" t="s">
        <v>75</v>
      </c>
      <c r="G997" s="31">
        <v>3320</v>
      </c>
      <c r="H997" s="31" t="s">
        <v>160</v>
      </c>
      <c r="I997" s="38">
        <v>0</v>
      </c>
    </row>
    <row r="998" spans="1:10" x14ac:dyDescent="0.35">
      <c r="A998" s="31">
        <v>498.5</v>
      </c>
      <c r="B998" s="19"/>
      <c r="C998" s="19" t="s">
        <v>22</v>
      </c>
      <c r="D998" s="37">
        <v>45899</v>
      </c>
      <c r="E998" s="31" t="s">
        <v>730</v>
      </c>
      <c r="F998" s="31" t="s">
        <v>75</v>
      </c>
      <c r="G998" s="31">
        <v>3320</v>
      </c>
      <c r="H998" s="31" t="s">
        <v>160</v>
      </c>
      <c r="J998" s="38">
        <v>0</v>
      </c>
    </row>
    <row r="999" spans="1:10" x14ac:dyDescent="0.35">
      <c r="A999" s="31">
        <v>499</v>
      </c>
      <c r="B999" s="19" t="s">
        <v>17</v>
      </c>
      <c r="C999" s="19"/>
      <c r="D999" s="37">
        <v>45899</v>
      </c>
      <c r="E999" s="31" t="s">
        <v>731</v>
      </c>
      <c r="F999" s="31" t="s">
        <v>75</v>
      </c>
      <c r="G999" s="31">
        <v>3320</v>
      </c>
      <c r="H999" s="31" t="s">
        <v>160</v>
      </c>
      <c r="I999" s="38">
        <v>0</v>
      </c>
    </row>
    <row r="1000" spans="1:10" x14ac:dyDescent="0.35">
      <c r="A1000" s="31">
        <v>499.5</v>
      </c>
      <c r="B1000" s="19"/>
      <c r="C1000" s="19" t="s">
        <v>22</v>
      </c>
      <c r="D1000" s="37">
        <v>45899</v>
      </c>
      <c r="E1000" s="31" t="s">
        <v>731</v>
      </c>
      <c r="F1000" s="31" t="s">
        <v>75</v>
      </c>
      <c r="G1000" s="31">
        <v>3320</v>
      </c>
      <c r="H1000" s="31" t="s">
        <v>160</v>
      </c>
      <c r="J1000" s="38">
        <v>0</v>
      </c>
    </row>
    <row r="1001" spans="1:10" x14ac:dyDescent="0.35">
      <c r="A1001" s="31">
        <v>500</v>
      </c>
      <c r="B1001" s="19" t="s">
        <v>17</v>
      </c>
      <c r="C1001" s="19"/>
      <c r="D1001" s="37">
        <v>45899</v>
      </c>
      <c r="E1001" s="31" t="s">
        <v>732</v>
      </c>
      <c r="F1001" s="31" t="s">
        <v>75</v>
      </c>
      <c r="G1001" s="31">
        <v>3320</v>
      </c>
      <c r="H1001" s="31" t="s">
        <v>160</v>
      </c>
      <c r="I1001" s="38">
        <v>0</v>
      </c>
    </row>
    <row r="1002" spans="1:10" x14ac:dyDescent="0.35">
      <c r="A1002" s="31">
        <v>500.5</v>
      </c>
      <c r="B1002" s="19"/>
      <c r="C1002" s="19" t="s">
        <v>22</v>
      </c>
      <c r="D1002" s="37">
        <v>45899</v>
      </c>
      <c r="E1002" s="31" t="s">
        <v>732</v>
      </c>
      <c r="F1002" s="31" t="s">
        <v>75</v>
      </c>
      <c r="G1002" s="31">
        <v>3320</v>
      </c>
      <c r="H1002" s="31" t="s">
        <v>160</v>
      </c>
      <c r="J1002" s="38">
        <v>0</v>
      </c>
    </row>
    <row r="1003" spans="1:10" x14ac:dyDescent="0.35">
      <c r="A1003" s="31">
        <v>501</v>
      </c>
      <c r="B1003" s="19" t="s">
        <v>17</v>
      </c>
      <c r="C1003" s="19"/>
      <c r="D1003" s="37">
        <v>45899</v>
      </c>
      <c r="E1003" s="31" t="s">
        <v>733</v>
      </c>
      <c r="F1003" s="31" t="s">
        <v>75</v>
      </c>
      <c r="G1003" s="31">
        <v>3320</v>
      </c>
      <c r="H1003" s="31" t="s">
        <v>160</v>
      </c>
      <c r="I1003" s="38">
        <v>0</v>
      </c>
    </row>
    <row r="1004" spans="1:10" x14ac:dyDescent="0.35">
      <c r="A1004" s="31">
        <v>501.5</v>
      </c>
      <c r="B1004" s="19"/>
      <c r="C1004" s="19" t="s">
        <v>22</v>
      </c>
      <c r="D1004" s="37">
        <v>45899</v>
      </c>
      <c r="E1004" s="31" t="s">
        <v>733</v>
      </c>
      <c r="F1004" s="31" t="s">
        <v>75</v>
      </c>
      <c r="G1004" s="31">
        <v>3320</v>
      </c>
      <c r="H1004" s="31" t="s">
        <v>160</v>
      </c>
      <c r="J1004" s="38">
        <v>0</v>
      </c>
    </row>
    <row r="1005" spans="1:10" x14ac:dyDescent="0.35">
      <c r="A1005" s="31">
        <v>502</v>
      </c>
      <c r="B1005" s="19" t="s">
        <v>17</v>
      </c>
      <c r="C1005" s="19"/>
      <c r="D1005" s="37">
        <v>45899</v>
      </c>
      <c r="E1005" s="31" t="s">
        <v>734</v>
      </c>
      <c r="F1005" s="31" t="s">
        <v>75</v>
      </c>
      <c r="G1005" s="31">
        <v>3320</v>
      </c>
      <c r="H1005" s="31" t="s">
        <v>160</v>
      </c>
      <c r="I1005" s="38">
        <v>0</v>
      </c>
    </row>
    <row r="1006" spans="1:10" x14ac:dyDescent="0.35">
      <c r="A1006" s="31">
        <v>502.5</v>
      </c>
      <c r="B1006" s="19"/>
      <c r="C1006" s="19" t="s">
        <v>22</v>
      </c>
      <c r="D1006" s="37">
        <v>45899</v>
      </c>
      <c r="E1006" s="31" t="s">
        <v>734</v>
      </c>
      <c r="F1006" s="31" t="s">
        <v>75</v>
      </c>
      <c r="G1006" s="31">
        <v>3320</v>
      </c>
      <c r="H1006" s="31" t="s">
        <v>160</v>
      </c>
      <c r="J1006" s="38">
        <v>0</v>
      </c>
    </row>
    <row r="1007" spans="1:10" x14ac:dyDescent="0.35">
      <c r="A1007" s="31">
        <v>503</v>
      </c>
      <c r="B1007" s="19" t="s">
        <v>17</v>
      </c>
      <c r="C1007" s="19"/>
      <c r="D1007" s="37">
        <v>45899</v>
      </c>
      <c r="E1007" s="31" t="s">
        <v>735</v>
      </c>
      <c r="F1007" s="31" t="s">
        <v>75</v>
      </c>
      <c r="G1007" s="31">
        <v>3320</v>
      </c>
      <c r="H1007" s="31" t="s">
        <v>160</v>
      </c>
      <c r="I1007" s="38">
        <v>0</v>
      </c>
    </row>
    <row r="1008" spans="1:10" x14ac:dyDescent="0.35">
      <c r="A1008" s="31">
        <v>503.5</v>
      </c>
      <c r="B1008" s="19"/>
      <c r="C1008" s="19" t="s">
        <v>22</v>
      </c>
      <c r="D1008" s="37">
        <v>45899</v>
      </c>
      <c r="E1008" s="31" t="s">
        <v>735</v>
      </c>
      <c r="F1008" s="31" t="s">
        <v>75</v>
      </c>
      <c r="G1008" s="31">
        <v>3320</v>
      </c>
      <c r="H1008" s="31" t="s">
        <v>160</v>
      </c>
      <c r="J1008" s="38">
        <v>0</v>
      </c>
    </row>
    <row r="1009" spans="1:10" x14ac:dyDescent="0.35">
      <c r="A1009" s="31">
        <v>504</v>
      </c>
      <c r="B1009" s="19" t="s">
        <v>17</v>
      </c>
      <c r="C1009" s="19"/>
      <c r="D1009" s="37">
        <v>45899</v>
      </c>
      <c r="E1009" s="31" t="s">
        <v>736</v>
      </c>
      <c r="F1009" s="31" t="s">
        <v>737</v>
      </c>
      <c r="G1009" s="31">
        <v>3341</v>
      </c>
      <c r="H1009" s="31" t="s">
        <v>160</v>
      </c>
      <c r="I1009" s="38">
        <v>0</v>
      </c>
    </row>
    <row r="1010" spans="1:10" x14ac:dyDescent="0.35">
      <c r="A1010" s="31">
        <v>504.5</v>
      </c>
      <c r="B1010" s="19"/>
      <c r="C1010" s="19" t="s">
        <v>22</v>
      </c>
      <c r="D1010" s="37">
        <v>45899</v>
      </c>
      <c r="E1010" s="31" t="s">
        <v>736</v>
      </c>
      <c r="F1010" s="31" t="s">
        <v>737</v>
      </c>
      <c r="G1010" s="31">
        <v>3341</v>
      </c>
      <c r="H1010" s="31" t="s">
        <v>160</v>
      </c>
      <c r="J1010" s="38">
        <v>0</v>
      </c>
    </row>
    <row r="1011" spans="1:10" x14ac:dyDescent="0.35">
      <c r="A1011" s="31">
        <v>505</v>
      </c>
      <c r="B1011" s="19" t="s">
        <v>17</v>
      </c>
      <c r="C1011" s="19"/>
      <c r="D1011" s="37">
        <v>45899</v>
      </c>
      <c r="E1011" s="31" t="s">
        <v>738</v>
      </c>
      <c r="F1011" s="31" t="s">
        <v>739</v>
      </c>
      <c r="G1011" s="31">
        <v>3550</v>
      </c>
      <c r="H1011" s="31" t="s">
        <v>160</v>
      </c>
      <c r="I1011" s="38">
        <v>0</v>
      </c>
    </row>
    <row r="1012" spans="1:10" x14ac:dyDescent="0.35">
      <c r="A1012" s="31">
        <v>505.5</v>
      </c>
      <c r="B1012" s="19"/>
      <c r="C1012" s="19" t="s">
        <v>22</v>
      </c>
      <c r="D1012" s="37">
        <v>45899</v>
      </c>
      <c r="E1012" s="31" t="s">
        <v>738</v>
      </c>
      <c r="F1012" s="31" t="s">
        <v>739</v>
      </c>
      <c r="G1012" s="31">
        <v>3550</v>
      </c>
      <c r="H1012" s="31" t="s">
        <v>160</v>
      </c>
      <c r="J1012" s="38">
        <v>0</v>
      </c>
    </row>
    <row r="1013" spans="1:10" x14ac:dyDescent="0.35">
      <c r="A1013" s="31">
        <v>506</v>
      </c>
      <c r="B1013" s="19" t="s">
        <v>17</v>
      </c>
      <c r="C1013" s="19"/>
      <c r="D1013" s="37">
        <v>45899</v>
      </c>
      <c r="E1013" s="31" t="s">
        <v>740</v>
      </c>
      <c r="F1013" s="31" t="s">
        <v>741</v>
      </c>
      <c r="G1013" s="31">
        <v>2609</v>
      </c>
      <c r="H1013" s="31" t="s">
        <v>160</v>
      </c>
      <c r="I1013" s="38">
        <v>0</v>
      </c>
    </row>
    <row r="1014" spans="1:10" x14ac:dyDescent="0.35">
      <c r="A1014" s="31">
        <v>506.5</v>
      </c>
      <c r="B1014" s="19"/>
      <c r="C1014" s="19" t="s">
        <v>22</v>
      </c>
      <c r="D1014" s="37">
        <v>45899</v>
      </c>
      <c r="E1014" s="31" t="s">
        <v>740</v>
      </c>
      <c r="F1014" s="31" t="s">
        <v>741</v>
      </c>
      <c r="G1014" s="31">
        <v>2609</v>
      </c>
      <c r="H1014" s="31" t="s">
        <v>160</v>
      </c>
      <c r="J1014" s="38">
        <v>0</v>
      </c>
    </row>
    <row r="1015" spans="1:10" x14ac:dyDescent="0.35">
      <c r="A1015" s="31">
        <v>507</v>
      </c>
      <c r="B1015" s="19" t="s">
        <v>17</v>
      </c>
      <c r="C1015" s="19"/>
      <c r="D1015" s="37">
        <v>45899</v>
      </c>
      <c r="E1015" s="31" t="s">
        <v>742</v>
      </c>
      <c r="F1015" s="31" t="s">
        <v>741</v>
      </c>
      <c r="G1015" s="31">
        <v>2609</v>
      </c>
      <c r="H1015" s="31" t="s">
        <v>160</v>
      </c>
      <c r="I1015" s="38">
        <v>0</v>
      </c>
    </row>
    <row r="1016" spans="1:10" x14ac:dyDescent="0.35">
      <c r="A1016" s="31">
        <v>507.5</v>
      </c>
      <c r="B1016" s="19"/>
      <c r="C1016" s="19" t="s">
        <v>22</v>
      </c>
      <c r="D1016" s="37">
        <v>45899</v>
      </c>
      <c r="E1016" s="31" t="s">
        <v>742</v>
      </c>
      <c r="F1016" s="31" t="s">
        <v>741</v>
      </c>
      <c r="G1016" s="31">
        <v>2609</v>
      </c>
      <c r="H1016" s="31" t="s">
        <v>160</v>
      </c>
      <c r="J1016" s="38">
        <v>0</v>
      </c>
    </row>
    <row r="1017" spans="1:10" x14ac:dyDescent="0.35">
      <c r="A1017" s="31">
        <v>508</v>
      </c>
      <c r="B1017" s="19" t="s">
        <v>17</v>
      </c>
      <c r="C1017" s="19"/>
      <c r="D1017" s="37">
        <v>45899</v>
      </c>
      <c r="E1017" s="31" t="s">
        <v>743</v>
      </c>
      <c r="F1017" s="31" t="s">
        <v>741</v>
      </c>
      <c r="G1017" s="31">
        <v>2609</v>
      </c>
      <c r="H1017" s="31" t="s">
        <v>160</v>
      </c>
      <c r="I1017" s="38">
        <v>0</v>
      </c>
    </row>
    <row r="1018" spans="1:10" x14ac:dyDescent="0.35">
      <c r="A1018" s="31">
        <v>508.5</v>
      </c>
      <c r="B1018" s="19"/>
      <c r="C1018" s="19" t="s">
        <v>22</v>
      </c>
      <c r="D1018" s="37">
        <v>45899</v>
      </c>
      <c r="E1018" s="31" t="s">
        <v>743</v>
      </c>
      <c r="F1018" s="31" t="s">
        <v>741</v>
      </c>
      <c r="G1018" s="31">
        <v>2609</v>
      </c>
      <c r="H1018" s="31" t="s">
        <v>160</v>
      </c>
      <c r="J1018" s="38">
        <v>0</v>
      </c>
    </row>
    <row r="1019" spans="1:10" x14ac:dyDescent="0.35">
      <c r="A1019" s="31">
        <v>509</v>
      </c>
      <c r="B1019" s="19" t="s">
        <v>17</v>
      </c>
      <c r="C1019" s="19"/>
      <c r="D1019" s="37">
        <v>45899</v>
      </c>
      <c r="E1019" s="31" t="s">
        <v>744</v>
      </c>
      <c r="F1019" s="31" t="s">
        <v>741</v>
      </c>
      <c r="G1019" s="31">
        <v>2609</v>
      </c>
      <c r="H1019" s="31" t="s">
        <v>160</v>
      </c>
      <c r="I1019" s="38">
        <v>0</v>
      </c>
    </row>
    <row r="1020" spans="1:10" x14ac:dyDescent="0.35">
      <c r="A1020" s="31">
        <v>509.5</v>
      </c>
      <c r="B1020" s="19"/>
      <c r="C1020" s="19" t="s">
        <v>22</v>
      </c>
      <c r="D1020" s="37">
        <v>45899</v>
      </c>
      <c r="E1020" s="31" t="s">
        <v>744</v>
      </c>
      <c r="F1020" s="31" t="s">
        <v>741</v>
      </c>
      <c r="G1020" s="31">
        <v>2609</v>
      </c>
      <c r="H1020" s="31" t="s">
        <v>160</v>
      </c>
      <c r="J1020" s="38">
        <v>0</v>
      </c>
    </row>
    <row r="1021" spans="1:10" x14ac:dyDescent="0.35">
      <c r="A1021" s="31">
        <v>510</v>
      </c>
      <c r="B1021" s="19" t="s">
        <v>17</v>
      </c>
      <c r="C1021" s="19"/>
      <c r="D1021" s="37">
        <v>45899</v>
      </c>
      <c r="E1021" s="31" t="s">
        <v>745</v>
      </c>
      <c r="F1021" s="31" t="s">
        <v>741</v>
      </c>
      <c r="G1021" s="31">
        <v>2609</v>
      </c>
      <c r="H1021" s="31" t="s">
        <v>160</v>
      </c>
      <c r="I1021" s="38">
        <v>0</v>
      </c>
    </row>
    <row r="1022" spans="1:10" x14ac:dyDescent="0.35">
      <c r="A1022" s="31">
        <v>510.5</v>
      </c>
      <c r="B1022" s="19"/>
      <c r="C1022" s="19" t="s">
        <v>22</v>
      </c>
      <c r="D1022" s="37">
        <v>45899</v>
      </c>
      <c r="E1022" s="31" t="s">
        <v>745</v>
      </c>
      <c r="F1022" s="31" t="s">
        <v>741</v>
      </c>
      <c r="G1022" s="31">
        <v>2609</v>
      </c>
      <c r="H1022" s="31" t="s">
        <v>160</v>
      </c>
      <c r="J1022" s="38">
        <v>0</v>
      </c>
    </row>
    <row r="1023" spans="1:10" x14ac:dyDescent="0.35">
      <c r="A1023" s="31">
        <v>511</v>
      </c>
      <c r="B1023" s="19" t="s">
        <v>17</v>
      </c>
      <c r="C1023" s="19"/>
      <c r="D1023" s="37">
        <v>45899</v>
      </c>
      <c r="E1023" s="31" t="s">
        <v>746</v>
      </c>
      <c r="F1023" s="31" t="s">
        <v>741</v>
      </c>
      <c r="G1023" s="31">
        <v>2609</v>
      </c>
      <c r="H1023" s="31" t="s">
        <v>160</v>
      </c>
      <c r="I1023" s="38">
        <v>0</v>
      </c>
    </row>
    <row r="1024" spans="1:10" x14ac:dyDescent="0.35">
      <c r="A1024" s="31">
        <v>511.5</v>
      </c>
      <c r="B1024" s="19"/>
      <c r="C1024" s="19" t="s">
        <v>22</v>
      </c>
      <c r="D1024" s="37">
        <v>45899</v>
      </c>
      <c r="E1024" s="31" t="s">
        <v>746</v>
      </c>
      <c r="F1024" s="31" t="s">
        <v>741</v>
      </c>
      <c r="G1024" s="31">
        <v>2609</v>
      </c>
      <c r="H1024" s="31" t="s">
        <v>160</v>
      </c>
      <c r="J1024" s="38">
        <v>0</v>
      </c>
    </row>
    <row r="1025" spans="1:10" x14ac:dyDescent="0.35">
      <c r="A1025" s="31">
        <v>512</v>
      </c>
      <c r="B1025" s="19" t="s">
        <v>17</v>
      </c>
      <c r="C1025" s="19"/>
      <c r="D1025" s="37">
        <v>45899</v>
      </c>
      <c r="E1025" s="31" t="s">
        <v>747</v>
      </c>
      <c r="F1025" s="31" t="s">
        <v>741</v>
      </c>
      <c r="G1025" s="31">
        <v>2609</v>
      </c>
      <c r="H1025" s="31" t="s">
        <v>160</v>
      </c>
      <c r="I1025" s="38">
        <v>0</v>
      </c>
    </row>
    <row r="1026" spans="1:10" x14ac:dyDescent="0.35">
      <c r="A1026" s="31">
        <v>512.5</v>
      </c>
      <c r="B1026" s="19"/>
      <c r="C1026" s="19" t="s">
        <v>22</v>
      </c>
      <c r="D1026" s="37">
        <v>45899</v>
      </c>
      <c r="E1026" s="31" t="s">
        <v>747</v>
      </c>
      <c r="F1026" s="31" t="s">
        <v>741</v>
      </c>
      <c r="G1026" s="31">
        <v>2609</v>
      </c>
      <c r="H1026" s="31" t="s">
        <v>160</v>
      </c>
      <c r="J1026" s="38">
        <v>0</v>
      </c>
    </row>
    <row r="1027" spans="1:10" x14ac:dyDescent="0.35">
      <c r="A1027" s="31">
        <v>513</v>
      </c>
      <c r="B1027" s="19" t="s">
        <v>17</v>
      </c>
      <c r="C1027" s="19"/>
      <c r="D1027" s="37">
        <v>45899</v>
      </c>
      <c r="E1027" s="31" t="s">
        <v>748</v>
      </c>
      <c r="F1027" s="31" t="s">
        <v>741</v>
      </c>
      <c r="G1027" s="31">
        <v>2609</v>
      </c>
      <c r="H1027" s="31" t="s">
        <v>160</v>
      </c>
      <c r="I1027" s="38">
        <v>0</v>
      </c>
    </row>
    <row r="1028" spans="1:10" x14ac:dyDescent="0.35">
      <c r="A1028" s="31">
        <v>513.5</v>
      </c>
      <c r="B1028" s="19"/>
      <c r="C1028" s="19" t="s">
        <v>22</v>
      </c>
      <c r="D1028" s="37">
        <v>45899</v>
      </c>
      <c r="E1028" s="31" t="s">
        <v>748</v>
      </c>
      <c r="F1028" s="31" t="s">
        <v>741</v>
      </c>
      <c r="G1028" s="31">
        <v>2609</v>
      </c>
      <c r="H1028" s="31" t="s">
        <v>160</v>
      </c>
      <c r="J1028" s="38">
        <v>0</v>
      </c>
    </row>
    <row r="1029" spans="1:10" x14ac:dyDescent="0.35">
      <c r="A1029" s="31">
        <v>514</v>
      </c>
      <c r="B1029" s="19" t="s">
        <v>17</v>
      </c>
      <c r="C1029" s="19"/>
      <c r="D1029" s="37">
        <v>45899</v>
      </c>
      <c r="E1029" s="31">
        <v>37789</v>
      </c>
      <c r="F1029" s="31" t="s">
        <v>50</v>
      </c>
      <c r="G1029" s="31">
        <v>1938</v>
      </c>
      <c r="H1029" s="31" t="s">
        <v>160</v>
      </c>
      <c r="I1029" s="38">
        <v>0</v>
      </c>
    </row>
    <row r="1030" spans="1:10" x14ac:dyDescent="0.35">
      <c r="A1030" s="31">
        <v>514.5</v>
      </c>
      <c r="B1030" s="19"/>
      <c r="C1030" s="19" t="s">
        <v>22</v>
      </c>
      <c r="D1030" s="37">
        <v>45899</v>
      </c>
      <c r="E1030" s="31">
        <v>37789</v>
      </c>
      <c r="F1030" s="31" t="s">
        <v>50</v>
      </c>
      <c r="G1030" s="31">
        <v>1938</v>
      </c>
      <c r="H1030" s="31" t="s">
        <v>160</v>
      </c>
      <c r="J1030" s="38">
        <v>0</v>
      </c>
    </row>
    <row r="1031" spans="1:10" x14ac:dyDescent="0.35">
      <c r="A1031" s="31">
        <v>515</v>
      </c>
      <c r="B1031" s="19" t="s">
        <v>17</v>
      </c>
      <c r="C1031" s="19"/>
      <c r="D1031" s="37">
        <v>45899</v>
      </c>
      <c r="E1031" s="31" t="s">
        <v>749</v>
      </c>
      <c r="F1031" s="31" t="s">
        <v>682</v>
      </c>
      <c r="G1031" s="31">
        <v>3273</v>
      </c>
      <c r="H1031" s="31" t="s">
        <v>160</v>
      </c>
      <c r="I1031" s="38">
        <v>0</v>
      </c>
    </row>
    <row r="1032" spans="1:10" x14ac:dyDescent="0.35">
      <c r="A1032" s="31">
        <v>515.5</v>
      </c>
      <c r="B1032" s="19"/>
      <c r="C1032" s="19" t="s">
        <v>22</v>
      </c>
      <c r="D1032" s="37">
        <v>45899</v>
      </c>
      <c r="E1032" s="31" t="s">
        <v>749</v>
      </c>
      <c r="F1032" s="31" t="s">
        <v>682</v>
      </c>
      <c r="G1032" s="31">
        <v>3273</v>
      </c>
      <c r="H1032" s="31" t="s">
        <v>160</v>
      </c>
      <c r="J1032" s="38">
        <v>0</v>
      </c>
    </row>
    <row r="1033" spans="1:10" x14ac:dyDescent="0.35">
      <c r="A1033" s="31">
        <v>516</v>
      </c>
      <c r="B1033" s="19" t="s">
        <v>17</v>
      </c>
      <c r="C1033" s="19"/>
      <c r="D1033" s="37">
        <v>45899</v>
      </c>
      <c r="E1033" s="31" t="s">
        <v>750</v>
      </c>
      <c r="F1033" s="31" t="s">
        <v>751</v>
      </c>
      <c r="G1033" s="31">
        <v>3312</v>
      </c>
      <c r="H1033" s="31" t="s">
        <v>160</v>
      </c>
      <c r="I1033" s="38">
        <v>0</v>
      </c>
    </row>
    <row r="1034" spans="1:10" x14ac:dyDescent="0.35">
      <c r="A1034" s="31">
        <v>516.5</v>
      </c>
      <c r="B1034" s="19"/>
      <c r="C1034" s="19" t="s">
        <v>22</v>
      </c>
      <c r="D1034" s="37">
        <v>45899</v>
      </c>
      <c r="E1034" s="31" t="s">
        <v>750</v>
      </c>
      <c r="F1034" s="31" t="s">
        <v>751</v>
      </c>
      <c r="G1034" s="31">
        <v>3312</v>
      </c>
      <c r="H1034" s="31" t="s">
        <v>160</v>
      </c>
      <c r="J1034" s="38">
        <v>0</v>
      </c>
    </row>
    <row r="1035" spans="1:10" x14ac:dyDescent="0.35">
      <c r="A1035" s="31">
        <v>517</v>
      </c>
      <c r="B1035" s="19" t="s">
        <v>17</v>
      </c>
      <c r="C1035" s="19"/>
      <c r="D1035" s="37">
        <v>45899</v>
      </c>
      <c r="E1035" s="31" t="s">
        <v>752</v>
      </c>
      <c r="F1035" s="31" t="s">
        <v>751</v>
      </c>
      <c r="G1035" s="31">
        <v>3312</v>
      </c>
      <c r="H1035" s="31" t="s">
        <v>160</v>
      </c>
      <c r="I1035" s="38">
        <v>0</v>
      </c>
    </row>
    <row r="1036" spans="1:10" x14ac:dyDescent="0.35">
      <c r="A1036" s="31">
        <v>517.5</v>
      </c>
      <c r="B1036" s="19"/>
      <c r="C1036" s="19" t="s">
        <v>22</v>
      </c>
      <c r="D1036" s="37">
        <v>45899</v>
      </c>
      <c r="E1036" s="31" t="s">
        <v>752</v>
      </c>
      <c r="F1036" s="31" t="s">
        <v>751</v>
      </c>
      <c r="G1036" s="31">
        <v>3312</v>
      </c>
      <c r="H1036" s="31" t="s">
        <v>160</v>
      </c>
      <c r="J1036" s="38">
        <v>0</v>
      </c>
    </row>
    <row r="1037" spans="1:10" x14ac:dyDescent="0.35">
      <c r="A1037" s="31">
        <v>518</v>
      </c>
      <c r="B1037" s="19" t="s">
        <v>17</v>
      </c>
      <c r="C1037" s="19"/>
      <c r="D1037" s="37">
        <v>45899</v>
      </c>
      <c r="E1037" s="31" t="s">
        <v>753</v>
      </c>
      <c r="F1037" s="31" t="s">
        <v>754</v>
      </c>
      <c r="G1037" s="31">
        <v>3396</v>
      </c>
      <c r="H1037" s="31" t="s">
        <v>160</v>
      </c>
      <c r="I1037" s="38">
        <v>0</v>
      </c>
    </row>
    <row r="1038" spans="1:10" x14ac:dyDescent="0.35">
      <c r="A1038" s="31">
        <v>518.5</v>
      </c>
      <c r="B1038" s="19"/>
      <c r="C1038" s="19" t="s">
        <v>22</v>
      </c>
      <c r="D1038" s="37">
        <v>45899</v>
      </c>
      <c r="E1038" s="31" t="s">
        <v>753</v>
      </c>
      <c r="F1038" s="31" t="s">
        <v>754</v>
      </c>
      <c r="G1038" s="31">
        <v>3396</v>
      </c>
      <c r="H1038" s="31" t="s">
        <v>160</v>
      </c>
      <c r="J1038" s="38">
        <v>0</v>
      </c>
    </row>
    <row r="1039" spans="1:10" x14ac:dyDescent="0.35">
      <c r="A1039" s="31">
        <v>519</v>
      </c>
      <c r="B1039" s="19" t="s">
        <v>17</v>
      </c>
      <c r="C1039" s="19"/>
      <c r="D1039" s="37">
        <v>45899</v>
      </c>
      <c r="E1039" s="31" t="s">
        <v>755</v>
      </c>
      <c r="F1039" s="31" t="s">
        <v>754</v>
      </c>
      <c r="G1039" s="31">
        <v>3396</v>
      </c>
      <c r="H1039" s="31" t="s">
        <v>160</v>
      </c>
      <c r="I1039" s="38">
        <v>0</v>
      </c>
    </row>
    <row r="1040" spans="1:10" x14ac:dyDescent="0.35">
      <c r="A1040" s="31">
        <v>519.5</v>
      </c>
      <c r="B1040" s="19"/>
      <c r="C1040" s="19" t="s">
        <v>22</v>
      </c>
      <c r="D1040" s="37">
        <v>45899</v>
      </c>
      <c r="E1040" s="31" t="s">
        <v>755</v>
      </c>
      <c r="F1040" s="31" t="s">
        <v>754</v>
      </c>
      <c r="G1040" s="31">
        <v>3396</v>
      </c>
      <c r="H1040" s="31" t="s">
        <v>160</v>
      </c>
      <c r="J1040" s="38">
        <v>0</v>
      </c>
    </row>
    <row r="1041" spans="1:10" x14ac:dyDescent="0.35">
      <c r="A1041" s="31">
        <v>520</v>
      </c>
      <c r="B1041" s="19" t="s">
        <v>17</v>
      </c>
      <c r="C1041" s="19"/>
      <c r="D1041" s="37">
        <v>45899</v>
      </c>
      <c r="E1041" s="31" t="s">
        <v>756</v>
      </c>
      <c r="F1041" s="31" t="s">
        <v>757</v>
      </c>
      <c r="G1041" s="31">
        <v>3150</v>
      </c>
      <c r="H1041" s="31" t="s">
        <v>160</v>
      </c>
      <c r="I1041" s="38">
        <v>0</v>
      </c>
    </row>
    <row r="1042" spans="1:10" x14ac:dyDescent="0.35">
      <c r="A1042" s="31">
        <v>520.5</v>
      </c>
      <c r="B1042" s="19"/>
      <c r="C1042" s="19" t="s">
        <v>22</v>
      </c>
      <c r="D1042" s="37">
        <v>45899</v>
      </c>
      <c r="E1042" s="31" t="s">
        <v>756</v>
      </c>
      <c r="F1042" s="31" t="s">
        <v>757</v>
      </c>
      <c r="G1042" s="31">
        <v>3150</v>
      </c>
      <c r="H1042" s="31" t="s">
        <v>160</v>
      </c>
      <c r="J1042" s="38">
        <v>0</v>
      </c>
    </row>
    <row r="1043" spans="1:10" x14ac:dyDescent="0.35">
      <c r="A1043" s="31">
        <v>521</v>
      </c>
      <c r="B1043" s="19" t="s">
        <v>17</v>
      </c>
      <c r="C1043" s="19"/>
      <c r="D1043" s="37">
        <v>45899</v>
      </c>
      <c r="E1043" s="31" t="s">
        <v>758</v>
      </c>
      <c r="F1043" s="31" t="s">
        <v>757</v>
      </c>
      <c r="G1043" s="31">
        <v>3150</v>
      </c>
      <c r="H1043" s="31" t="s">
        <v>160</v>
      </c>
      <c r="I1043" s="38">
        <v>0</v>
      </c>
    </row>
    <row r="1044" spans="1:10" x14ac:dyDescent="0.35">
      <c r="A1044" s="31">
        <v>521.5</v>
      </c>
      <c r="B1044" s="19"/>
      <c r="C1044" s="19" t="s">
        <v>22</v>
      </c>
      <c r="D1044" s="37">
        <v>45899</v>
      </c>
      <c r="E1044" s="31" t="s">
        <v>758</v>
      </c>
      <c r="F1044" s="31" t="s">
        <v>757</v>
      </c>
      <c r="G1044" s="31">
        <v>3150</v>
      </c>
      <c r="H1044" s="31" t="s">
        <v>160</v>
      </c>
      <c r="J1044" s="38">
        <v>0</v>
      </c>
    </row>
    <row r="1045" spans="1:10" x14ac:dyDescent="0.35">
      <c r="A1045" s="31">
        <v>522</v>
      </c>
      <c r="B1045" s="19" t="s">
        <v>17</v>
      </c>
      <c r="C1045" s="19"/>
      <c r="D1045" s="37">
        <v>45899</v>
      </c>
      <c r="E1045" s="31" t="s">
        <v>759</v>
      </c>
      <c r="F1045" s="31" t="s">
        <v>757</v>
      </c>
      <c r="G1045" s="31">
        <v>3150</v>
      </c>
      <c r="H1045" s="31" t="s">
        <v>160</v>
      </c>
      <c r="I1045" s="38">
        <v>0</v>
      </c>
    </row>
    <row r="1046" spans="1:10" x14ac:dyDescent="0.35">
      <c r="A1046" s="31">
        <v>522.5</v>
      </c>
      <c r="B1046" s="19"/>
      <c r="C1046" s="19" t="s">
        <v>22</v>
      </c>
      <c r="D1046" s="37">
        <v>45899</v>
      </c>
      <c r="E1046" s="31" t="s">
        <v>759</v>
      </c>
      <c r="F1046" s="31" t="s">
        <v>757</v>
      </c>
      <c r="G1046" s="31">
        <v>3150</v>
      </c>
      <c r="H1046" s="31" t="s">
        <v>160</v>
      </c>
      <c r="J1046" s="38">
        <v>0</v>
      </c>
    </row>
    <row r="1047" spans="1:10" x14ac:dyDescent="0.35">
      <c r="A1047" s="31">
        <v>523</v>
      </c>
      <c r="B1047" s="19" t="s">
        <v>17</v>
      </c>
      <c r="C1047" s="19"/>
      <c r="D1047" s="37">
        <v>45899</v>
      </c>
      <c r="E1047" s="31" t="s">
        <v>760</v>
      </c>
      <c r="F1047" s="31" t="s">
        <v>757</v>
      </c>
      <c r="G1047" s="31">
        <v>3150</v>
      </c>
      <c r="H1047" s="31" t="s">
        <v>160</v>
      </c>
      <c r="I1047" s="38">
        <v>0</v>
      </c>
    </row>
    <row r="1048" spans="1:10" x14ac:dyDescent="0.35">
      <c r="A1048" s="31">
        <v>523.5</v>
      </c>
      <c r="B1048" s="19"/>
      <c r="C1048" s="19" t="s">
        <v>22</v>
      </c>
      <c r="D1048" s="37">
        <v>45899</v>
      </c>
      <c r="E1048" s="31" t="s">
        <v>760</v>
      </c>
      <c r="F1048" s="31" t="s">
        <v>757</v>
      </c>
      <c r="G1048" s="31">
        <v>3150</v>
      </c>
      <c r="H1048" s="31" t="s">
        <v>160</v>
      </c>
      <c r="J1048" s="38">
        <v>0</v>
      </c>
    </row>
    <row r="1049" spans="1:10" x14ac:dyDescent="0.35">
      <c r="A1049" s="31">
        <v>524</v>
      </c>
      <c r="B1049" s="19" t="s">
        <v>17</v>
      </c>
      <c r="C1049" s="19"/>
      <c r="D1049" s="37">
        <v>45899</v>
      </c>
      <c r="E1049" s="31" t="s">
        <v>761</v>
      </c>
      <c r="F1049" s="31" t="s">
        <v>757</v>
      </c>
      <c r="G1049" s="31">
        <v>3150</v>
      </c>
      <c r="H1049" s="31" t="s">
        <v>160</v>
      </c>
      <c r="I1049" s="38">
        <v>0</v>
      </c>
    </row>
    <row r="1050" spans="1:10" x14ac:dyDescent="0.35">
      <c r="A1050" s="31">
        <v>524.5</v>
      </c>
      <c r="B1050" s="19"/>
      <c r="C1050" s="19" t="s">
        <v>22</v>
      </c>
      <c r="D1050" s="37">
        <v>45899</v>
      </c>
      <c r="E1050" s="31" t="s">
        <v>761</v>
      </c>
      <c r="F1050" s="31" t="s">
        <v>757</v>
      </c>
      <c r="G1050" s="31">
        <v>3150</v>
      </c>
      <c r="H1050" s="31" t="s">
        <v>160</v>
      </c>
      <c r="J1050" s="38">
        <v>0</v>
      </c>
    </row>
    <row r="1051" spans="1:10" x14ac:dyDescent="0.35">
      <c r="A1051" s="31">
        <v>525</v>
      </c>
      <c r="B1051" s="19" t="s">
        <v>17</v>
      </c>
      <c r="C1051" s="19"/>
      <c r="D1051" s="37">
        <v>45899</v>
      </c>
      <c r="E1051" s="31" t="s">
        <v>762</v>
      </c>
      <c r="F1051" s="31" t="s">
        <v>284</v>
      </c>
      <c r="G1051" s="31">
        <v>3368</v>
      </c>
      <c r="H1051" s="31" t="s">
        <v>160</v>
      </c>
      <c r="I1051" s="38">
        <v>0</v>
      </c>
    </row>
    <row r="1052" spans="1:10" x14ac:dyDescent="0.35">
      <c r="A1052" s="31">
        <v>525.5</v>
      </c>
      <c r="B1052" s="19"/>
      <c r="C1052" s="19" t="s">
        <v>22</v>
      </c>
      <c r="D1052" s="37">
        <v>45899</v>
      </c>
      <c r="E1052" s="31" t="s">
        <v>762</v>
      </c>
      <c r="F1052" s="31" t="s">
        <v>284</v>
      </c>
      <c r="G1052" s="31">
        <v>3368</v>
      </c>
      <c r="H1052" s="31" t="s">
        <v>160</v>
      </c>
      <c r="J1052" s="38">
        <v>0</v>
      </c>
    </row>
    <row r="1053" spans="1:10" x14ac:dyDescent="0.35">
      <c r="A1053" s="31">
        <v>526</v>
      </c>
      <c r="B1053" s="19" t="s">
        <v>17</v>
      </c>
      <c r="C1053" s="19"/>
      <c r="D1053" s="37">
        <v>45899</v>
      </c>
      <c r="E1053" s="31" t="s">
        <v>763</v>
      </c>
      <c r="F1053" s="31" t="s">
        <v>178</v>
      </c>
      <c r="G1053" s="31">
        <v>1554</v>
      </c>
      <c r="H1053" s="31" t="s">
        <v>160</v>
      </c>
      <c r="I1053" s="38">
        <v>0</v>
      </c>
    </row>
    <row r="1054" spans="1:10" x14ac:dyDescent="0.35">
      <c r="A1054" s="31">
        <v>526.5</v>
      </c>
      <c r="B1054" s="19"/>
      <c r="C1054" s="19" t="s">
        <v>22</v>
      </c>
      <c r="D1054" s="37">
        <v>45899</v>
      </c>
      <c r="E1054" s="31" t="s">
        <v>763</v>
      </c>
      <c r="F1054" s="31" t="s">
        <v>178</v>
      </c>
      <c r="G1054" s="31">
        <v>1554</v>
      </c>
      <c r="H1054" s="31" t="s">
        <v>160</v>
      </c>
      <c r="J1054" s="38">
        <v>0</v>
      </c>
    </row>
    <row r="1055" spans="1:10" x14ac:dyDescent="0.35">
      <c r="A1055" s="31">
        <v>527</v>
      </c>
      <c r="B1055" s="19" t="s">
        <v>17</v>
      </c>
      <c r="C1055" s="19"/>
      <c r="D1055" s="37">
        <v>45899</v>
      </c>
      <c r="E1055" s="31" t="s">
        <v>764</v>
      </c>
      <c r="F1055" s="31" t="s">
        <v>178</v>
      </c>
      <c r="G1055" s="31">
        <v>1554</v>
      </c>
      <c r="H1055" s="31" t="s">
        <v>160</v>
      </c>
      <c r="I1055" s="38">
        <v>0</v>
      </c>
    </row>
    <row r="1056" spans="1:10" x14ac:dyDescent="0.35">
      <c r="A1056" s="31">
        <v>527.5</v>
      </c>
      <c r="B1056" s="19"/>
      <c r="C1056" s="19" t="s">
        <v>22</v>
      </c>
      <c r="D1056" s="37">
        <v>45899</v>
      </c>
      <c r="E1056" s="31" t="s">
        <v>764</v>
      </c>
      <c r="F1056" s="31" t="s">
        <v>178</v>
      </c>
      <c r="G1056" s="31">
        <v>1554</v>
      </c>
      <c r="H1056" s="31" t="s">
        <v>160</v>
      </c>
      <c r="J1056" s="38">
        <v>0</v>
      </c>
    </row>
    <row r="1057" spans="1:10" x14ac:dyDescent="0.35">
      <c r="A1057" s="31">
        <v>528</v>
      </c>
      <c r="B1057" s="19" t="s">
        <v>17</v>
      </c>
      <c r="C1057" s="19"/>
      <c r="D1057" s="37">
        <v>45899</v>
      </c>
      <c r="E1057" s="31" t="s">
        <v>765</v>
      </c>
      <c r="F1057" s="31" t="s">
        <v>178</v>
      </c>
      <c r="G1057" s="31">
        <v>1554</v>
      </c>
      <c r="H1057" s="31" t="s">
        <v>160</v>
      </c>
      <c r="I1057" s="38">
        <v>0</v>
      </c>
    </row>
    <row r="1058" spans="1:10" x14ac:dyDescent="0.35">
      <c r="A1058" s="31">
        <v>528.5</v>
      </c>
      <c r="B1058" s="19"/>
      <c r="C1058" s="19" t="s">
        <v>22</v>
      </c>
      <c r="D1058" s="37">
        <v>45899</v>
      </c>
      <c r="E1058" s="31" t="s">
        <v>765</v>
      </c>
      <c r="F1058" s="31" t="s">
        <v>178</v>
      </c>
      <c r="G1058" s="31">
        <v>1554</v>
      </c>
      <c r="H1058" s="31" t="s">
        <v>160</v>
      </c>
      <c r="J1058" s="38">
        <v>0</v>
      </c>
    </row>
    <row r="1059" spans="1:10" x14ac:dyDescent="0.35">
      <c r="A1059" s="31">
        <v>529</v>
      </c>
      <c r="B1059" s="19" t="s">
        <v>17</v>
      </c>
      <c r="C1059" s="19"/>
      <c r="D1059" s="37">
        <v>45899</v>
      </c>
      <c r="E1059" s="31" t="s">
        <v>766</v>
      </c>
      <c r="F1059" s="31" t="s">
        <v>767</v>
      </c>
      <c r="G1059" s="31">
        <v>3388</v>
      </c>
      <c r="H1059" s="31" t="s">
        <v>160</v>
      </c>
      <c r="I1059" s="38">
        <v>0</v>
      </c>
    </row>
    <row r="1060" spans="1:10" x14ac:dyDescent="0.35">
      <c r="A1060" s="31">
        <v>529.5</v>
      </c>
      <c r="B1060" s="19"/>
      <c r="C1060" s="19" t="s">
        <v>22</v>
      </c>
      <c r="D1060" s="37">
        <v>45899</v>
      </c>
      <c r="E1060" s="31" t="s">
        <v>766</v>
      </c>
      <c r="F1060" s="31" t="s">
        <v>767</v>
      </c>
      <c r="G1060" s="31">
        <v>3388</v>
      </c>
      <c r="H1060" s="31" t="s">
        <v>160</v>
      </c>
      <c r="J1060" s="38">
        <v>0</v>
      </c>
    </row>
    <row r="1061" spans="1:10" x14ac:dyDescent="0.35">
      <c r="A1061" s="31">
        <v>530</v>
      </c>
      <c r="B1061" s="19" t="s">
        <v>17</v>
      </c>
      <c r="C1061" s="19"/>
      <c r="D1061" s="37">
        <v>45899</v>
      </c>
      <c r="E1061" s="31" t="s">
        <v>768</v>
      </c>
      <c r="F1061" s="31" t="s">
        <v>767</v>
      </c>
      <c r="G1061" s="31">
        <v>3388</v>
      </c>
      <c r="H1061" s="31" t="s">
        <v>160</v>
      </c>
      <c r="I1061" s="38">
        <v>0</v>
      </c>
    </row>
    <row r="1062" spans="1:10" x14ac:dyDescent="0.35">
      <c r="A1062" s="31">
        <v>530.5</v>
      </c>
      <c r="B1062" s="19"/>
      <c r="C1062" s="19" t="s">
        <v>22</v>
      </c>
      <c r="D1062" s="37">
        <v>45899</v>
      </c>
      <c r="E1062" s="31" t="s">
        <v>768</v>
      </c>
      <c r="F1062" s="31" t="s">
        <v>767</v>
      </c>
      <c r="G1062" s="31">
        <v>3388</v>
      </c>
      <c r="H1062" s="31" t="s">
        <v>160</v>
      </c>
      <c r="J1062" s="38">
        <v>0</v>
      </c>
    </row>
    <row r="1063" spans="1:10" x14ac:dyDescent="0.35">
      <c r="A1063" s="31">
        <v>531</v>
      </c>
      <c r="B1063" s="19" t="s">
        <v>17</v>
      </c>
      <c r="C1063" s="19"/>
      <c r="D1063" s="37">
        <v>45899</v>
      </c>
      <c r="E1063" s="31" t="s">
        <v>769</v>
      </c>
      <c r="F1063" s="31" t="s">
        <v>767</v>
      </c>
      <c r="G1063" s="31">
        <v>3388</v>
      </c>
      <c r="H1063" s="31" t="s">
        <v>160</v>
      </c>
      <c r="I1063" s="38">
        <v>0</v>
      </c>
    </row>
    <row r="1064" spans="1:10" x14ac:dyDescent="0.35">
      <c r="A1064" s="31">
        <v>531.5</v>
      </c>
      <c r="B1064" s="19"/>
      <c r="C1064" s="19" t="s">
        <v>22</v>
      </c>
      <c r="D1064" s="37">
        <v>45899</v>
      </c>
      <c r="E1064" s="31" t="s">
        <v>769</v>
      </c>
      <c r="F1064" s="31" t="s">
        <v>767</v>
      </c>
      <c r="G1064" s="31">
        <v>3388</v>
      </c>
      <c r="H1064" s="31" t="s">
        <v>160</v>
      </c>
      <c r="J1064" s="38">
        <v>0</v>
      </c>
    </row>
    <row r="1065" spans="1:10" x14ac:dyDescent="0.35">
      <c r="A1065" s="31">
        <v>532</v>
      </c>
      <c r="B1065" s="19" t="s">
        <v>17</v>
      </c>
      <c r="C1065" s="19"/>
      <c r="D1065" s="37">
        <v>45899</v>
      </c>
      <c r="E1065" s="31" t="s">
        <v>770</v>
      </c>
      <c r="F1065" s="31" t="s">
        <v>767</v>
      </c>
      <c r="G1065" s="31">
        <v>3388</v>
      </c>
      <c r="H1065" s="31" t="s">
        <v>160</v>
      </c>
      <c r="I1065" s="38">
        <v>0</v>
      </c>
    </row>
    <row r="1066" spans="1:10" x14ac:dyDescent="0.35">
      <c r="A1066" s="31">
        <v>532.5</v>
      </c>
      <c r="B1066" s="19"/>
      <c r="C1066" s="19" t="s">
        <v>22</v>
      </c>
      <c r="D1066" s="37">
        <v>45899</v>
      </c>
      <c r="E1066" s="31" t="s">
        <v>770</v>
      </c>
      <c r="F1066" s="31" t="s">
        <v>767</v>
      </c>
      <c r="G1066" s="31">
        <v>3388</v>
      </c>
      <c r="H1066" s="31" t="s">
        <v>160</v>
      </c>
      <c r="J1066" s="38">
        <v>0</v>
      </c>
    </row>
    <row r="1067" spans="1:10" x14ac:dyDescent="0.35">
      <c r="A1067" s="31">
        <v>533</v>
      </c>
      <c r="B1067" s="19" t="s">
        <v>17</v>
      </c>
      <c r="C1067" s="19"/>
      <c r="D1067" s="37">
        <v>45899</v>
      </c>
      <c r="E1067" s="31" t="s">
        <v>771</v>
      </c>
      <c r="F1067" s="31" t="s">
        <v>767</v>
      </c>
      <c r="G1067" s="31">
        <v>3388</v>
      </c>
      <c r="H1067" s="31" t="s">
        <v>160</v>
      </c>
      <c r="I1067" s="38">
        <v>0</v>
      </c>
    </row>
    <row r="1068" spans="1:10" x14ac:dyDescent="0.35">
      <c r="A1068" s="31">
        <v>533.5</v>
      </c>
      <c r="B1068" s="19"/>
      <c r="C1068" s="19" t="s">
        <v>22</v>
      </c>
      <c r="D1068" s="37">
        <v>45899</v>
      </c>
      <c r="E1068" s="31" t="s">
        <v>771</v>
      </c>
      <c r="F1068" s="31" t="s">
        <v>767</v>
      </c>
      <c r="G1068" s="31">
        <v>3388</v>
      </c>
      <c r="H1068" s="31" t="s">
        <v>160</v>
      </c>
      <c r="J1068" s="38">
        <v>0</v>
      </c>
    </row>
    <row r="1069" spans="1:10" x14ac:dyDescent="0.35">
      <c r="A1069" s="31">
        <v>534</v>
      </c>
      <c r="B1069" s="19" t="s">
        <v>17</v>
      </c>
      <c r="C1069" s="19"/>
      <c r="D1069" s="37">
        <v>45899</v>
      </c>
      <c r="E1069" s="31" t="s">
        <v>772</v>
      </c>
      <c r="F1069" s="31" t="s">
        <v>767</v>
      </c>
      <c r="G1069" s="31">
        <v>3388</v>
      </c>
      <c r="H1069" s="31" t="s">
        <v>160</v>
      </c>
      <c r="I1069" s="38">
        <v>0</v>
      </c>
    </row>
    <row r="1070" spans="1:10" x14ac:dyDescent="0.35">
      <c r="A1070" s="31">
        <v>534.5</v>
      </c>
      <c r="B1070" s="19"/>
      <c r="C1070" s="19" t="s">
        <v>22</v>
      </c>
      <c r="D1070" s="37">
        <v>45899</v>
      </c>
      <c r="E1070" s="31" t="s">
        <v>772</v>
      </c>
      <c r="F1070" s="31" t="s">
        <v>767</v>
      </c>
      <c r="G1070" s="31">
        <v>3388</v>
      </c>
      <c r="H1070" s="31" t="s">
        <v>160</v>
      </c>
      <c r="J1070" s="38">
        <v>0</v>
      </c>
    </row>
    <row r="1071" spans="1:10" x14ac:dyDescent="0.35">
      <c r="A1071" s="31">
        <v>535</v>
      </c>
      <c r="B1071" s="19" t="s">
        <v>17</v>
      </c>
      <c r="C1071" s="19"/>
      <c r="D1071" s="37">
        <v>45899</v>
      </c>
      <c r="E1071" s="31" t="s">
        <v>773</v>
      </c>
      <c r="F1071" s="31" t="s">
        <v>767</v>
      </c>
      <c r="G1071" s="31">
        <v>3388</v>
      </c>
      <c r="H1071" s="31" t="s">
        <v>160</v>
      </c>
      <c r="I1071" s="38">
        <v>0</v>
      </c>
    </row>
    <row r="1072" spans="1:10" x14ac:dyDescent="0.35">
      <c r="A1072" s="31">
        <v>535.5</v>
      </c>
      <c r="B1072" s="19"/>
      <c r="C1072" s="19" t="s">
        <v>22</v>
      </c>
      <c r="D1072" s="37">
        <v>45899</v>
      </c>
      <c r="E1072" s="31" t="s">
        <v>773</v>
      </c>
      <c r="F1072" s="31" t="s">
        <v>767</v>
      </c>
      <c r="G1072" s="31">
        <v>3388</v>
      </c>
      <c r="H1072" s="31" t="s">
        <v>160</v>
      </c>
      <c r="J1072" s="38">
        <v>0</v>
      </c>
    </row>
    <row r="1073" spans="1:10" x14ac:dyDescent="0.35">
      <c r="A1073" s="31">
        <v>536</v>
      </c>
      <c r="B1073" s="19" t="s">
        <v>17</v>
      </c>
      <c r="C1073" s="19"/>
      <c r="D1073" s="37">
        <v>45899</v>
      </c>
      <c r="E1073" s="31" t="s">
        <v>774</v>
      </c>
      <c r="F1073" s="31" t="s">
        <v>775</v>
      </c>
      <c r="G1073" s="31">
        <v>3394</v>
      </c>
      <c r="H1073" s="31" t="s">
        <v>160</v>
      </c>
      <c r="I1073" s="38">
        <v>0</v>
      </c>
    </row>
    <row r="1074" spans="1:10" x14ac:dyDescent="0.35">
      <c r="A1074" s="31">
        <v>536.5</v>
      </c>
      <c r="B1074" s="19"/>
      <c r="C1074" s="19" t="s">
        <v>22</v>
      </c>
      <c r="D1074" s="37">
        <v>45899</v>
      </c>
      <c r="E1074" s="31" t="s">
        <v>774</v>
      </c>
      <c r="F1074" s="31" t="s">
        <v>775</v>
      </c>
      <c r="G1074" s="31">
        <v>3394</v>
      </c>
      <c r="H1074" s="31" t="s">
        <v>160</v>
      </c>
      <c r="J1074" s="38">
        <v>0</v>
      </c>
    </row>
    <row r="1075" spans="1:10" x14ac:dyDescent="0.35">
      <c r="A1075" s="31">
        <v>537</v>
      </c>
      <c r="B1075" s="19" t="s">
        <v>17</v>
      </c>
      <c r="C1075" s="19"/>
      <c r="D1075" s="37">
        <v>45899</v>
      </c>
      <c r="E1075" s="31" t="s">
        <v>776</v>
      </c>
      <c r="F1075" s="31" t="s">
        <v>777</v>
      </c>
      <c r="G1075" s="31">
        <v>3551</v>
      </c>
      <c r="H1075" s="31" t="s">
        <v>160</v>
      </c>
      <c r="I1075" s="38">
        <v>351.49</v>
      </c>
    </row>
    <row r="1076" spans="1:10" x14ac:dyDescent="0.35">
      <c r="A1076" s="31">
        <v>537.5</v>
      </c>
      <c r="B1076" s="19"/>
      <c r="C1076" s="19" t="s">
        <v>22</v>
      </c>
      <c r="D1076" s="37">
        <v>45899</v>
      </c>
      <c r="E1076" s="31" t="s">
        <v>776</v>
      </c>
      <c r="F1076" s="31" t="s">
        <v>777</v>
      </c>
      <c r="G1076" s="31">
        <v>3551</v>
      </c>
      <c r="H1076" s="31" t="s">
        <v>160</v>
      </c>
      <c r="J1076" s="38">
        <v>351.49</v>
      </c>
    </row>
    <row r="1077" spans="1:10" x14ac:dyDescent="0.35">
      <c r="A1077" s="31">
        <v>538</v>
      </c>
      <c r="B1077" s="19" t="s">
        <v>17</v>
      </c>
      <c r="C1077" s="19"/>
      <c r="D1077" s="37">
        <v>45899</v>
      </c>
      <c r="E1077" s="31" t="s">
        <v>778</v>
      </c>
      <c r="F1077" s="31" t="s">
        <v>779</v>
      </c>
      <c r="G1077" s="31">
        <v>3552</v>
      </c>
      <c r="H1077" s="31" t="s">
        <v>160</v>
      </c>
      <c r="I1077" s="38">
        <v>0</v>
      </c>
    </row>
    <row r="1078" spans="1:10" x14ac:dyDescent="0.35">
      <c r="A1078" s="31">
        <v>538.5</v>
      </c>
      <c r="B1078" s="19"/>
      <c r="C1078" s="19" t="s">
        <v>22</v>
      </c>
      <c r="D1078" s="37">
        <v>45899</v>
      </c>
      <c r="E1078" s="31" t="s">
        <v>778</v>
      </c>
      <c r="F1078" s="31" t="s">
        <v>779</v>
      </c>
      <c r="G1078" s="31">
        <v>3552</v>
      </c>
      <c r="H1078" s="31" t="s">
        <v>160</v>
      </c>
      <c r="J1078" s="38">
        <v>0</v>
      </c>
    </row>
    <row r="1079" spans="1:10" x14ac:dyDescent="0.35">
      <c r="A1079" s="31">
        <v>539</v>
      </c>
      <c r="B1079" s="19" t="s">
        <v>17</v>
      </c>
      <c r="C1079" s="19"/>
      <c r="D1079" s="37">
        <v>45899</v>
      </c>
      <c r="E1079" s="31" t="s">
        <v>780</v>
      </c>
      <c r="F1079" s="31" t="s">
        <v>775</v>
      </c>
      <c r="G1079" s="31">
        <v>3394</v>
      </c>
      <c r="H1079" s="31" t="s">
        <v>160</v>
      </c>
      <c r="I1079" s="38">
        <v>0</v>
      </c>
    </row>
    <row r="1080" spans="1:10" x14ac:dyDescent="0.35">
      <c r="A1080" s="31">
        <v>539.5</v>
      </c>
      <c r="B1080" s="19"/>
      <c r="C1080" s="19" t="s">
        <v>22</v>
      </c>
      <c r="D1080" s="37">
        <v>45899</v>
      </c>
      <c r="E1080" s="31" t="s">
        <v>780</v>
      </c>
      <c r="F1080" s="31" t="s">
        <v>775</v>
      </c>
      <c r="G1080" s="31">
        <v>3394</v>
      </c>
      <c r="H1080" s="31" t="s">
        <v>160</v>
      </c>
      <c r="J1080" s="38">
        <v>0</v>
      </c>
    </row>
    <row r="1081" spans="1:10" x14ac:dyDescent="0.35">
      <c r="A1081" s="31">
        <v>540</v>
      </c>
      <c r="B1081" s="19" t="s">
        <v>17</v>
      </c>
      <c r="C1081" s="19"/>
      <c r="D1081" s="37">
        <v>45899</v>
      </c>
      <c r="E1081" s="31" t="s">
        <v>781</v>
      </c>
      <c r="F1081" s="31" t="s">
        <v>775</v>
      </c>
      <c r="G1081" s="31">
        <v>3394</v>
      </c>
      <c r="H1081" s="31" t="s">
        <v>160</v>
      </c>
      <c r="I1081" s="38">
        <v>0</v>
      </c>
    </row>
    <row r="1082" spans="1:10" x14ac:dyDescent="0.35">
      <c r="A1082" s="31">
        <v>540.5</v>
      </c>
      <c r="B1082" s="19"/>
      <c r="C1082" s="19" t="s">
        <v>22</v>
      </c>
      <c r="D1082" s="37">
        <v>45899</v>
      </c>
      <c r="E1082" s="31" t="s">
        <v>781</v>
      </c>
      <c r="F1082" s="31" t="s">
        <v>775</v>
      </c>
      <c r="G1082" s="31">
        <v>3394</v>
      </c>
      <c r="H1082" s="31" t="s">
        <v>160</v>
      </c>
      <c r="J1082" s="38">
        <v>0</v>
      </c>
    </row>
    <row r="1083" spans="1:10" x14ac:dyDescent="0.35">
      <c r="A1083" s="31">
        <v>541</v>
      </c>
      <c r="B1083" s="19" t="s">
        <v>17</v>
      </c>
      <c r="C1083" s="19"/>
      <c r="D1083" s="37">
        <v>45899</v>
      </c>
      <c r="E1083" s="31" t="s">
        <v>782</v>
      </c>
      <c r="F1083" s="31" t="s">
        <v>775</v>
      </c>
      <c r="G1083" s="31">
        <v>3394</v>
      </c>
      <c r="H1083" s="31" t="s">
        <v>160</v>
      </c>
      <c r="I1083" s="38">
        <v>0</v>
      </c>
    </row>
    <row r="1084" spans="1:10" x14ac:dyDescent="0.35">
      <c r="A1084" s="31">
        <v>541.5</v>
      </c>
      <c r="B1084" s="19"/>
      <c r="C1084" s="19" t="s">
        <v>22</v>
      </c>
      <c r="D1084" s="37">
        <v>45899</v>
      </c>
      <c r="E1084" s="31" t="s">
        <v>782</v>
      </c>
      <c r="F1084" s="31" t="s">
        <v>775</v>
      </c>
      <c r="G1084" s="31">
        <v>3394</v>
      </c>
      <c r="H1084" s="31" t="s">
        <v>160</v>
      </c>
      <c r="J1084" s="38">
        <v>0</v>
      </c>
    </row>
    <row r="1085" spans="1:10" x14ac:dyDescent="0.35">
      <c r="A1085" s="31">
        <v>542</v>
      </c>
      <c r="B1085" s="19" t="s">
        <v>17</v>
      </c>
      <c r="C1085" s="19"/>
      <c r="D1085" s="37">
        <v>45899</v>
      </c>
      <c r="E1085" s="31" t="s">
        <v>783</v>
      </c>
      <c r="F1085" s="31" t="s">
        <v>115</v>
      </c>
      <c r="G1085" s="31">
        <v>2520</v>
      </c>
      <c r="H1085" s="31" t="s">
        <v>160</v>
      </c>
      <c r="I1085" s="38">
        <v>0</v>
      </c>
    </row>
    <row r="1086" spans="1:10" x14ac:dyDescent="0.35">
      <c r="A1086" s="31">
        <v>542.5</v>
      </c>
      <c r="B1086" s="19"/>
      <c r="C1086" s="19" t="s">
        <v>22</v>
      </c>
      <c r="D1086" s="37">
        <v>45899</v>
      </c>
      <c r="E1086" s="31" t="s">
        <v>783</v>
      </c>
      <c r="F1086" s="31" t="s">
        <v>115</v>
      </c>
      <c r="G1086" s="31">
        <v>2520</v>
      </c>
      <c r="H1086" s="31" t="s">
        <v>160</v>
      </c>
      <c r="J1086" s="38">
        <v>0</v>
      </c>
    </row>
    <row r="1087" spans="1:10" x14ac:dyDescent="0.35">
      <c r="A1087" s="31">
        <v>543</v>
      </c>
      <c r="B1087" s="19" t="s">
        <v>17</v>
      </c>
      <c r="C1087" s="19"/>
      <c r="D1087" s="37">
        <v>45899</v>
      </c>
      <c r="E1087" s="31" t="s">
        <v>784</v>
      </c>
      <c r="F1087" s="31" t="s">
        <v>115</v>
      </c>
      <c r="G1087" s="31">
        <v>2520</v>
      </c>
      <c r="H1087" s="31" t="s">
        <v>160</v>
      </c>
      <c r="I1087" s="38">
        <v>0</v>
      </c>
    </row>
    <row r="1088" spans="1:10" x14ac:dyDescent="0.35">
      <c r="A1088" s="31">
        <v>543.5</v>
      </c>
      <c r="B1088" s="19"/>
      <c r="C1088" s="19" t="s">
        <v>22</v>
      </c>
      <c r="D1088" s="37">
        <v>45899</v>
      </c>
      <c r="E1088" s="31" t="s">
        <v>784</v>
      </c>
      <c r="F1088" s="31" t="s">
        <v>115</v>
      </c>
      <c r="G1088" s="31">
        <v>2520</v>
      </c>
      <c r="H1088" s="31" t="s">
        <v>160</v>
      </c>
      <c r="J1088" s="38">
        <v>0</v>
      </c>
    </row>
    <row r="1089" spans="1:10" x14ac:dyDescent="0.35">
      <c r="A1089" s="31">
        <v>544</v>
      </c>
      <c r="B1089" s="19" t="s">
        <v>17</v>
      </c>
      <c r="C1089" s="19"/>
      <c r="D1089" s="37">
        <v>45899</v>
      </c>
      <c r="E1089" s="31" t="s">
        <v>785</v>
      </c>
      <c r="F1089" s="31" t="s">
        <v>115</v>
      </c>
      <c r="G1089" s="31">
        <v>2520</v>
      </c>
      <c r="H1089" s="31" t="s">
        <v>160</v>
      </c>
      <c r="I1089" s="38">
        <v>0</v>
      </c>
    </row>
    <row r="1090" spans="1:10" x14ac:dyDescent="0.35">
      <c r="A1090" s="31">
        <v>544.5</v>
      </c>
      <c r="B1090" s="19"/>
      <c r="C1090" s="19" t="s">
        <v>22</v>
      </c>
      <c r="D1090" s="37">
        <v>45899</v>
      </c>
      <c r="E1090" s="31" t="s">
        <v>785</v>
      </c>
      <c r="F1090" s="31" t="s">
        <v>115</v>
      </c>
      <c r="G1090" s="31">
        <v>2520</v>
      </c>
      <c r="H1090" s="31" t="s">
        <v>160</v>
      </c>
      <c r="J1090" s="38">
        <v>0</v>
      </c>
    </row>
    <row r="1091" spans="1:10" x14ac:dyDescent="0.35">
      <c r="A1091" s="31">
        <v>545</v>
      </c>
      <c r="B1091" s="19" t="s">
        <v>17</v>
      </c>
      <c r="C1091" s="19"/>
      <c r="D1091" s="37">
        <v>45899</v>
      </c>
      <c r="E1091" s="31" t="s">
        <v>786</v>
      </c>
      <c r="F1091" s="31" t="s">
        <v>787</v>
      </c>
      <c r="G1091" s="31">
        <v>3553</v>
      </c>
      <c r="H1091" s="31" t="s">
        <v>160</v>
      </c>
      <c r="I1091" s="38">
        <v>0</v>
      </c>
    </row>
    <row r="1092" spans="1:10" x14ac:dyDescent="0.35">
      <c r="A1092" s="31">
        <v>545.5</v>
      </c>
      <c r="B1092" s="19"/>
      <c r="C1092" s="19" t="s">
        <v>22</v>
      </c>
      <c r="D1092" s="37">
        <v>45899</v>
      </c>
      <c r="E1092" s="31" t="s">
        <v>786</v>
      </c>
      <c r="F1092" s="31" t="s">
        <v>787</v>
      </c>
      <c r="G1092" s="31">
        <v>3553</v>
      </c>
      <c r="H1092" s="31" t="s">
        <v>160</v>
      </c>
      <c r="J1092" s="38">
        <v>0</v>
      </c>
    </row>
    <row r="1093" spans="1:10" x14ac:dyDescent="0.35">
      <c r="A1093" s="31">
        <v>546</v>
      </c>
      <c r="B1093" s="19" t="s">
        <v>17</v>
      </c>
      <c r="C1093" s="19"/>
      <c r="D1093" s="37">
        <v>45899</v>
      </c>
      <c r="E1093" s="31" t="s">
        <v>788</v>
      </c>
      <c r="F1093" s="31" t="s">
        <v>787</v>
      </c>
      <c r="G1093" s="31">
        <v>3553</v>
      </c>
      <c r="H1093" s="31" t="s">
        <v>160</v>
      </c>
      <c r="I1093" s="38">
        <v>0</v>
      </c>
    </row>
    <row r="1094" spans="1:10" x14ac:dyDescent="0.35">
      <c r="A1094" s="31">
        <v>546.5</v>
      </c>
      <c r="B1094" s="19"/>
      <c r="C1094" s="19" t="s">
        <v>22</v>
      </c>
      <c r="D1094" s="37">
        <v>45899</v>
      </c>
      <c r="E1094" s="31" t="s">
        <v>788</v>
      </c>
      <c r="F1094" s="31" t="s">
        <v>787</v>
      </c>
      <c r="G1094" s="31">
        <v>3553</v>
      </c>
      <c r="H1094" s="31" t="s">
        <v>160</v>
      </c>
      <c r="J1094" s="38">
        <v>0</v>
      </c>
    </row>
    <row r="1095" spans="1:10" x14ac:dyDescent="0.35">
      <c r="A1095" s="31">
        <v>547</v>
      </c>
      <c r="B1095" s="19" t="s">
        <v>17</v>
      </c>
      <c r="C1095" s="19"/>
      <c r="D1095" s="37">
        <v>45899</v>
      </c>
      <c r="E1095" s="31" t="s">
        <v>789</v>
      </c>
      <c r="F1095" s="31" t="s">
        <v>787</v>
      </c>
      <c r="G1095" s="31">
        <v>3553</v>
      </c>
      <c r="H1095" s="31" t="s">
        <v>160</v>
      </c>
      <c r="I1095" s="38">
        <v>0</v>
      </c>
    </row>
    <row r="1096" spans="1:10" x14ac:dyDescent="0.35">
      <c r="A1096" s="31">
        <v>547.5</v>
      </c>
      <c r="B1096" s="19"/>
      <c r="C1096" s="19" t="s">
        <v>22</v>
      </c>
      <c r="D1096" s="37">
        <v>45899</v>
      </c>
      <c r="E1096" s="31" t="s">
        <v>789</v>
      </c>
      <c r="F1096" s="31" t="s">
        <v>787</v>
      </c>
      <c r="G1096" s="31">
        <v>3553</v>
      </c>
      <c r="H1096" s="31" t="s">
        <v>160</v>
      </c>
      <c r="J1096" s="38">
        <v>0</v>
      </c>
    </row>
    <row r="1097" spans="1:10" x14ac:dyDescent="0.35">
      <c r="A1097" s="31">
        <v>548</v>
      </c>
      <c r="B1097" s="19" t="s">
        <v>17</v>
      </c>
      <c r="C1097" s="19"/>
      <c r="D1097" s="37">
        <v>45899</v>
      </c>
      <c r="E1097" s="31" t="s">
        <v>790</v>
      </c>
      <c r="F1097" s="31" t="s">
        <v>791</v>
      </c>
      <c r="G1097" s="31">
        <v>3554</v>
      </c>
      <c r="H1097" s="31" t="s">
        <v>160</v>
      </c>
      <c r="I1097" s="38">
        <v>0</v>
      </c>
    </row>
    <row r="1098" spans="1:10" x14ac:dyDescent="0.35">
      <c r="A1098" s="31">
        <v>548.5</v>
      </c>
      <c r="B1098" s="19"/>
      <c r="C1098" s="19" t="s">
        <v>22</v>
      </c>
      <c r="D1098" s="37">
        <v>45899</v>
      </c>
      <c r="E1098" s="31" t="s">
        <v>790</v>
      </c>
      <c r="F1098" s="31" t="s">
        <v>791</v>
      </c>
      <c r="G1098" s="31">
        <v>3554</v>
      </c>
      <c r="H1098" s="31" t="s">
        <v>160</v>
      </c>
      <c r="J1098" s="38">
        <v>0</v>
      </c>
    </row>
    <row r="1099" spans="1:10" x14ac:dyDescent="0.35">
      <c r="A1099" s="31">
        <v>549</v>
      </c>
      <c r="B1099" s="19" t="s">
        <v>17</v>
      </c>
      <c r="C1099" s="19"/>
      <c r="D1099" s="37">
        <v>45899</v>
      </c>
      <c r="E1099" s="31">
        <v>38034</v>
      </c>
      <c r="F1099" s="31" t="s">
        <v>792</v>
      </c>
      <c r="G1099" s="31">
        <v>3555</v>
      </c>
      <c r="H1099" s="31" t="s">
        <v>160</v>
      </c>
      <c r="I1099" s="38">
        <v>2645</v>
      </c>
    </row>
    <row r="1100" spans="1:10" x14ac:dyDescent="0.35">
      <c r="A1100" s="31">
        <v>549.5</v>
      </c>
      <c r="B1100" s="19"/>
      <c r="C1100" s="19" t="s">
        <v>22</v>
      </c>
      <c r="D1100" s="37">
        <v>45899</v>
      </c>
      <c r="E1100" s="31">
        <v>38034</v>
      </c>
      <c r="F1100" s="31" t="s">
        <v>792</v>
      </c>
      <c r="G1100" s="31">
        <v>3555</v>
      </c>
      <c r="H1100" s="31" t="s">
        <v>160</v>
      </c>
      <c r="J1100" s="38">
        <v>2645</v>
      </c>
    </row>
    <row r="1101" spans="1:10" x14ac:dyDescent="0.35">
      <c r="A1101" s="31">
        <v>550</v>
      </c>
      <c r="B1101" s="19" t="s">
        <v>17</v>
      </c>
      <c r="C1101" s="19"/>
      <c r="D1101" s="37">
        <v>45899</v>
      </c>
      <c r="E1101" s="31" t="s">
        <v>793</v>
      </c>
      <c r="F1101" s="31" t="s">
        <v>777</v>
      </c>
      <c r="G1101" s="31">
        <v>3551</v>
      </c>
      <c r="H1101" s="31" t="s">
        <v>160</v>
      </c>
      <c r="I1101" s="38">
        <v>0</v>
      </c>
    </row>
    <row r="1102" spans="1:10" x14ac:dyDescent="0.35">
      <c r="A1102" s="31">
        <v>550.5</v>
      </c>
      <c r="B1102" s="19"/>
      <c r="C1102" s="19" t="s">
        <v>22</v>
      </c>
      <c r="D1102" s="37">
        <v>45899</v>
      </c>
      <c r="E1102" s="31" t="s">
        <v>793</v>
      </c>
      <c r="F1102" s="31" t="s">
        <v>777</v>
      </c>
      <c r="G1102" s="31">
        <v>3551</v>
      </c>
      <c r="H1102" s="31" t="s">
        <v>160</v>
      </c>
      <c r="J1102" s="38">
        <v>0</v>
      </c>
    </row>
    <row r="1103" spans="1:10" x14ac:dyDescent="0.35">
      <c r="A1103" s="31">
        <v>551</v>
      </c>
      <c r="B1103" s="19" t="s">
        <v>17</v>
      </c>
      <c r="C1103" s="19"/>
      <c r="D1103" s="37">
        <v>45899</v>
      </c>
      <c r="E1103" s="31" t="s">
        <v>794</v>
      </c>
      <c r="F1103" s="31" t="s">
        <v>107</v>
      </c>
      <c r="G1103" s="31">
        <v>2466</v>
      </c>
      <c r="H1103" s="31" t="s">
        <v>160</v>
      </c>
      <c r="I1103" s="38">
        <v>0</v>
      </c>
    </row>
    <row r="1104" spans="1:10" x14ac:dyDescent="0.35">
      <c r="A1104" s="31">
        <v>551.5</v>
      </c>
      <c r="B1104" s="19"/>
      <c r="C1104" s="19" t="s">
        <v>22</v>
      </c>
      <c r="D1104" s="37">
        <v>45899</v>
      </c>
      <c r="E1104" s="31" t="s">
        <v>794</v>
      </c>
      <c r="F1104" s="31" t="s">
        <v>107</v>
      </c>
      <c r="G1104" s="31">
        <v>2466</v>
      </c>
      <c r="H1104" s="31" t="s">
        <v>160</v>
      </c>
      <c r="J1104" s="38">
        <v>0</v>
      </c>
    </row>
    <row r="1105" spans="1:10" x14ac:dyDescent="0.35">
      <c r="A1105" s="31">
        <v>552</v>
      </c>
      <c r="B1105" s="19" t="s">
        <v>17</v>
      </c>
      <c r="C1105" s="19"/>
      <c r="D1105" s="37">
        <v>45899</v>
      </c>
      <c r="E1105" s="31" t="s">
        <v>795</v>
      </c>
      <c r="F1105" s="31" t="s">
        <v>107</v>
      </c>
      <c r="G1105" s="31">
        <v>2466</v>
      </c>
      <c r="H1105" s="31" t="s">
        <v>160</v>
      </c>
      <c r="I1105" s="38">
        <v>0</v>
      </c>
    </row>
    <row r="1106" spans="1:10" x14ac:dyDescent="0.35">
      <c r="A1106" s="31">
        <v>552.5</v>
      </c>
      <c r="B1106" s="19"/>
      <c r="C1106" s="19" t="s">
        <v>22</v>
      </c>
      <c r="D1106" s="37">
        <v>45899</v>
      </c>
      <c r="E1106" s="31" t="s">
        <v>795</v>
      </c>
      <c r="F1106" s="31" t="s">
        <v>107</v>
      </c>
      <c r="G1106" s="31">
        <v>2466</v>
      </c>
      <c r="H1106" s="31" t="s">
        <v>160</v>
      </c>
      <c r="J1106" s="38">
        <v>0</v>
      </c>
    </row>
    <row r="1107" spans="1:10" x14ac:dyDescent="0.35">
      <c r="A1107" s="31">
        <v>553</v>
      </c>
      <c r="B1107" s="19" t="s">
        <v>17</v>
      </c>
      <c r="C1107" s="19"/>
      <c r="D1107" s="37">
        <v>45899</v>
      </c>
      <c r="E1107" s="31" t="s">
        <v>796</v>
      </c>
      <c r="F1107" s="31" t="s">
        <v>597</v>
      </c>
      <c r="G1107" s="31">
        <v>3393</v>
      </c>
      <c r="H1107" s="31" t="s">
        <v>160</v>
      </c>
      <c r="I1107" s="38">
        <v>0</v>
      </c>
    </row>
    <row r="1108" spans="1:10" x14ac:dyDescent="0.35">
      <c r="A1108" s="31">
        <v>553.5</v>
      </c>
      <c r="B1108" s="19"/>
      <c r="C1108" s="19" t="s">
        <v>22</v>
      </c>
      <c r="D1108" s="37">
        <v>45899</v>
      </c>
      <c r="E1108" s="31" t="s">
        <v>796</v>
      </c>
      <c r="F1108" s="31" t="s">
        <v>597</v>
      </c>
      <c r="G1108" s="31">
        <v>3393</v>
      </c>
      <c r="H1108" s="31" t="s">
        <v>160</v>
      </c>
      <c r="J1108" s="38">
        <v>0</v>
      </c>
    </row>
    <row r="1109" spans="1:10" x14ac:dyDescent="0.35">
      <c r="A1109" s="31">
        <v>554</v>
      </c>
      <c r="B1109" s="19" t="s">
        <v>17</v>
      </c>
      <c r="C1109" s="19"/>
      <c r="D1109" s="37">
        <v>45899</v>
      </c>
      <c r="E1109" s="31" t="s">
        <v>797</v>
      </c>
      <c r="F1109" s="31" t="s">
        <v>597</v>
      </c>
      <c r="G1109" s="31">
        <v>3393</v>
      </c>
      <c r="H1109" s="31" t="s">
        <v>160</v>
      </c>
      <c r="I1109" s="38">
        <v>0</v>
      </c>
    </row>
    <row r="1110" spans="1:10" x14ac:dyDescent="0.35">
      <c r="A1110" s="31">
        <v>554.5</v>
      </c>
      <c r="B1110" s="19"/>
      <c r="C1110" s="19" t="s">
        <v>22</v>
      </c>
      <c r="D1110" s="37">
        <v>45899</v>
      </c>
      <c r="E1110" s="31" t="s">
        <v>797</v>
      </c>
      <c r="F1110" s="31" t="s">
        <v>597</v>
      </c>
      <c r="G1110" s="31">
        <v>3393</v>
      </c>
      <c r="H1110" s="31" t="s">
        <v>160</v>
      </c>
      <c r="J1110" s="38">
        <v>0</v>
      </c>
    </row>
    <row r="1111" spans="1:10" x14ac:dyDescent="0.35">
      <c r="A1111" s="31">
        <v>555</v>
      </c>
      <c r="B1111" s="19" t="s">
        <v>17</v>
      </c>
      <c r="C1111" s="19"/>
      <c r="D1111" s="37">
        <v>45899</v>
      </c>
      <c r="E1111" s="31">
        <v>38051</v>
      </c>
      <c r="F1111" s="31" t="s">
        <v>682</v>
      </c>
      <c r="G1111" s="31">
        <v>3273</v>
      </c>
      <c r="H1111" s="31" t="s">
        <v>160</v>
      </c>
      <c r="I1111" s="38">
        <v>54331.65</v>
      </c>
    </row>
    <row r="1112" spans="1:10" x14ac:dyDescent="0.35">
      <c r="A1112" s="31">
        <v>555.5</v>
      </c>
      <c r="B1112" s="19"/>
      <c r="C1112" s="19" t="s">
        <v>22</v>
      </c>
      <c r="D1112" s="37">
        <v>45899</v>
      </c>
      <c r="E1112" s="31">
        <v>38051</v>
      </c>
      <c r="F1112" s="31" t="s">
        <v>682</v>
      </c>
      <c r="G1112" s="31">
        <v>3273</v>
      </c>
      <c r="H1112" s="31" t="s">
        <v>160</v>
      </c>
      <c r="J1112" s="38">
        <v>54331.65</v>
      </c>
    </row>
    <row r="1113" spans="1:10" x14ac:dyDescent="0.35">
      <c r="A1113" s="31">
        <v>556</v>
      </c>
      <c r="B1113" s="19" t="s">
        <v>17</v>
      </c>
      <c r="C1113" s="19"/>
      <c r="D1113" s="37">
        <v>45899</v>
      </c>
      <c r="E1113" s="31" t="s">
        <v>798</v>
      </c>
      <c r="F1113" s="31" t="s">
        <v>799</v>
      </c>
      <c r="G1113" s="31">
        <v>3348</v>
      </c>
      <c r="H1113" s="31" t="s">
        <v>160</v>
      </c>
      <c r="I1113" s="38">
        <v>0</v>
      </c>
    </row>
    <row r="1114" spans="1:10" x14ac:dyDescent="0.35">
      <c r="A1114" s="31">
        <v>556.5</v>
      </c>
      <c r="B1114" s="19"/>
      <c r="C1114" s="19" t="s">
        <v>22</v>
      </c>
      <c r="D1114" s="37">
        <v>45899</v>
      </c>
      <c r="E1114" s="31" t="s">
        <v>798</v>
      </c>
      <c r="F1114" s="31" t="s">
        <v>799</v>
      </c>
      <c r="G1114" s="31">
        <v>3348</v>
      </c>
      <c r="H1114" s="31" t="s">
        <v>160</v>
      </c>
      <c r="J1114" s="38">
        <v>0</v>
      </c>
    </row>
    <row r="1115" spans="1:10" x14ac:dyDescent="0.35">
      <c r="A1115" s="31">
        <v>557</v>
      </c>
      <c r="B1115" s="19" t="s">
        <v>17</v>
      </c>
      <c r="C1115" s="19"/>
      <c r="D1115" s="37">
        <v>45899</v>
      </c>
      <c r="E1115" s="31" t="s">
        <v>800</v>
      </c>
      <c r="F1115" s="31" t="s">
        <v>799</v>
      </c>
      <c r="G1115" s="31">
        <v>3348</v>
      </c>
      <c r="H1115" s="31" t="s">
        <v>160</v>
      </c>
      <c r="I1115" s="38">
        <v>0</v>
      </c>
    </row>
    <row r="1116" spans="1:10" x14ac:dyDescent="0.35">
      <c r="A1116" s="31">
        <v>557.5</v>
      </c>
      <c r="B1116" s="19"/>
      <c r="C1116" s="19" t="s">
        <v>22</v>
      </c>
      <c r="D1116" s="37">
        <v>45899</v>
      </c>
      <c r="E1116" s="31" t="s">
        <v>800</v>
      </c>
      <c r="F1116" s="31" t="s">
        <v>799</v>
      </c>
      <c r="G1116" s="31">
        <v>3348</v>
      </c>
      <c r="H1116" s="31" t="s">
        <v>160</v>
      </c>
      <c r="J1116" s="38">
        <v>0</v>
      </c>
    </row>
    <row r="1117" spans="1:10" x14ac:dyDescent="0.35">
      <c r="A1117" s="31">
        <v>558</v>
      </c>
      <c r="B1117" s="19" t="s">
        <v>17</v>
      </c>
      <c r="C1117" s="19"/>
      <c r="D1117" s="37">
        <v>45899</v>
      </c>
      <c r="E1117" s="31" t="s">
        <v>801</v>
      </c>
      <c r="F1117" s="31" t="s">
        <v>799</v>
      </c>
      <c r="G1117" s="31">
        <v>3348</v>
      </c>
      <c r="H1117" s="31" t="s">
        <v>160</v>
      </c>
      <c r="I1117" s="38">
        <v>0</v>
      </c>
    </row>
    <row r="1118" spans="1:10" x14ac:dyDescent="0.35">
      <c r="A1118" s="31">
        <v>558.5</v>
      </c>
      <c r="B1118" s="19"/>
      <c r="C1118" s="19" t="s">
        <v>22</v>
      </c>
      <c r="D1118" s="37">
        <v>45899</v>
      </c>
      <c r="E1118" s="31" t="s">
        <v>801</v>
      </c>
      <c r="F1118" s="31" t="s">
        <v>799</v>
      </c>
      <c r="G1118" s="31">
        <v>3348</v>
      </c>
      <c r="H1118" s="31" t="s">
        <v>160</v>
      </c>
      <c r="J1118" s="38">
        <v>0</v>
      </c>
    </row>
    <row r="1119" spans="1:10" x14ac:dyDescent="0.35">
      <c r="A1119" s="31">
        <v>559</v>
      </c>
      <c r="B1119" s="19" t="s">
        <v>17</v>
      </c>
      <c r="C1119" s="19"/>
      <c r="D1119" s="37">
        <v>45899</v>
      </c>
      <c r="E1119" s="31" t="s">
        <v>802</v>
      </c>
      <c r="F1119" s="31" t="s">
        <v>799</v>
      </c>
      <c r="G1119" s="31">
        <v>3348</v>
      </c>
      <c r="H1119" s="31" t="s">
        <v>160</v>
      </c>
      <c r="I1119" s="38">
        <v>0</v>
      </c>
    </row>
    <row r="1120" spans="1:10" x14ac:dyDescent="0.35">
      <c r="A1120" s="31">
        <v>559.5</v>
      </c>
      <c r="B1120" s="19"/>
      <c r="C1120" s="19" t="s">
        <v>22</v>
      </c>
      <c r="D1120" s="37">
        <v>45899</v>
      </c>
      <c r="E1120" s="31" t="s">
        <v>802</v>
      </c>
      <c r="F1120" s="31" t="s">
        <v>799</v>
      </c>
      <c r="G1120" s="31">
        <v>3348</v>
      </c>
      <c r="H1120" s="31" t="s">
        <v>160</v>
      </c>
      <c r="J1120" s="38">
        <v>0</v>
      </c>
    </row>
    <row r="1121" spans="1:10" x14ac:dyDescent="0.35">
      <c r="A1121" s="31">
        <v>560</v>
      </c>
      <c r="B1121" s="19" t="s">
        <v>17</v>
      </c>
      <c r="C1121" s="19"/>
      <c r="D1121" s="37">
        <v>45899</v>
      </c>
      <c r="E1121" s="31" t="s">
        <v>803</v>
      </c>
      <c r="F1121" s="31" t="s">
        <v>804</v>
      </c>
      <c r="G1121" s="31">
        <v>2654</v>
      </c>
      <c r="H1121" s="31" t="s">
        <v>160</v>
      </c>
      <c r="I1121" s="38">
        <v>0</v>
      </c>
    </row>
    <row r="1122" spans="1:10" x14ac:dyDescent="0.35">
      <c r="A1122" s="31">
        <v>560.5</v>
      </c>
      <c r="B1122" s="19"/>
      <c r="C1122" s="19" t="s">
        <v>22</v>
      </c>
      <c r="D1122" s="37">
        <v>45899</v>
      </c>
      <c r="E1122" s="31" t="s">
        <v>803</v>
      </c>
      <c r="F1122" s="31" t="s">
        <v>804</v>
      </c>
      <c r="G1122" s="31">
        <v>2654</v>
      </c>
      <c r="H1122" s="31" t="s">
        <v>160</v>
      </c>
      <c r="J1122" s="38">
        <v>0</v>
      </c>
    </row>
    <row r="1123" spans="1:10" x14ac:dyDescent="0.35">
      <c r="A1123" s="31">
        <v>561</v>
      </c>
      <c r="B1123" s="19" t="s">
        <v>17</v>
      </c>
      <c r="C1123" s="19"/>
      <c r="D1123" s="37">
        <v>45899</v>
      </c>
      <c r="E1123" s="31" t="s">
        <v>805</v>
      </c>
      <c r="F1123" s="31" t="s">
        <v>804</v>
      </c>
      <c r="G1123" s="31">
        <v>2654</v>
      </c>
      <c r="H1123" s="31" t="s">
        <v>160</v>
      </c>
      <c r="I1123" s="38">
        <v>0</v>
      </c>
    </row>
    <row r="1124" spans="1:10" x14ac:dyDescent="0.35">
      <c r="A1124" s="31">
        <v>561.5</v>
      </c>
      <c r="B1124" s="19"/>
      <c r="C1124" s="19" t="s">
        <v>22</v>
      </c>
      <c r="D1124" s="37">
        <v>45899</v>
      </c>
      <c r="E1124" s="31" t="s">
        <v>805</v>
      </c>
      <c r="F1124" s="31" t="s">
        <v>804</v>
      </c>
      <c r="G1124" s="31">
        <v>2654</v>
      </c>
      <c r="H1124" s="31" t="s">
        <v>160</v>
      </c>
      <c r="J1124" s="38">
        <v>0</v>
      </c>
    </row>
    <row r="1125" spans="1:10" x14ac:dyDescent="0.35">
      <c r="A1125" s="31">
        <v>562</v>
      </c>
      <c r="B1125" s="19" t="s">
        <v>17</v>
      </c>
      <c r="C1125" s="19"/>
      <c r="D1125" s="37">
        <v>45899</v>
      </c>
      <c r="E1125" s="31" t="s">
        <v>806</v>
      </c>
      <c r="F1125" s="31" t="s">
        <v>807</v>
      </c>
      <c r="G1125" s="31">
        <v>3556</v>
      </c>
      <c r="H1125" s="31" t="s">
        <v>160</v>
      </c>
      <c r="I1125" s="38">
        <v>0</v>
      </c>
    </row>
    <row r="1126" spans="1:10" x14ac:dyDescent="0.35">
      <c r="A1126" s="31">
        <v>562.5</v>
      </c>
      <c r="B1126" s="19"/>
      <c r="C1126" s="19" t="s">
        <v>22</v>
      </c>
      <c r="D1126" s="37">
        <v>45899</v>
      </c>
      <c r="E1126" s="31" t="s">
        <v>806</v>
      </c>
      <c r="F1126" s="31" t="s">
        <v>807</v>
      </c>
      <c r="G1126" s="31">
        <v>3556</v>
      </c>
      <c r="H1126" s="31" t="s">
        <v>160</v>
      </c>
      <c r="J1126" s="38">
        <v>0</v>
      </c>
    </row>
    <row r="1127" spans="1:10" x14ac:dyDescent="0.35">
      <c r="A1127" s="31">
        <v>563</v>
      </c>
      <c r="B1127" s="19" t="s">
        <v>17</v>
      </c>
      <c r="C1127" s="19"/>
      <c r="D1127" s="37">
        <v>45899</v>
      </c>
      <c r="E1127" s="31" t="s">
        <v>808</v>
      </c>
      <c r="F1127" s="31" t="s">
        <v>670</v>
      </c>
      <c r="G1127" s="31">
        <v>3372</v>
      </c>
      <c r="H1127" s="31" t="s">
        <v>160</v>
      </c>
      <c r="I1127" s="38">
        <v>0</v>
      </c>
    </row>
    <row r="1128" spans="1:10" x14ac:dyDescent="0.35">
      <c r="A1128" s="31">
        <v>563.5</v>
      </c>
      <c r="B1128" s="19"/>
      <c r="C1128" s="19" t="s">
        <v>22</v>
      </c>
      <c r="D1128" s="37">
        <v>45899</v>
      </c>
      <c r="E1128" s="31" t="s">
        <v>808</v>
      </c>
      <c r="F1128" s="31" t="s">
        <v>670</v>
      </c>
      <c r="G1128" s="31">
        <v>3372</v>
      </c>
      <c r="H1128" s="31" t="s">
        <v>160</v>
      </c>
      <c r="J1128" s="38">
        <v>0</v>
      </c>
    </row>
    <row r="1129" spans="1:10" x14ac:dyDescent="0.35">
      <c r="A1129" s="31">
        <v>564</v>
      </c>
      <c r="B1129" s="19" t="s">
        <v>17</v>
      </c>
      <c r="C1129" s="19"/>
      <c r="D1129" s="37">
        <v>45899</v>
      </c>
      <c r="E1129" s="31" t="s">
        <v>809</v>
      </c>
      <c r="F1129" s="31" t="s">
        <v>810</v>
      </c>
      <c r="G1129" s="31">
        <v>1721</v>
      </c>
      <c r="H1129" s="31" t="s">
        <v>160</v>
      </c>
      <c r="I1129" s="38">
        <v>0</v>
      </c>
    </row>
    <row r="1130" spans="1:10" x14ac:dyDescent="0.35">
      <c r="A1130" s="31">
        <v>564.5</v>
      </c>
      <c r="B1130" s="19"/>
      <c r="C1130" s="19" t="s">
        <v>22</v>
      </c>
      <c r="D1130" s="37">
        <v>45899</v>
      </c>
      <c r="E1130" s="31" t="s">
        <v>809</v>
      </c>
      <c r="F1130" s="31" t="s">
        <v>810</v>
      </c>
      <c r="G1130" s="31">
        <v>1721</v>
      </c>
      <c r="H1130" s="31" t="s">
        <v>160</v>
      </c>
      <c r="J1130" s="38">
        <v>0</v>
      </c>
    </row>
    <row r="1131" spans="1:10" x14ac:dyDescent="0.35">
      <c r="A1131" s="31">
        <v>565</v>
      </c>
      <c r="B1131" s="19" t="s">
        <v>17</v>
      </c>
      <c r="C1131" s="19"/>
      <c r="D1131" s="37">
        <v>45899</v>
      </c>
      <c r="E1131" s="31" t="s">
        <v>811</v>
      </c>
      <c r="F1131" s="31" t="s">
        <v>810</v>
      </c>
      <c r="G1131" s="31">
        <v>1721</v>
      </c>
      <c r="H1131" s="31" t="s">
        <v>160</v>
      </c>
      <c r="I1131" s="38">
        <v>0</v>
      </c>
    </row>
    <row r="1132" spans="1:10" x14ac:dyDescent="0.35">
      <c r="A1132" s="31">
        <v>565.5</v>
      </c>
      <c r="B1132" s="19"/>
      <c r="C1132" s="19" t="s">
        <v>22</v>
      </c>
      <c r="D1132" s="37">
        <v>45899</v>
      </c>
      <c r="E1132" s="31" t="s">
        <v>811</v>
      </c>
      <c r="F1132" s="31" t="s">
        <v>810</v>
      </c>
      <c r="G1132" s="31">
        <v>1721</v>
      </c>
      <c r="H1132" s="31" t="s">
        <v>160</v>
      </c>
      <c r="J1132" s="38">
        <v>0</v>
      </c>
    </row>
    <row r="1133" spans="1:10" x14ac:dyDescent="0.35">
      <c r="A1133" s="31">
        <v>566</v>
      </c>
      <c r="B1133" s="19" t="s">
        <v>17</v>
      </c>
      <c r="C1133" s="19"/>
      <c r="D1133" s="37">
        <v>45899</v>
      </c>
      <c r="E1133" s="31" t="s">
        <v>812</v>
      </c>
      <c r="F1133" s="31" t="s">
        <v>810</v>
      </c>
      <c r="G1133" s="31">
        <v>1721</v>
      </c>
      <c r="H1133" s="31" t="s">
        <v>160</v>
      </c>
      <c r="I1133" s="38">
        <v>0</v>
      </c>
    </row>
    <row r="1134" spans="1:10" x14ac:dyDescent="0.35">
      <c r="A1134" s="31">
        <v>566.5</v>
      </c>
      <c r="B1134" s="19"/>
      <c r="C1134" s="19" t="s">
        <v>22</v>
      </c>
      <c r="D1134" s="37">
        <v>45899</v>
      </c>
      <c r="E1134" s="31" t="s">
        <v>812</v>
      </c>
      <c r="F1134" s="31" t="s">
        <v>810</v>
      </c>
      <c r="G1134" s="31">
        <v>1721</v>
      </c>
      <c r="H1134" s="31" t="s">
        <v>160</v>
      </c>
      <c r="J1134" s="38">
        <v>0</v>
      </c>
    </row>
    <row r="1135" spans="1:10" x14ac:dyDescent="0.35">
      <c r="A1135" s="31">
        <v>567</v>
      </c>
      <c r="B1135" s="19" t="s">
        <v>17</v>
      </c>
      <c r="C1135" s="19"/>
      <c r="D1135" s="37">
        <v>45899</v>
      </c>
      <c r="E1135" s="31" t="s">
        <v>813</v>
      </c>
      <c r="F1135" s="31" t="s">
        <v>810</v>
      </c>
      <c r="G1135" s="31">
        <v>1721</v>
      </c>
      <c r="H1135" s="31" t="s">
        <v>160</v>
      </c>
      <c r="I1135" s="38">
        <v>0</v>
      </c>
    </row>
    <row r="1136" spans="1:10" x14ac:dyDescent="0.35">
      <c r="A1136" s="31">
        <v>567.5</v>
      </c>
      <c r="B1136" s="19"/>
      <c r="C1136" s="19" t="s">
        <v>22</v>
      </c>
      <c r="D1136" s="37">
        <v>45899</v>
      </c>
      <c r="E1136" s="31" t="s">
        <v>813</v>
      </c>
      <c r="F1136" s="31" t="s">
        <v>810</v>
      </c>
      <c r="G1136" s="31">
        <v>1721</v>
      </c>
      <c r="H1136" s="31" t="s">
        <v>160</v>
      </c>
      <c r="J1136" s="38">
        <v>0</v>
      </c>
    </row>
    <row r="1137" spans="1:10" x14ac:dyDescent="0.35">
      <c r="A1137" s="31">
        <v>568</v>
      </c>
      <c r="B1137" s="19" t="s">
        <v>17</v>
      </c>
      <c r="C1137" s="19"/>
      <c r="D1137" s="37">
        <v>45899</v>
      </c>
      <c r="E1137" s="31" t="s">
        <v>814</v>
      </c>
      <c r="F1137" s="31" t="s">
        <v>810</v>
      </c>
      <c r="G1137" s="31">
        <v>1721</v>
      </c>
      <c r="H1137" s="31" t="s">
        <v>160</v>
      </c>
      <c r="I1137" s="38">
        <v>0</v>
      </c>
    </row>
    <row r="1138" spans="1:10" x14ac:dyDescent="0.35">
      <c r="A1138" s="31">
        <v>568.5</v>
      </c>
      <c r="B1138" s="19"/>
      <c r="C1138" s="19" t="s">
        <v>22</v>
      </c>
      <c r="D1138" s="37">
        <v>45899</v>
      </c>
      <c r="E1138" s="31" t="s">
        <v>814</v>
      </c>
      <c r="F1138" s="31" t="s">
        <v>810</v>
      </c>
      <c r="G1138" s="31">
        <v>1721</v>
      </c>
      <c r="H1138" s="31" t="s">
        <v>160</v>
      </c>
      <c r="J1138" s="38">
        <v>0</v>
      </c>
    </row>
    <row r="1139" spans="1:10" x14ac:dyDescent="0.35">
      <c r="A1139" s="31">
        <v>569</v>
      </c>
      <c r="B1139" s="19" t="s">
        <v>17</v>
      </c>
      <c r="C1139" s="19"/>
      <c r="D1139" s="37">
        <v>45899</v>
      </c>
      <c r="E1139" s="31" t="s">
        <v>815</v>
      </c>
      <c r="F1139" s="31" t="s">
        <v>810</v>
      </c>
      <c r="G1139" s="31">
        <v>1721</v>
      </c>
      <c r="H1139" s="31" t="s">
        <v>160</v>
      </c>
      <c r="I1139" s="38">
        <v>0</v>
      </c>
    </row>
    <row r="1140" spans="1:10" x14ac:dyDescent="0.35">
      <c r="A1140" s="31">
        <v>569.5</v>
      </c>
      <c r="B1140" s="19"/>
      <c r="C1140" s="19" t="s">
        <v>22</v>
      </c>
      <c r="D1140" s="37">
        <v>45899</v>
      </c>
      <c r="E1140" s="31" t="s">
        <v>815</v>
      </c>
      <c r="F1140" s="31" t="s">
        <v>810</v>
      </c>
      <c r="G1140" s="31">
        <v>1721</v>
      </c>
      <c r="H1140" s="31" t="s">
        <v>160</v>
      </c>
      <c r="J1140" s="38">
        <v>0</v>
      </c>
    </row>
    <row r="1141" spans="1:10" x14ac:dyDescent="0.35">
      <c r="A1141" s="31">
        <v>570</v>
      </c>
      <c r="B1141" s="19" t="s">
        <v>17</v>
      </c>
      <c r="C1141" s="19"/>
      <c r="D1141" s="37">
        <v>45899</v>
      </c>
      <c r="E1141" s="31" t="s">
        <v>816</v>
      </c>
      <c r="F1141" s="31" t="s">
        <v>810</v>
      </c>
      <c r="G1141" s="31">
        <v>1721</v>
      </c>
      <c r="H1141" s="31" t="s">
        <v>160</v>
      </c>
      <c r="I1141" s="38">
        <v>0</v>
      </c>
    </row>
    <row r="1142" spans="1:10" x14ac:dyDescent="0.35">
      <c r="A1142" s="31">
        <v>570.5</v>
      </c>
      <c r="B1142" s="19"/>
      <c r="C1142" s="19" t="s">
        <v>22</v>
      </c>
      <c r="D1142" s="37">
        <v>45899</v>
      </c>
      <c r="E1142" s="31" t="s">
        <v>816</v>
      </c>
      <c r="F1142" s="31" t="s">
        <v>810</v>
      </c>
      <c r="G1142" s="31">
        <v>1721</v>
      </c>
      <c r="H1142" s="31" t="s">
        <v>160</v>
      </c>
      <c r="J1142" s="38">
        <v>0</v>
      </c>
    </row>
    <row r="1143" spans="1:10" x14ac:dyDescent="0.35">
      <c r="A1143" s="31">
        <v>571</v>
      </c>
      <c r="B1143" s="19" t="s">
        <v>17</v>
      </c>
      <c r="C1143" s="19"/>
      <c r="D1143" s="37">
        <v>45899</v>
      </c>
      <c r="E1143" s="31" t="s">
        <v>817</v>
      </c>
      <c r="F1143" s="31" t="s">
        <v>810</v>
      </c>
      <c r="G1143" s="31">
        <v>1721</v>
      </c>
      <c r="H1143" s="31" t="s">
        <v>160</v>
      </c>
      <c r="I1143" s="38">
        <v>0</v>
      </c>
    </row>
    <row r="1144" spans="1:10" x14ac:dyDescent="0.35">
      <c r="A1144" s="31">
        <v>571.5</v>
      </c>
      <c r="B1144" s="19"/>
      <c r="C1144" s="19" t="s">
        <v>22</v>
      </c>
      <c r="D1144" s="37">
        <v>45899</v>
      </c>
      <c r="E1144" s="31" t="s">
        <v>817</v>
      </c>
      <c r="F1144" s="31" t="s">
        <v>810</v>
      </c>
      <c r="G1144" s="31">
        <v>1721</v>
      </c>
      <c r="H1144" s="31" t="s">
        <v>160</v>
      </c>
      <c r="J1144" s="38">
        <v>0</v>
      </c>
    </row>
    <row r="1145" spans="1:10" x14ac:dyDescent="0.35">
      <c r="A1145" s="31">
        <v>572</v>
      </c>
      <c r="B1145" s="19" t="s">
        <v>17</v>
      </c>
      <c r="C1145" s="19"/>
      <c r="D1145" s="37">
        <v>45899</v>
      </c>
      <c r="E1145" s="31" t="s">
        <v>818</v>
      </c>
      <c r="F1145" s="31" t="s">
        <v>810</v>
      </c>
      <c r="G1145" s="31">
        <v>1721</v>
      </c>
      <c r="H1145" s="31" t="s">
        <v>160</v>
      </c>
      <c r="I1145" s="38">
        <v>0</v>
      </c>
    </row>
    <row r="1146" spans="1:10" x14ac:dyDescent="0.35">
      <c r="A1146" s="31">
        <v>572.5</v>
      </c>
      <c r="B1146" s="19"/>
      <c r="C1146" s="19" t="s">
        <v>22</v>
      </c>
      <c r="D1146" s="37">
        <v>45899</v>
      </c>
      <c r="E1146" s="31" t="s">
        <v>818</v>
      </c>
      <c r="F1146" s="31" t="s">
        <v>810</v>
      </c>
      <c r="G1146" s="31">
        <v>1721</v>
      </c>
      <c r="H1146" s="31" t="s">
        <v>160</v>
      </c>
      <c r="J1146" s="38">
        <v>0</v>
      </c>
    </row>
    <row r="1147" spans="1:10" x14ac:dyDescent="0.35">
      <c r="A1147" s="31">
        <v>573</v>
      </c>
      <c r="B1147" s="19" t="s">
        <v>17</v>
      </c>
      <c r="C1147" s="19"/>
      <c r="D1147" s="37">
        <v>45899</v>
      </c>
      <c r="E1147" s="31" t="s">
        <v>819</v>
      </c>
      <c r="F1147" s="31" t="s">
        <v>559</v>
      </c>
      <c r="G1147" s="31">
        <v>3360</v>
      </c>
      <c r="H1147" s="31" t="s">
        <v>160</v>
      </c>
      <c r="I1147" s="38">
        <v>0</v>
      </c>
    </row>
    <row r="1148" spans="1:10" x14ac:dyDescent="0.35">
      <c r="A1148" s="31">
        <v>573.5</v>
      </c>
      <c r="B1148" s="19"/>
      <c r="C1148" s="19" t="s">
        <v>22</v>
      </c>
      <c r="D1148" s="37">
        <v>45899</v>
      </c>
      <c r="E1148" s="31" t="s">
        <v>819</v>
      </c>
      <c r="F1148" s="31" t="s">
        <v>559</v>
      </c>
      <c r="G1148" s="31">
        <v>3360</v>
      </c>
      <c r="H1148" s="31" t="s">
        <v>160</v>
      </c>
      <c r="J1148" s="38">
        <v>0</v>
      </c>
    </row>
    <row r="1149" spans="1:10" x14ac:dyDescent="0.35">
      <c r="A1149" s="31">
        <v>574</v>
      </c>
      <c r="B1149" s="19" t="s">
        <v>17</v>
      </c>
      <c r="C1149" s="19"/>
      <c r="D1149" s="37">
        <v>45899</v>
      </c>
      <c r="E1149" s="31" t="s">
        <v>820</v>
      </c>
      <c r="F1149" s="31" t="s">
        <v>225</v>
      </c>
      <c r="G1149" s="31">
        <v>2618</v>
      </c>
      <c r="H1149" s="31" t="s">
        <v>160</v>
      </c>
      <c r="I1149" s="38">
        <v>0</v>
      </c>
    </row>
    <row r="1150" spans="1:10" x14ac:dyDescent="0.35">
      <c r="A1150" s="31">
        <v>574.5</v>
      </c>
      <c r="B1150" s="19"/>
      <c r="C1150" s="19" t="s">
        <v>22</v>
      </c>
      <c r="D1150" s="37">
        <v>45899</v>
      </c>
      <c r="E1150" s="31" t="s">
        <v>820</v>
      </c>
      <c r="F1150" s="31" t="s">
        <v>225</v>
      </c>
      <c r="G1150" s="31">
        <v>2618</v>
      </c>
      <c r="H1150" s="31" t="s">
        <v>160</v>
      </c>
      <c r="J1150" s="38">
        <v>0</v>
      </c>
    </row>
    <row r="1151" spans="1:10" x14ac:dyDescent="0.35">
      <c r="A1151" s="31">
        <v>575</v>
      </c>
      <c r="B1151" s="19" t="s">
        <v>17</v>
      </c>
      <c r="C1151" s="19"/>
      <c r="D1151" s="37">
        <v>45899</v>
      </c>
      <c r="E1151" s="31" t="s">
        <v>821</v>
      </c>
      <c r="F1151" s="53" t="s">
        <v>418</v>
      </c>
      <c r="G1151" s="31">
        <v>3329</v>
      </c>
      <c r="H1151" s="31" t="s">
        <v>160</v>
      </c>
      <c r="I1151" s="38">
        <v>0</v>
      </c>
    </row>
    <row r="1152" spans="1:10" x14ac:dyDescent="0.35">
      <c r="A1152" s="31">
        <v>575.5</v>
      </c>
      <c r="B1152" s="19"/>
      <c r="C1152" s="19" t="s">
        <v>22</v>
      </c>
      <c r="D1152" s="37">
        <v>45899</v>
      </c>
      <c r="E1152" s="31" t="s">
        <v>821</v>
      </c>
      <c r="F1152" s="53" t="s">
        <v>418</v>
      </c>
      <c r="G1152" s="31">
        <v>3329</v>
      </c>
      <c r="H1152" s="31" t="s">
        <v>160</v>
      </c>
      <c r="J1152" s="38">
        <v>0</v>
      </c>
    </row>
    <row r="1153" spans="1:10" x14ac:dyDescent="0.35">
      <c r="A1153" s="31">
        <v>576</v>
      </c>
      <c r="B1153" s="19" t="s">
        <v>17</v>
      </c>
      <c r="C1153" s="19"/>
      <c r="D1153" s="37">
        <v>45899</v>
      </c>
      <c r="E1153" s="31" t="s">
        <v>822</v>
      </c>
      <c r="F1153" s="31" t="s">
        <v>823</v>
      </c>
      <c r="G1153" s="31">
        <v>696</v>
      </c>
      <c r="H1153" s="31" t="s">
        <v>160</v>
      </c>
      <c r="I1153" s="38">
        <v>0</v>
      </c>
    </row>
    <row r="1154" spans="1:10" x14ac:dyDescent="0.35">
      <c r="A1154" s="31">
        <v>576.5</v>
      </c>
      <c r="B1154" s="19"/>
      <c r="C1154" s="19" t="s">
        <v>22</v>
      </c>
      <c r="D1154" s="37">
        <v>45899</v>
      </c>
      <c r="E1154" s="31" t="s">
        <v>822</v>
      </c>
      <c r="F1154" s="31" t="s">
        <v>823</v>
      </c>
      <c r="G1154" s="31">
        <v>696</v>
      </c>
      <c r="H1154" s="31" t="s">
        <v>160</v>
      </c>
      <c r="J1154" s="38">
        <v>0</v>
      </c>
    </row>
    <row r="1155" spans="1:10" x14ac:dyDescent="0.35">
      <c r="A1155" s="31">
        <v>577</v>
      </c>
      <c r="B1155" s="19" t="s">
        <v>17</v>
      </c>
      <c r="C1155" s="19"/>
      <c r="D1155" s="37">
        <v>45899</v>
      </c>
      <c r="E1155" s="31" t="s">
        <v>824</v>
      </c>
      <c r="F1155" s="31" t="s">
        <v>823</v>
      </c>
      <c r="G1155" s="31">
        <v>696</v>
      </c>
      <c r="H1155" s="31" t="s">
        <v>160</v>
      </c>
      <c r="I1155" s="38">
        <v>0</v>
      </c>
    </row>
    <row r="1156" spans="1:10" x14ac:dyDescent="0.35">
      <c r="A1156" s="31">
        <v>577.5</v>
      </c>
      <c r="B1156" s="19"/>
      <c r="C1156" s="19" t="s">
        <v>22</v>
      </c>
      <c r="D1156" s="37">
        <v>45899</v>
      </c>
      <c r="E1156" s="31" t="s">
        <v>824</v>
      </c>
      <c r="F1156" s="31" t="s">
        <v>823</v>
      </c>
      <c r="G1156" s="31">
        <v>696</v>
      </c>
      <c r="H1156" s="31" t="s">
        <v>160</v>
      </c>
      <c r="J1156" s="38">
        <v>0</v>
      </c>
    </row>
    <row r="1157" spans="1:10" x14ac:dyDescent="0.35">
      <c r="A1157" s="31">
        <v>578</v>
      </c>
      <c r="B1157" s="19" t="s">
        <v>17</v>
      </c>
      <c r="C1157" s="19"/>
      <c r="D1157" s="37">
        <v>45899</v>
      </c>
      <c r="E1157" s="31" t="s">
        <v>825</v>
      </c>
      <c r="F1157" s="31" t="s">
        <v>70</v>
      </c>
      <c r="G1157" s="31">
        <v>3412</v>
      </c>
      <c r="H1157" s="31" t="s">
        <v>160</v>
      </c>
      <c r="I1157" s="38">
        <v>37.35</v>
      </c>
    </row>
    <row r="1158" spans="1:10" x14ac:dyDescent="0.35">
      <c r="A1158" s="31">
        <v>578.5</v>
      </c>
      <c r="B1158" s="19"/>
      <c r="C1158" s="19" t="s">
        <v>22</v>
      </c>
      <c r="D1158" s="37">
        <v>45899</v>
      </c>
      <c r="E1158" s="31" t="s">
        <v>825</v>
      </c>
      <c r="F1158" s="31" t="s">
        <v>70</v>
      </c>
      <c r="G1158" s="31">
        <v>3412</v>
      </c>
      <c r="H1158" s="31" t="s">
        <v>160</v>
      </c>
      <c r="J1158" s="38">
        <v>37.35</v>
      </c>
    </row>
    <row r="1159" spans="1:10" x14ac:dyDescent="0.35">
      <c r="A1159" s="31">
        <v>579</v>
      </c>
      <c r="B1159" s="19" t="s">
        <v>17</v>
      </c>
      <c r="C1159" s="19"/>
      <c r="D1159" s="37">
        <v>45899</v>
      </c>
      <c r="E1159" s="31" t="s">
        <v>826</v>
      </c>
      <c r="F1159" s="31" t="s">
        <v>70</v>
      </c>
      <c r="G1159" s="31">
        <v>3412</v>
      </c>
      <c r="H1159" s="31" t="s">
        <v>160</v>
      </c>
      <c r="I1159" s="38">
        <v>1200</v>
      </c>
    </row>
    <row r="1160" spans="1:10" x14ac:dyDescent="0.35">
      <c r="A1160" s="31">
        <v>579.5</v>
      </c>
      <c r="B1160" s="19"/>
      <c r="C1160" s="19" t="s">
        <v>22</v>
      </c>
      <c r="D1160" s="37">
        <v>45899</v>
      </c>
      <c r="E1160" s="31" t="s">
        <v>826</v>
      </c>
      <c r="F1160" s="31" t="s">
        <v>70</v>
      </c>
      <c r="G1160" s="31">
        <v>3412</v>
      </c>
      <c r="H1160" s="31" t="s">
        <v>160</v>
      </c>
      <c r="J1160" s="38">
        <v>1200</v>
      </c>
    </row>
    <row r="1161" spans="1:10" x14ac:dyDescent="0.35">
      <c r="A1161" s="31">
        <v>580</v>
      </c>
      <c r="B1161" s="19" t="s">
        <v>17</v>
      </c>
      <c r="C1161" s="19"/>
      <c r="D1161" s="37">
        <v>45899</v>
      </c>
      <c r="E1161" s="31" t="s">
        <v>827</v>
      </c>
      <c r="F1161" s="31" t="s">
        <v>70</v>
      </c>
      <c r="G1161" s="31">
        <v>3412</v>
      </c>
      <c r="H1161" s="31" t="s">
        <v>160</v>
      </c>
      <c r="I1161" s="38">
        <v>0</v>
      </c>
    </row>
    <row r="1162" spans="1:10" x14ac:dyDescent="0.35">
      <c r="A1162" s="31">
        <v>580.5</v>
      </c>
      <c r="B1162" s="19"/>
      <c r="C1162" s="19" t="s">
        <v>22</v>
      </c>
      <c r="D1162" s="37">
        <v>45899</v>
      </c>
      <c r="E1162" s="31" t="s">
        <v>827</v>
      </c>
      <c r="F1162" s="31" t="s">
        <v>70</v>
      </c>
      <c r="G1162" s="31">
        <v>3412</v>
      </c>
      <c r="H1162" s="31" t="s">
        <v>160</v>
      </c>
      <c r="J1162" s="38">
        <v>0</v>
      </c>
    </row>
    <row r="1163" spans="1:10" x14ac:dyDescent="0.35">
      <c r="A1163" s="31">
        <v>581</v>
      </c>
      <c r="B1163" s="19" t="s">
        <v>17</v>
      </c>
      <c r="C1163" s="19"/>
      <c r="D1163" s="37">
        <v>45899</v>
      </c>
      <c r="E1163" s="31" t="s">
        <v>828</v>
      </c>
      <c r="F1163" s="31" t="s">
        <v>70</v>
      </c>
      <c r="G1163" s="31">
        <v>3412</v>
      </c>
      <c r="H1163" s="31" t="s">
        <v>160</v>
      </c>
      <c r="I1163" s="38">
        <v>0</v>
      </c>
    </row>
    <row r="1164" spans="1:10" x14ac:dyDescent="0.35">
      <c r="A1164" s="31">
        <v>581.5</v>
      </c>
      <c r="B1164" s="19"/>
      <c r="C1164" s="19" t="s">
        <v>22</v>
      </c>
      <c r="D1164" s="37">
        <v>45899</v>
      </c>
      <c r="E1164" s="31" t="s">
        <v>828</v>
      </c>
      <c r="F1164" s="31" t="s">
        <v>70</v>
      </c>
      <c r="G1164" s="31">
        <v>3412</v>
      </c>
      <c r="H1164" s="31" t="s">
        <v>160</v>
      </c>
      <c r="J1164" s="38">
        <v>0</v>
      </c>
    </row>
    <row r="1165" spans="1:10" x14ac:dyDescent="0.35">
      <c r="A1165" s="31">
        <v>582</v>
      </c>
      <c r="B1165" s="19" t="s">
        <v>17</v>
      </c>
      <c r="C1165" s="19"/>
      <c r="D1165" s="37">
        <v>45899</v>
      </c>
      <c r="E1165" s="31" t="s">
        <v>829</v>
      </c>
      <c r="F1165" s="31" t="s">
        <v>70</v>
      </c>
      <c r="G1165" s="31">
        <v>3412</v>
      </c>
      <c r="H1165" s="31" t="s">
        <v>160</v>
      </c>
      <c r="I1165" s="38">
        <v>0</v>
      </c>
    </row>
    <row r="1166" spans="1:10" x14ac:dyDescent="0.35">
      <c r="A1166" s="31">
        <v>582.5</v>
      </c>
      <c r="B1166" s="19"/>
      <c r="C1166" s="19" t="s">
        <v>22</v>
      </c>
      <c r="D1166" s="37">
        <v>45899</v>
      </c>
      <c r="E1166" s="31" t="s">
        <v>829</v>
      </c>
      <c r="F1166" s="31" t="s">
        <v>70</v>
      </c>
      <c r="G1166" s="31">
        <v>3412</v>
      </c>
      <c r="H1166" s="31" t="s">
        <v>160</v>
      </c>
      <c r="J1166" s="38">
        <v>0</v>
      </c>
    </row>
    <row r="1167" spans="1:10" x14ac:dyDescent="0.35">
      <c r="A1167" s="31">
        <v>583</v>
      </c>
      <c r="B1167" s="19" t="s">
        <v>17</v>
      </c>
      <c r="C1167" s="19"/>
      <c r="D1167" s="37">
        <v>45899</v>
      </c>
      <c r="E1167" s="31" t="s">
        <v>830</v>
      </c>
      <c r="F1167" s="31" t="s">
        <v>767</v>
      </c>
      <c r="G1167" s="31">
        <v>3388</v>
      </c>
      <c r="H1167" s="31" t="s">
        <v>160</v>
      </c>
      <c r="I1167" s="38">
        <v>0</v>
      </c>
    </row>
    <row r="1168" spans="1:10" x14ac:dyDescent="0.35">
      <c r="A1168" s="31">
        <v>583.5</v>
      </c>
      <c r="B1168" s="19"/>
      <c r="C1168" s="19" t="s">
        <v>22</v>
      </c>
      <c r="D1168" s="37">
        <v>45899</v>
      </c>
      <c r="E1168" s="31" t="s">
        <v>830</v>
      </c>
      <c r="F1168" s="31" t="s">
        <v>767</v>
      </c>
      <c r="G1168" s="31">
        <v>3388</v>
      </c>
      <c r="H1168" s="31" t="s">
        <v>160</v>
      </c>
      <c r="J1168" s="38">
        <v>0</v>
      </c>
    </row>
    <row r="1169" spans="1:10" x14ac:dyDescent="0.35">
      <c r="A1169" s="31">
        <v>584</v>
      </c>
      <c r="B1169" s="19" t="s">
        <v>17</v>
      </c>
      <c r="C1169" s="19"/>
      <c r="D1169" s="37">
        <v>45899</v>
      </c>
      <c r="E1169" s="31">
        <v>38229</v>
      </c>
      <c r="F1169" s="31" t="s">
        <v>57</v>
      </c>
      <c r="G1169" s="31">
        <v>3330</v>
      </c>
      <c r="H1169" s="31" t="s">
        <v>160</v>
      </c>
      <c r="I1169" s="38">
        <v>0</v>
      </c>
    </row>
    <row r="1170" spans="1:10" x14ac:dyDescent="0.35">
      <c r="A1170" s="31">
        <v>584.5</v>
      </c>
      <c r="B1170" s="19"/>
      <c r="C1170" s="19" t="s">
        <v>22</v>
      </c>
      <c r="D1170" s="37">
        <v>45899</v>
      </c>
      <c r="E1170" s="31">
        <v>38229</v>
      </c>
      <c r="F1170" s="31" t="s">
        <v>57</v>
      </c>
      <c r="G1170" s="31">
        <v>3330</v>
      </c>
      <c r="H1170" s="31" t="s">
        <v>160</v>
      </c>
      <c r="J1170" s="38">
        <v>0</v>
      </c>
    </row>
    <row r="1171" spans="1:10" x14ac:dyDescent="0.35">
      <c r="A1171" s="31">
        <v>585</v>
      </c>
      <c r="B1171" s="19" t="s">
        <v>17</v>
      </c>
      <c r="C1171" s="19"/>
      <c r="D1171" s="37">
        <v>45899</v>
      </c>
      <c r="E1171" s="31">
        <v>38230</v>
      </c>
      <c r="F1171" s="31" t="s">
        <v>831</v>
      </c>
      <c r="G1171" s="31">
        <v>2631</v>
      </c>
      <c r="H1171" s="31" t="s">
        <v>160</v>
      </c>
      <c r="I1171" s="38">
        <v>24119</v>
      </c>
    </row>
    <row r="1172" spans="1:10" x14ac:dyDescent="0.35">
      <c r="A1172" s="31">
        <v>585.5</v>
      </c>
      <c r="B1172" s="19"/>
      <c r="C1172" s="19" t="s">
        <v>22</v>
      </c>
      <c r="D1172" s="37">
        <v>45899</v>
      </c>
      <c r="E1172" s="31">
        <v>38230</v>
      </c>
      <c r="F1172" s="31" t="s">
        <v>831</v>
      </c>
      <c r="G1172" s="31">
        <v>2631</v>
      </c>
      <c r="H1172" s="31" t="s">
        <v>160</v>
      </c>
      <c r="J1172" s="38">
        <v>24119</v>
      </c>
    </row>
    <row r="1173" spans="1:10" x14ac:dyDescent="0.35">
      <c r="A1173" s="31">
        <v>586</v>
      </c>
      <c r="B1173" s="19" t="s">
        <v>17</v>
      </c>
      <c r="C1173" s="19"/>
      <c r="D1173" s="37">
        <v>45899</v>
      </c>
      <c r="E1173" s="31" t="s">
        <v>832</v>
      </c>
      <c r="F1173" s="31" t="s">
        <v>64</v>
      </c>
      <c r="G1173" s="31">
        <v>3338</v>
      </c>
      <c r="H1173" s="31" t="s">
        <v>160</v>
      </c>
      <c r="I1173" s="38">
        <v>0</v>
      </c>
    </row>
    <row r="1174" spans="1:10" x14ac:dyDescent="0.35">
      <c r="A1174" s="31">
        <v>586.5</v>
      </c>
      <c r="B1174" s="19"/>
      <c r="C1174" s="19" t="s">
        <v>22</v>
      </c>
      <c r="D1174" s="37">
        <v>45899</v>
      </c>
      <c r="E1174" s="31" t="s">
        <v>832</v>
      </c>
      <c r="F1174" s="31" t="s">
        <v>64</v>
      </c>
      <c r="G1174" s="31">
        <v>3338</v>
      </c>
      <c r="H1174" s="31" t="s">
        <v>160</v>
      </c>
      <c r="J1174" s="38">
        <v>0</v>
      </c>
    </row>
    <row r="1175" spans="1:10" x14ac:dyDescent="0.35">
      <c r="A1175" s="31">
        <v>587</v>
      </c>
      <c r="B1175" s="19" t="s">
        <v>17</v>
      </c>
      <c r="C1175" s="19"/>
      <c r="D1175" s="37">
        <v>45899</v>
      </c>
      <c r="E1175" s="31" t="s">
        <v>833</v>
      </c>
      <c r="F1175" s="31" t="s">
        <v>64</v>
      </c>
      <c r="G1175" s="31">
        <v>3338</v>
      </c>
      <c r="H1175" s="31" t="s">
        <v>160</v>
      </c>
      <c r="I1175" s="38">
        <v>0</v>
      </c>
    </row>
    <row r="1176" spans="1:10" x14ac:dyDescent="0.35">
      <c r="A1176" s="31">
        <v>587.5</v>
      </c>
      <c r="B1176" s="19"/>
      <c r="C1176" s="19" t="s">
        <v>22</v>
      </c>
      <c r="D1176" s="37">
        <v>45899</v>
      </c>
      <c r="E1176" s="31" t="s">
        <v>833</v>
      </c>
      <c r="F1176" s="31" t="s">
        <v>64</v>
      </c>
      <c r="G1176" s="31">
        <v>3338</v>
      </c>
      <c r="H1176" s="31" t="s">
        <v>160</v>
      </c>
      <c r="J1176" s="38">
        <v>0</v>
      </c>
    </row>
    <row r="1177" spans="1:10" x14ac:dyDescent="0.35">
      <c r="A1177" s="31">
        <v>588</v>
      </c>
      <c r="B1177" s="19" t="s">
        <v>17</v>
      </c>
      <c r="C1177" s="19"/>
      <c r="D1177" s="37">
        <v>45899</v>
      </c>
      <c r="E1177" s="31" t="s">
        <v>834</v>
      </c>
      <c r="F1177" s="31" t="s">
        <v>64</v>
      </c>
      <c r="G1177" s="31">
        <v>3338</v>
      </c>
      <c r="H1177" s="31" t="s">
        <v>160</v>
      </c>
      <c r="I1177" s="38">
        <v>0</v>
      </c>
    </row>
    <row r="1178" spans="1:10" x14ac:dyDescent="0.35">
      <c r="A1178" s="31">
        <v>588.5</v>
      </c>
      <c r="B1178" s="19"/>
      <c r="C1178" s="19" t="s">
        <v>22</v>
      </c>
      <c r="D1178" s="37">
        <v>45899</v>
      </c>
      <c r="E1178" s="31" t="s">
        <v>834</v>
      </c>
      <c r="F1178" s="31" t="s">
        <v>64</v>
      </c>
      <c r="G1178" s="31">
        <v>3338</v>
      </c>
      <c r="H1178" s="31" t="s">
        <v>160</v>
      </c>
      <c r="J1178" s="38">
        <v>0</v>
      </c>
    </row>
    <row r="1179" spans="1:10" x14ac:dyDescent="0.35">
      <c r="A1179" s="31">
        <v>589</v>
      </c>
      <c r="B1179" s="19" t="s">
        <v>17</v>
      </c>
      <c r="C1179" s="19"/>
      <c r="D1179" s="37">
        <v>45899</v>
      </c>
      <c r="E1179" s="31" t="s">
        <v>835</v>
      </c>
      <c r="F1179" s="31" t="s">
        <v>836</v>
      </c>
      <c r="G1179" s="31">
        <v>3557</v>
      </c>
      <c r="H1179" s="31" t="s">
        <v>160</v>
      </c>
      <c r="I1179" s="38">
        <v>0</v>
      </c>
    </row>
    <row r="1180" spans="1:10" x14ac:dyDescent="0.35">
      <c r="A1180" s="31">
        <v>589.5</v>
      </c>
      <c r="B1180" s="19"/>
      <c r="C1180" s="19" t="s">
        <v>22</v>
      </c>
      <c r="D1180" s="37">
        <v>45899</v>
      </c>
      <c r="E1180" s="31" t="s">
        <v>835</v>
      </c>
      <c r="F1180" s="31" t="s">
        <v>836</v>
      </c>
      <c r="G1180" s="31">
        <v>3557</v>
      </c>
      <c r="H1180" s="31" t="s">
        <v>160</v>
      </c>
      <c r="J1180" s="38">
        <v>0</v>
      </c>
    </row>
    <row r="1181" spans="1:10" x14ac:dyDescent="0.35">
      <c r="A1181" s="31">
        <v>590</v>
      </c>
      <c r="B1181" s="19" t="s">
        <v>17</v>
      </c>
      <c r="C1181" s="19"/>
      <c r="D1181" s="37">
        <v>45899</v>
      </c>
      <c r="E1181" s="31" t="s">
        <v>837</v>
      </c>
      <c r="F1181" s="31" t="s">
        <v>177</v>
      </c>
      <c r="G1181" s="31">
        <v>3526</v>
      </c>
      <c r="H1181" s="31" t="s">
        <v>160</v>
      </c>
      <c r="I1181" s="38">
        <v>2494.5700000000002</v>
      </c>
    </row>
    <row r="1182" spans="1:10" x14ac:dyDescent="0.35">
      <c r="A1182" s="31">
        <v>590.5</v>
      </c>
      <c r="B1182" s="19"/>
      <c r="C1182" s="19" t="s">
        <v>22</v>
      </c>
      <c r="D1182" s="37">
        <v>45899</v>
      </c>
      <c r="E1182" s="31" t="s">
        <v>837</v>
      </c>
      <c r="F1182" s="31" t="s">
        <v>177</v>
      </c>
      <c r="G1182" s="31">
        <v>3526</v>
      </c>
      <c r="H1182" s="31" t="s">
        <v>160</v>
      </c>
      <c r="J1182" s="38">
        <v>2494.5700000000002</v>
      </c>
    </row>
    <row r="1183" spans="1:10" x14ac:dyDescent="0.35">
      <c r="A1183" s="31">
        <v>591</v>
      </c>
      <c r="B1183" s="19" t="s">
        <v>17</v>
      </c>
      <c r="C1183" s="19"/>
      <c r="D1183" s="37">
        <v>45899</v>
      </c>
      <c r="E1183" s="31" t="s">
        <v>838</v>
      </c>
      <c r="F1183" s="31" t="s">
        <v>177</v>
      </c>
      <c r="G1183" s="31">
        <v>3526</v>
      </c>
      <c r="H1183" s="31" t="s">
        <v>160</v>
      </c>
      <c r="I1183" s="38">
        <v>4394.0499999999993</v>
      </c>
    </row>
    <row r="1184" spans="1:10" x14ac:dyDescent="0.35">
      <c r="A1184" s="31">
        <v>591.5</v>
      </c>
      <c r="B1184" s="19"/>
      <c r="C1184" s="19" t="s">
        <v>22</v>
      </c>
      <c r="D1184" s="37">
        <v>45899</v>
      </c>
      <c r="E1184" s="31" t="s">
        <v>838</v>
      </c>
      <c r="F1184" s="31" t="s">
        <v>177</v>
      </c>
      <c r="G1184" s="31">
        <v>3526</v>
      </c>
      <c r="H1184" s="31" t="s">
        <v>160</v>
      </c>
      <c r="J1184" s="38">
        <v>4394.0499999999993</v>
      </c>
    </row>
    <row r="1185" spans="1:10" x14ac:dyDescent="0.35">
      <c r="A1185" s="31">
        <v>592</v>
      </c>
      <c r="B1185" s="19" t="s">
        <v>17</v>
      </c>
      <c r="C1185" s="19"/>
      <c r="D1185" s="37">
        <v>45899</v>
      </c>
      <c r="E1185" s="31">
        <v>38254</v>
      </c>
      <c r="F1185" s="31" t="s">
        <v>177</v>
      </c>
      <c r="G1185" s="31">
        <v>3526</v>
      </c>
      <c r="H1185" s="31" t="s">
        <v>160</v>
      </c>
      <c r="I1185" s="38">
        <v>70206.000000000015</v>
      </c>
    </row>
    <row r="1186" spans="1:10" x14ac:dyDescent="0.35">
      <c r="A1186" s="31">
        <v>592.5</v>
      </c>
      <c r="B1186" s="19"/>
      <c r="C1186" s="19" t="s">
        <v>22</v>
      </c>
      <c r="D1186" s="37">
        <v>45899</v>
      </c>
      <c r="E1186" s="31">
        <v>38254</v>
      </c>
      <c r="F1186" s="31" t="s">
        <v>177</v>
      </c>
      <c r="G1186" s="31">
        <v>3526</v>
      </c>
      <c r="H1186" s="31" t="s">
        <v>160</v>
      </c>
      <c r="J1186" s="38">
        <v>70206.000000000015</v>
      </c>
    </row>
    <row r="1187" spans="1:10" x14ac:dyDescent="0.35">
      <c r="A1187" s="31">
        <v>593</v>
      </c>
      <c r="B1187" s="19" t="s">
        <v>17</v>
      </c>
      <c r="C1187" s="19"/>
      <c r="D1187" s="37">
        <v>45899</v>
      </c>
      <c r="E1187" s="31" t="s">
        <v>839</v>
      </c>
      <c r="F1187" s="31" t="s">
        <v>177</v>
      </c>
      <c r="G1187" s="31">
        <v>3526</v>
      </c>
      <c r="H1187" s="31" t="s">
        <v>160</v>
      </c>
      <c r="I1187" s="38">
        <v>268894.41000000003</v>
      </c>
    </row>
    <row r="1188" spans="1:10" x14ac:dyDescent="0.35">
      <c r="A1188" s="31">
        <v>593.5</v>
      </c>
      <c r="B1188" s="19"/>
      <c r="C1188" s="19" t="s">
        <v>22</v>
      </c>
      <c r="D1188" s="37">
        <v>45899</v>
      </c>
      <c r="E1188" s="31" t="s">
        <v>839</v>
      </c>
      <c r="F1188" s="31" t="s">
        <v>177</v>
      </c>
      <c r="G1188" s="31">
        <v>3526</v>
      </c>
      <c r="H1188" s="31" t="s">
        <v>160</v>
      </c>
      <c r="J1188" s="38">
        <v>268894.41000000003</v>
      </c>
    </row>
    <row r="1189" spans="1:10" x14ac:dyDescent="0.35">
      <c r="A1189" s="31">
        <v>594</v>
      </c>
      <c r="B1189" s="19" t="s">
        <v>17</v>
      </c>
      <c r="C1189" s="19"/>
      <c r="D1189" s="37">
        <v>45899</v>
      </c>
      <c r="E1189" s="31" t="s">
        <v>840</v>
      </c>
      <c r="F1189" s="31" t="s">
        <v>177</v>
      </c>
      <c r="G1189" s="31">
        <v>3526</v>
      </c>
      <c r="H1189" s="31" t="s">
        <v>160</v>
      </c>
      <c r="I1189" s="38">
        <v>32981.75</v>
      </c>
    </row>
    <row r="1190" spans="1:10" x14ac:dyDescent="0.35">
      <c r="A1190" s="31">
        <v>594.5</v>
      </c>
      <c r="B1190" s="19"/>
      <c r="C1190" s="19" t="s">
        <v>22</v>
      </c>
      <c r="D1190" s="37">
        <v>45899</v>
      </c>
      <c r="E1190" s="31" t="s">
        <v>840</v>
      </c>
      <c r="F1190" s="31" t="s">
        <v>177</v>
      </c>
      <c r="G1190" s="31">
        <v>3526</v>
      </c>
      <c r="H1190" s="31" t="s">
        <v>160</v>
      </c>
      <c r="J1190" s="38">
        <v>32981.75</v>
      </c>
    </row>
    <row r="1191" spans="1:10" x14ac:dyDescent="0.35">
      <c r="A1191" s="31">
        <v>595</v>
      </c>
      <c r="B1191" s="19" t="s">
        <v>17</v>
      </c>
      <c r="C1191" s="19"/>
      <c r="D1191" s="37">
        <v>45899</v>
      </c>
      <c r="E1191" s="31" t="s">
        <v>841</v>
      </c>
      <c r="F1191" s="31" t="s">
        <v>177</v>
      </c>
      <c r="G1191" s="31">
        <v>3526</v>
      </c>
      <c r="H1191" s="31" t="s">
        <v>160</v>
      </c>
      <c r="I1191" s="38">
        <v>72633.990000000005</v>
      </c>
    </row>
    <row r="1192" spans="1:10" x14ac:dyDescent="0.35">
      <c r="A1192" s="31">
        <v>595.5</v>
      </c>
      <c r="B1192" s="19"/>
      <c r="C1192" s="19" t="s">
        <v>22</v>
      </c>
      <c r="D1192" s="37">
        <v>45899</v>
      </c>
      <c r="E1192" s="31" t="s">
        <v>841</v>
      </c>
      <c r="F1192" s="31" t="s">
        <v>177</v>
      </c>
      <c r="G1192" s="31">
        <v>3526</v>
      </c>
      <c r="H1192" s="31" t="s">
        <v>160</v>
      </c>
      <c r="J1192" s="38">
        <v>72633.990000000005</v>
      </c>
    </row>
    <row r="1193" spans="1:10" x14ac:dyDescent="0.35">
      <c r="A1193" s="31">
        <v>596</v>
      </c>
      <c r="B1193" s="19" t="s">
        <v>17</v>
      </c>
      <c r="C1193" s="19"/>
      <c r="D1193" s="37">
        <v>45899</v>
      </c>
      <c r="E1193" s="31" t="s">
        <v>842</v>
      </c>
      <c r="F1193" s="31" t="s">
        <v>177</v>
      </c>
      <c r="G1193" s="31">
        <v>3526</v>
      </c>
      <c r="H1193" s="31" t="s">
        <v>160</v>
      </c>
      <c r="I1193" s="38">
        <v>0</v>
      </c>
    </row>
    <row r="1194" spans="1:10" x14ac:dyDescent="0.35">
      <c r="A1194" s="31">
        <v>596.5</v>
      </c>
      <c r="B1194" s="19"/>
      <c r="C1194" s="19" t="s">
        <v>22</v>
      </c>
      <c r="D1194" s="37">
        <v>45899</v>
      </c>
      <c r="E1194" s="31" t="s">
        <v>842</v>
      </c>
      <c r="F1194" s="31" t="s">
        <v>177</v>
      </c>
      <c r="G1194" s="31">
        <v>3526</v>
      </c>
      <c r="H1194" s="31" t="s">
        <v>160</v>
      </c>
      <c r="J1194" s="38">
        <v>0</v>
      </c>
    </row>
    <row r="1195" spans="1:10" x14ac:dyDescent="0.35">
      <c r="A1195" s="31">
        <v>597</v>
      </c>
      <c r="B1195" s="19" t="s">
        <v>17</v>
      </c>
      <c r="C1195" s="19"/>
      <c r="D1195" s="37">
        <v>45899</v>
      </c>
      <c r="E1195" s="31" t="s">
        <v>843</v>
      </c>
      <c r="F1195" s="31" t="s">
        <v>177</v>
      </c>
      <c r="G1195" s="31">
        <v>3526</v>
      </c>
      <c r="H1195" s="31" t="s">
        <v>160</v>
      </c>
      <c r="I1195" s="38">
        <v>2754.29</v>
      </c>
    </row>
    <row r="1196" spans="1:10" x14ac:dyDescent="0.35">
      <c r="A1196" s="31">
        <v>597.5</v>
      </c>
      <c r="B1196" s="19"/>
      <c r="C1196" s="19" t="s">
        <v>22</v>
      </c>
      <c r="D1196" s="37">
        <v>45899</v>
      </c>
      <c r="E1196" s="31" t="s">
        <v>843</v>
      </c>
      <c r="F1196" s="31" t="s">
        <v>177</v>
      </c>
      <c r="G1196" s="31">
        <v>3526</v>
      </c>
      <c r="H1196" s="31" t="s">
        <v>160</v>
      </c>
      <c r="J1196" s="38">
        <v>2754.29</v>
      </c>
    </row>
    <row r="1197" spans="1:10" x14ac:dyDescent="0.35">
      <c r="A1197" s="31">
        <v>598</v>
      </c>
      <c r="B1197" s="19" t="s">
        <v>17</v>
      </c>
      <c r="C1197" s="19"/>
      <c r="D1197" s="37">
        <v>45899</v>
      </c>
      <c r="E1197" s="31" t="s">
        <v>844</v>
      </c>
      <c r="F1197" s="31" t="s">
        <v>177</v>
      </c>
      <c r="G1197" s="31">
        <v>3526</v>
      </c>
      <c r="H1197" s="31" t="s">
        <v>160</v>
      </c>
      <c r="I1197" s="38">
        <v>0</v>
      </c>
    </row>
    <row r="1198" spans="1:10" x14ac:dyDescent="0.35">
      <c r="A1198" s="31">
        <v>598.5</v>
      </c>
      <c r="B1198" s="19"/>
      <c r="C1198" s="19" t="s">
        <v>22</v>
      </c>
      <c r="D1198" s="37">
        <v>45899</v>
      </c>
      <c r="E1198" s="31" t="s">
        <v>844</v>
      </c>
      <c r="F1198" s="31" t="s">
        <v>177</v>
      </c>
      <c r="G1198" s="31">
        <v>3526</v>
      </c>
      <c r="H1198" s="31" t="s">
        <v>160</v>
      </c>
      <c r="J1198" s="38">
        <v>0</v>
      </c>
    </row>
    <row r="1199" spans="1:10" x14ac:dyDescent="0.35">
      <c r="A1199" s="31">
        <v>599</v>
      </c>
      <c r="B1199" s="19" t="s">
        <v>17</v>
      </c>
      <c r="C1199" s="19"/>
      <c r="D1199" s="37">
        <v>45899</v>
      </c>
      <c r="E1199" s="31">
        <v>38263</v>
      </c>
      <c r="F1199" s="31" t="s">
        <v>177</v>
      </c>
      <c r="G1199" s="31">
        <v>3526</v>
      </c>
      <c r="H1199" s="31" t="s">
        <v>160</v>
      </c>
      <c r="I1199" s="38">
        <v>1203.22</v>
      </c>
    </row>
    <row r="1200" spans="1:10" x14ac:dyDescent="0.35">
      <c r="A1200" s="31">
        <v>599.5</v>
      </c>
      <c r="B1200" s="19"/>
      <c r="C1200" s="19" t="s">
        <v>22</v>
      </c>
      <c r="D1200" s="37">
        <v>45899</v>
      </c>
      <c r="E1200" s="31">
        <v>38263</v>
      </c>
      <c r="F1200" s="31" t="s">
        <v>177</v>
      </c>
      <c r="G1200" s="31">
        <v>3526</v>
      </c>
      <c r="H1200" s="31" t="s">
        <v>160</v>
      </c>
      <c r="J1200" s="38">
        <v>1203.22</v>
      </c>
    </row>
    <row r="1201" spans="1:10" x14ac:dyDescent="0.35">
      <c r="A1201" s="31">
        <v>600</v>
      </c>
      <c r="B1201" s="19" t="s">
        <v>17</v>
      </c>
      <c r="C1201" s="19"/>
      <c r="D1201" s="37">
        <v>45899</v>
      </c>
      <c r="E1201" s="31" t="s">
        <v>845</v>
      </c>
      <c r="F1201" s="31" t="s">
        <v>177</v>
      </c>
      <c r="G1201" s="31">
        <v>3526</v>
      </c>
      <c r="H1201" s="31" t="s">
        <v>160</v>
      </c>
      <c r="I1201" s="38">
        <v>0</v>
      </c>
    </row>
    <row r="1202" spans="1:10" x14ac:dyDescent="0.35">
      <c r="A1202" s="31">
        <v>600.5</v>
      </c>
      <c r="B1202" s="19"/>
      <c r="C1202" s="19" t="s">
        <v>22</v>
      </c>
      <c r="D1202" s="37">
        <v>45899</v>
      </c>
      <c r="E1202" s="31" t="s">
        <v>845</v>
      </c>
      <c r="F1202" s="31" t="s">
        <v>177</v>
      </c>
      <c r="G1202" s="31">
        <v>3526</v>
      </c>
      <c r="H1202" s="31" t="s">
        <v>160</v>
      </c>
      <c r="J1202" s="38">
        <v>0</v>
      </c>
    </row>
    <row r="1203" spans="1:10" x14ac:dyDescent="0.35">
      <c r="A1203" s="31">
        <v>601</v>
      </c>
      <c r="B1203" s="19" t="s">
        <v>17</v>
      </c>
      <c r="C1203" s="19"/>
      <c r="D1203" s="37">
        <v>45899</v>
      </c>
      <c r="E1203" s="31" t="s">
        <v>846</v>
      </c>
      <c r="F1203" s="31" t="s">
        <v>177</v>
      </c>
      <c r="G1203" s="31">
        <v>3526</v>
      </c>
      <c r="H1203" s="31" t="s">
        <v>160</v>
      </c>
      <c r="I1203" s="38">
        <v>0</v>
      </c>
    </row>
    <row r="1204" spans="1:10" x14ac:dyDescent="0.35">
      <c r="A1204" s="31">
        <v>601.5</v>
      </c>
      <c r="B1204" s="19"/>
      <c r="C1204" s="19" t="s">
        <v>22</v>
      </c>
      <c r="D1204" s="37">
        <v>45899</v>
      </c>
      <c r="E1204" s="31" t="s">
        <v>846</v>
      </c>
      <c r="F1204" s="31" t="s">
        <v>177</v>
      </c>
      <c r="G1204" s="31">
        <v>3526</v>
      </c>
      <c r="H1204" s="31" t="s">
        <v>160</v>
      </c>
      <c r="J1204" s="38">
        <v>0</v>
      </c>
    </row>
    <row r="1205" spans="1:10" x14ac:dyDescent="0.35">
      <c r="A1205" s="31">
        <v>602</v>
      </c>
      <c r="B1205" s="19" t="s">
        <v>17</v>
      </c>
      <c r="C1205" s="19"/>
      <c r="D1205" s="37">
        <v>45899</v>
      </c>
      <c r="E1205" s="31">
        <v>38265</v>
      </c>
      <c r="F1205" s="31" t="s">
        <v>177</v>
      </c>
      <c r="G1205" s="31">
        <v>3526</v>
      </c>
      <c r="H1205" s="31" t="s">
        <v>160</v>
      </c>
      <c r="I1205" s="38">
        <v>21741</v>
      </c>
    </row>
    <row r="1206" spans="1:10" x14ac:dyDescent="0.35">
      <c r="A1206" s="31">
        <v>602.5</v>
      </c>
      <c r="B1206" s="19"/>
      <c r="C1206" s="19" t="s">
        <v>22</v>
      </c>
      <c r="D1206" s="37">
        <v>45899</v>
      </c>
      <c r="E1206" s="31">
        <v>38265</v>
      </c>
      <c r="F1206" s="31" t="s">
        <v>177</v>
      </c>
      <c r="G1206" s="31">
        <v>3526</v>
      </c>
      <c r="H1206" s="31" t="s">
        <v>160</v>
      </c>
      <c r="J1206" s="38">
        <v>21741</v>
      </c>
    </row>
    <row r="1207" spans="1:10" x14ac:dyDescent="0.35">
      <c r="A1207" s="31">
        <v>603</v>
      </c>
      <c r="B1207" s="19" t="s">
        <v>17</v>
      </c>
      <c r="C1207" s="19"/>
      <c r="D1207" s="37">
        <v>45899</v>
      </c>
      <c r="E1207" s="31">
        <v>38266</v>
      </c>
      <c r="F1207" s="31" t="s">
        <v>177</v>
      </c>
      <c r="G1207" s="31">
        <v>3526</v>
      </c>
      <c r="H1207" s="31" t="s">
        <v>160</v>
      </c>
      <c r="I1207" s="38">
        <v>21848.110000000004</v>
      </c>
    </row>
    <row r="1208" spans="1:10" x14ac:dyDescent="0.35">
      <c r="A1208" s="31">
        <v>603.5</v>
      </c>
      <c r="B1208" s="19"/>
      <c r="C1208" s="19" t="s">
        <v>22</v>
      </c>
      <c r="D1208" s="37">
        <v>45899</v>
      </c>
      <c r="E1208" s="31">
        <v>38266</v>
      </c>
      <c r="F1208" s="31" t="s">
        <v>177</v>
      </c>
      <c r="G1208" s="31">
        <v>3526</v>
      </c>
      <c r="H1208" s="31" t="s">
        <v>160</v>
      </c>
      <c r="J1208" s="38">
        <v>21848.110000000004</v>
      </c>
    </row>
    <row r="1209" spans="1:10" x14ac:dyDescent="0.35">
      <c r="A1209" s="31">
        <v>604</v>
      </c>
      <c r="B1209" s="19" t="s">
        <v>17</v>
      </c>
      <c r="C1209" s="19"/>
      <c r="D1209" s="37">
        <v>45899</v>
      </c>
      <c r="E1209" s="31" t="s">
        <v>847</v>
      </c>
      <c r="F1209" s="31" t="s">
        <v>284</v>
      </c>
      <c r="G1209" s="31">
        <v>3368</v>
      </c>
      <c r="H1209" s="31" t="s">
        <v>160</v>
      </c>
      <c r="I1209" s="38">
        <v>0</v>
      </c>
    </row>
    <row r="1210" spans="1:10" x14ac:dyDescent="0.35">
      <c r="A1210" s="31">
        <v>604.5</v>
      </c>
      <c r="B1210" s="19"/>
      <c r="C1210" s="19" t="s">
        <v>22</v>
      </c>
      <c r="D1210" s="37">
        <v>45899</v>
      </c>
      <c r="E1210" s="31" t="s">
        <v>847</v>
      </c>
      <c r="F1210" s="31" t="s">
        <v>284</v>
      </c>
      <c r="G1210" s="31">
        <v>3368</v>
      </c>
      <c r="H1210" s="31" t="s">
        <v>160</v>
      </c>
      <c r="J1210" s="38">
        <v>0</v>
      </c>
    </row>
    <row r="1211" spans="1:10" x14ac:dyDescent="0.35">
      <c r="A1211" s="31">
        <v>605</v>
      </c>
      <c r="B1211" s="19" t="s">
        <v>17</v>
      </c>
      <c r="C1211" s="19"/>
      <c r="D1211" s="37">
        <v>45899</v>
      </c>
      <c r="E1211" s="31" t="s">
        <v>848</v>
      </c>
      <c r="F1211" s="31" t="s">
        <v>284</v>
      </c>
      <c r="G1211" s="31">
        <v>3368</v>
      </c>
      <c r="H1211" s="31" t="s">
        <v>160</v>
      </c>
      <c r="I1211" s="38">
        <v>0</v>
      </c>
    </row>
    <row r="1212" spans="1:10" x14ac:dyDescent="0.35">
      <c r="A1212" s="31">
        <v>605.5</v>
      </c>
      <c r="B1212" s="19"/>
      <c r="C1212" s="19" t="s">
        <v>22</v>
      </c>
      <c r="D1212" s="37">
        <v>45899</v>
      </c>
      <c r="E1212" s="31" t="s">
        <v>848</v>
      </c>
      <c r="F1212" s="31" t="s">
        <v>284</v>
      </c>
      <c r="G1212" s="31">
        <v>3368</v>
      </c>
      <c r="H1212" s="31" t="s">
        <v>160</v>
      </c>
      <c r="J1212" s="38">
        <v>0</v>
      </c>
    </row>
    <row r="1213" spans="1:10" x14ac:dyDescent="0.35">
      <c r="A1213" s="31">
        <v>606</v>
      </c>
      <c r="B1213" s="19" t="s">
        <v>17</v>
      </c>
      <c r="C1213" s="19"/>
      <c r="D1213" s="37">
        <v>45899</v>
      </c>
      <c r="E1213" s="31" t="s">
        <v>849</v>
      </c>
      <c r="F1213" s="31" t="s">
        <v>850</v>
      </c>
      <c r="G1213" s="31">
        <v>2587</v>
      </c>
      <c r="H1213" s="31" t="s">
        <v>160</v>
      </c>
      <c r="I1213" s="38">
        <v>0</v>
      </c>
    </row>
    <row r="1214" spans="1:10" x14ac:dyDescent="0.35">
      <c r="A1214" s="31">
        <v>606.5</v>
      </c>
      <c r="B1214" s="19"/>
      <c r="C1214" s="19" t="s">
        <v>22</v>
      </c>
      <c r="D1214" s="37">
        <v>45899</v>
      </c>
      <c r="E1214" s="31" t="s">
        <v>849</v>
      </c>
      <c r="F1214" s="31" t="s">
        <v>850</v>
      </c>
      <c r="G1214" s="31">
        <v>2587</v>
      </c>
      <c r="H1214" s="31" t="s">
        <v>160</v>
      </c>
      <c r="J1214" s="38">
        <v>0</v>
      </c>
    </row>
    <row r="1215" spans="1:10" x14ac:dyDescent="0.35">
      <c r="A1215" s="31">
        <v>607</v>
      </c>
      <c r="B1215" s="19" t="s">
        <v>17</v>
      </c>
      <c r="C1215" s="19"/>
      <c r="D1215" s="37">
        <v>45899</v>
      </c>
      <c r="E1215" s="31" t="s">
        <v>851</v>
      </c>
      <c r="F1215" s="31" t="s">
        <v>852</v>
      </c>
      <c r="G1215" s="31">
        <v>3333</v>
      </c>
      <c r="H1215" s="31" t="s">
        <v>160</v>
      </c>
      <c r="I1215" s="38">
        <v>0</v>
      </c>
    </row>
    <row r="1216" spans="1:10" x14ac:dyDescent="0.35">
      <c r="A1216" s="31">
        <v>607.5</v>
      </c>
      <c r="B1216" s="19"/>
      <c r="C1216" s="19" t="s">
        <v>22</v>
      </c>
      <c r="D1216" s="37">
        <v>45899</v>
      </c>
      <c r="E1216" s="31" t="s">
        <v>851</v>
      </c>
      <c r="F1216" s="31" t="s">
        <v>852</v>
      </c>
      <c r="G1216" s="31">
        <v>3333</v>
      </c>
      <c r="H1216" s="31" t="s">
        <v>160</v>
      </c>
      <c r="J1216" s="38">
        <v>0</v>
      </c>
    </row>
    <row r="1217" spans="1:10" x14ac:dyDescent="0.35">
      <c r="A1217" s="31">
        <v>608</v>
      </c>
      <c r="B1217" s="19" t="s">
        <v>17</v>
      </c>
      <c r="C1217" s="19"/>
      <c r="D1217" s="37">
        <v>45899</v>
      </c>
      <c r="E1217" s="31" t="s">
        <v>853</v>
      </c>
      <c r="F1217" s="31" t="s">
        <v>741</v>
      </c>
      <c r="G1217" s="31">
        <v>2609</v>
      </c>
      <c r="H1217" s="31" t="s">
        <v>160</v>
      </c>
      <c r="I1217" s="38">
        <v>0</v>
      </c>
    </row>
    <row r="1218" spans="1:10" x14ac:dyDescent="0.35">
      <c r="A1218" s="31">
        <v>608.5</v>
      </c>
      <c r="B1218" s="19"/>
      <c r="C1218" s="19" t="s">
        <v>22</v>
      </c>
      <c r="D1218" s="37">
        <v>45899</v>
      </c>
      <c r="E1218" s="31" t="s">
        <v>853</v>
      </c>
      <c r="F1218" s="31" t="s">
        <v>741</v>
      </c>
      <c r="G1218" s="31">
        <v>2609</v>
      </c>
      <c r="H1218" s="31" t="s">
        <v>160</v>
      </c>
      <c r="J1218" s="38">
        <v>0</v>
      </c>
    </row>
    <row r="1219" spans="1:10" x14ac:dyDescent="0.35">
      <c r="A1219" s="31">
        <v>609</v>
      </c>
      <c r="B1219" s="19" t="s">
        <v>17</v>
      </c>
      <c r="C1219" s="19"/>
      <c r="D1219" s="37">
        <v>45899</v>
      </c>
      <c r="E1219" s="31" t="s">
        <v>854</v>
      </c>
      <c r="F1219" s="31" t="s">
        <v>741</v>
      </c>
      <c r="G1219" s="31">
        <v>2609</v>
      </c>
      <c r="H1219" s="31" t="s">
        <v>160</v>
      </c>
      <c r="I1219" s="38">
        <v>0</v>
      </c>
    </row>
    <row r="1220" spans="1:10" x14ac:dyDescent="0.35">
      <c r="A1220" s="31">
        <v>609.5</v>
      </c>
      <c r="B1220" s="19"/>
      <c r="C1220" s="19" t="s">
        <v>22</v>
      </c>
      <c r="D1220" s="37">
        <v>45899</v>
      </c>
      <c r="E1220" s="31" t="s">
        <v>854</v>
      </c>
      <c r="F1220" s="31" t="s">
        <v>741</v>
      </c>
      <c r="G1220" s="31">
        <v>2609</v>
      </c>
      <c r="H1220" s="31" t="s">
        <v>160</v>
      </c>
      <c r="J1220" s="38">
        <v>0</v>
      </c>
    </row>
    <row r="1221" spans="1:10" x14ac:dyDescent="0.35">
      <c r="A1221" s="31">
        <v>610</v>
      </c>
      <c r="B1221" s="19" t="s">
        <v>17</v>
      </c>
      <c r="C1221" s="19"/>
      <c r="D1221" s="37">
        <v>45899</v>
      </c>
      <c r="E1221" s="31" t="s">
        <v>855</v>
      </c>
      <c r="F1221" s="53" t="s">
        <v>1196</v>
      </c>
      <c r="G1221" s="31">
        <v>1558</v>
      </c>
      <c r="H1221" s="31" t="s">
        <v>160</v>
      </c>
      <c r="I1221" s="38">
        <v>0</v>
      </c>
    </row>
    <row r="1222" spans="1:10" x14ac:dyDescent="0.35">
      <c r="A1222" s="31">
        <v>610.5</v>
      </c>
      <c r="B1222" s="19"/>
      <c r="C1222" s="19" t="s">
        <v>22</v>
      </c>
      <c r="D1222" s="37">
        <v>45899</v>
      </c>
      <c r="E1222" s="31" t="s">
        <v>855</v>
      </c>
      <c r="F1222" s="53" t="s">
        <v>1196</v>
      </c>
      <c r="G1222" s="31">
        <v>1558</v>
      </c>
      <c r="H1222" s="31" t="s">
        <v>160</v>
      </c>
      <c r="J1222" s="38">
        <v>0</v>
      </c>
    </row>
    <row r="1223" spans="1:10" x14ac:dyDescent="0.35">
      <c r="A1223" s="31">
        <v>611</v>
      </c>
      <c r="B1223" s="19" t="s">
        <v>17</v>
      </c>
      <c r="C1223" s="19"/>
      <c r="D1223" s="37">
        <v>45899</v>
      </c>
      <c r="E1223" s="31" t="s">
        <v>856</v>
      </c>
      <c r="F1223" s="53" t="s">
        <v>1196</v>
      </c>
      <c r="G1223" s="31">
        <v>1558</v>
      </c>
      <c r="H1223" s="31" t="s">
        <v>160</v>
      </c>
      <c r="I1223" s="38">
        <v>0</v>
      </c>
    </row>
    <row r="1224" spans="1:10" x14ac:dyDescent="0.35">
      <c r="A1224" s="31">
        <v>611.5</v>
      </c>
      <c r="B1224" s="19"/>
      <c r="C1224" s="19" t="s">
        <v>22</v>
      </c>
      <c r="D1224" s="37">
        <v>45899</v>
      </c>
      <c r="E1224" s="31" t="s">
        <v>856</v>
      </c>
      <c r="F1224" s="53" t="s">
        <v>1196</v>
      </c>
      <c r="G1224" s="31">
        <v>1558</v>
      </c>
      <c r="H1224" s="31" t="s">
        <v>160</v>
      </c>
      <c r="J1224" s="38">
        <v>0</v>
      </c>
    </row>
    <row r="1225" spans="1:10" x14ac:dyDescent="0.35">
      <c r="A1225" s="31">
        <v>612</v>
      </c>
      <c r="B1225" s="19" t="s">
        <v>17</v>
      </c>
      <c r="C1225" s="19"/>
      <c r="D1225" s="37">
        <v>45899</v>
      </c>
      <c r="E1225" s="31" t="s">
        <v>857</v>
      </c>
      <c r="F1225" s="53" t="s">
        <v>1196</v>
      </c>
      <c r="G1225" s="31">
        <v>1558</v>
      </c>
      <c r="H1225" s="31" t="s">
        <v>160</v>
      </c>
      <c r="I1225" s="38">
        <v>0</v>
      </c>
    </row>
    <row r="1226" spans="1:10" x14ac:dyDescent="0.35">
      <c r="A1226" s="31">
        <v>612.5</v>
      </c>
      <c r="B1226" s="19"/>
      <c r="C1226" s="19" t="s">
        <v>22</v>
      </c>
      <c r="D1226" s="37">
        <v>45899</v>
      </c>
      <c r="E1226" s="31" t="s">
        <v>857</v>
      </c>
      <c r="F1226" s="53" t="s">
        <v>1196</v>
      </c>
      <c r="G1226" s="31">
        <v>1558</v>
      </c>
      <c r="H1226" s="31" t="s">
        <v>160</v>
      </c>
      <c r="J1226" s="38">
        <v>0</v>
      </c>
    </row>
    <row r="1227" spans="1:10" x14ac:dyDescent="0.35">
      <c r="A1227" s="31">
        <v>613</v>
      </c>
      <c r="B1227" s="19" t="s">
        <v>17</v>
      </c>
      <c r="C1227" s="19"/>
      <c r="D1227" s="37">
        <v>45899</v>
      </c>
      <c r="E1227" s="31" t="s">
        <v>858</v>
      </c>
      <c r="F1227" s="53" t="s">
        <v>1196</v>
      </c>
      <c r="G1227" s="31">
        <v>1558</v>
      </c>
      <c r="H1227" s="31" t="s">
        <v>160</v>
      </c>
      <c r="I1227" s="38">
        <v>0</v>
      </c>
    </row>
    <row r="1228" spans="1:10" x14ac:dyDescent="0.35">
      <c r="A1228" s="31">
        <v>613.5</v>
      </c>
      <c r="B1228" s="19"/>
      <c r="C1228" s="19" t="s">
        <v>22</v>
      </c>
      <c r="D1228" s="37">
        <v>45899</v>
      </c>
      <c r="E1228" s="31" t="s">
        <v>858</v>
      </c>
      <c r="F1228" s="53" t="s">
        <v>1196</v>
      </c>
      <c r="G1228" s="31">
        <v>1558</v>
      </c>
      <c r="H1228" s="31" t="s">
        <v>160</v>
      </c>
      <c r="J1228" s="38">
        <v>0</v>
      </c>
    </row>
    <row r="1229" spans="1:10" x14ac:dyDescent="0.35">
      <c r="A1229" s="31">
        <v>614</v>
      </c>
      <c r="B1229" s="19" t="s">
        <v>17</v>
      </c>
      <c r="C1229" s="19"/>
      <c r="D1229" s="37">
        <v>45899</v>
      </c>
      <c r="E1229" s="31" t="s">
        <v>859</v>
      </c>
      <c r="F1229" s="31" t="s">
        <v>570</v>
      </c>
      <c r="G1229" s="31">
        <v>502</v>
      </c>
      <c r="H1229" s="31" t="s">
        <v>160</v>
      </c>
      <c r="I1229" s="38">
        <v>0</v>
      </c>
    </row>
    <row r="1230" spans="1:10" x14ac:dyDescent="0.35">
      <c r="A1230" s="31">
        <v>614.5</v>
      </c>
      <c r="B1230" s="19"/>
      <c r="C1230" s="19" t="s">
        <v>22</v>
      </c>
      <c r="D1230" s="37">
        <v>45899</v>
      </c>
      <c r="E1230" s="31" t="s">
        <v>859</v>
      </c>
      <c r="F1230" s="31" t="s">
        <v>570</v>
      </c>
      <c r="G1230" s="31">
        <v>502</v>
      </c>
      <c r="H1230" s="31" t="s">
        <v>160</v>
      </c>
      <c r="J1230" s="38">
        <v>0</v>
      </c>
    </row>
    <row r="1231" spans="1:10" x14ac:dyDescent="0.35">
      <c r="A1231" s="31">
        <v>615</v>
      </c>
      <c r="B1231" s="19" t="s">
        <v>17</v>
      </c>
      <c r="C1231" s="19"/>
      <c r="D1231" s="37">
        <v>45899</v>
      </c>
      <c r="E1231" s="31" t="s">
        <v>860</v>
      </c>
      <c r="F1231" s="31" t="s">
        <v>107</v>
      </c>
      <c r="G1231" s="31">
        <v>2466</v>
      </c>
      <c r="H1231" s="31" t="s">
        <v>160</v>
      </c>
      <c r="I1231" s="38">
        <v>0</v>
      </c>
    </row>
    <row r="1232" spans="1:10" x14ac:dyDescent="0.35">
      <c r="A1232" s="31">
        <v>615.5</v>
      </c>
      <c r="B1232" s="19"/>
      <c r="C1232" s="19" t="s">
        <v>22</v>
      </c>
      <c r="D1232" s="37">
        <v>45899</v>
      </c>
      <c r="E1232" s="31" t="s">
        <v>860</v>
      </c>
      <c r="F1232" s="31" t="s">
        <v>107</v>
      </c>
      <c r="G1232" s="31">
        <v>2466</v>
      </c>
      <c r="H1232" s="31" t="s">
        <v>160</v>
      </c>
      <c r="J1232" s="38">
        <v>0</v>
      </c>
    </row>
    <row r="1233" spans="1:10" x14ac:dyDescent="0.35">
      <c r="A1233" s="31">
        <v>616</v>
      </c>
      <c r="B1233" s="19" t="s">
        <v>17</v>
      </c>
      <c r="C1233" s="19"/>
      <c r="D1233" s="37">
        <v>45899</v>
      </c>
      <c r="E1233" s="31" t="s">
        <v>861</v>
      </c>
      <c r="F1233" s="31" t="s">
        <v>107</v>
      </c>
      <c r="G1233" s="31">
        <v>2466</v>
      </c>
      <c r="H1233" s="31" t="s">
        <v>160</v>
      </c>
      <c r="I1233" s="38">
        <v>0</v>
      </c>
    </row>
    <row r="1234" spans="1:10" x14ac:dyDescent="0.35">
      <c r="A1234" s="31">
        <v>616.5</v>
      </c>
      <c r="B1234" s="19"/>
      <c r="C1234" s="19" t="s">
        <v>22</v>
      </c>
      <c r="D1234" s="37">
        <v>45899</v>
      </c>
      <c r="E1234" s="31" t="s">
        <v>861</v>
      </c>
      <c r="F1234" s="31" t="s">
        <v>107</v>
      </c>
      <c r="G1234" s="31">
        <v>2466</v>
      </c>
      <c r="H1234" s="31" t="s">
        <v>160</v>
      </c>
      <c r="J1234" s="38">
        <v>0</v>
      </c>
    </row>
    <row r="1235" spans="1:10" x14ac:dyDescent="0.35">
      <c r="A1235" s="31">
        <v>617</v>
      </c>
      <c r="B1235" s="19" t="s">
        <v>17</v>
      </c>
      <c r="C1235" s="19"/>
      <c r="D1235" s="37">
        <v>45899</v>
      </c>
      <c r="E1235" s="31" t="s">
        <v>862</v>
      </c>
      <c r="F1235" s="31" t="s">
        <v>107</v>
      </c>
      <c r="G1235" s="31">
        <v>2466</v>
      </c>
      <c r="H1235" s="31" t="s">
        <v>160</v>
      </c>
      <c r="I1235" s="38">
        <v>0</v>
      </c>
    </row>
    <row r="1236" spans="1:10" x14ac:dyDescent="0.35">
      <c r="A1236" s="31">
        <v>617.5</v>
      </c>
      <c r="B1236" s="19"/>
      <c r="C1236" s="19" t="s">
        <v>22</v>
      </c>
      <c r="D1236" s="37">
        <v>45899</v>
      </c>
      <c r="E1236" s="31" t="s">
        <v>862</v>
      </c>
      <c r="F1236" s="31" t="s">
        <v>107</v>
      </c>
      <c r="G1236" s="31">
        <v>2466</v>
      </c>
      <c r="H1236" s="31" t="s">
        <v>160</v>
      </c>
      <c r="J1236" s="38">
        <v>0</v>
      </c>
    </row>
    <row r="1237" spans="1:10" x14ac:dyDescent="0.35">
      <c r="A1237" s="31">
        <v>618</v>
      </c>
      <c r="B1237" s="19" t="s">
        <v>17</v>
      </c>
      <c r="C1237" s="19"/>
      <c r="D1237" s="37">
        <v>45899</v>
      </c>
      <c r="E1237" s="31" t="s">
        <v>863</v>
      </c>
      <c r="F1237" s="31" t="s">
        <v>137</v>
      </c>
      <c r="G1237" s="31">
        <v>3318</v>
      </c>
      <c r="H1237" s="31" t="s">
        <v>160</v>
      </c>
      <c r="I1237" s="38">
        <v>32435.98</v>
      </c>
    </row>
    <row r="1238" spans="1:10" x14ac:dyDescent="0.35">
      <c r="A1238" s="31">
        <v>618.5</v>
      </c>
      <c r="B1238" s="19"/>
      <c r="C1238" s="19" t="s">
        <v>22</v>
      </c>
      <c r="D1238" s="37">
        <v>45899</v>
      </c>
      <c r="E1238" s="31" t="s">
        <v>863</v>
      </c>
      <c r="F1238" s="31" t="s">
        <v>137</v>
      </c>
      <c r="G1238" s="31">
        <v>3318</v>
      </c>
      <c r="H1238" s="31" t="s">
        <v>160</v>
      </c>
      <c r="J1238" s="38">
        <v>32435.98</v>
      </c>
    </row>
    <row r="1239" spans="1:10" x14ac:dyDescent="0.35">
      <c r="A1239" s="31">
        <v>619</v>
      </c>
      <c r="B1239" s="19" t="s">
        <v>17</v>
      </c>
      <c r="C1239" s="19"/>
      <c r="D1239" s="37">
        <v>45899</v>
      </c>
      <c r="E1239" s="31" t="s">
        <v>864</v>
      </c>
      <c r="F1239" s="31" t="s">
        <v>137</v>
      </c>
      <c r="G1239" s="31">
        <v>3318</v>
      </c>
      <c r="H1239" s="31" t="s">
        <v>160</v>
      </c>
      <c r="I1239" s="38">
        <v>0</v>
      </c>
    </row>
    <row r="1240" spans="1:10" x14ac:dyDescent="0.35">
      <c r="A1240" s="31">
        <v>619.5</v>
      </c>
      <c r="B1240" s="19"/>
      <c r="C1240" s="19" t="s">
        <v>22</v>
      </c>
      <c r="D1240" s="37">
        <v>45899</v>
      </c>
      <c r="E1240" s="31" t="s">
        <v>864</v>
      </c>
      <c r="F1240" s="31" t="s">
        <v>137</v>
      </c>
      <c r="G1240" s="31">
        <v>3318</v>
      </c>
      <c r="H1240" s="31" t="s">
        <v>160</v>
      </c>
      <c r="J1240" s="38">
        <v>0</v>
      </c>
    </row>
    <row r="1241" spans="1:10" x14ac:dyDescent="0.35">
      <c r="A1241" s="31">
        <v>620</v>
      </c>
      <c r="B1241" s="19" t="s">
        <v>17</v>
      </c>
      <c r="C1241" s="19"/>
      <c r="D1241" s="37">
        <v>45899</v>
      </c>
      <c r="E1241" s="31" t="s">
        <v>865</v>
      </c>
      <c r="F1241" s="31" t="s">
        <v>137</v>
      </c>
      <c r="G1241" s="31">
        <v>3318</v>
      </c>
      <c r="H1241" s="31" t="s">
        <v>160</v>
      </c>
      <c r="I1241" s="38">
        <v>0</v>
      </c>
    </row>
    <row r="1242" spans="1:10" x14ac:dyDescent="0.35">
      <c r="A1242" s="31">
        <v>620.5</v>
      </c>
      <c r="B1242" s="19"/>
      <c r="C1242" s="19" t="s">
        <v>22</v>
      </c>
      <c r="D1242" s="37">
        <v>45899</v>
      </c>
      <c r="E1242" s="31" t="s">
        <v>865</v>
      </c>
      <c r="F1242" s="31" t="s">
        <v>137</v>
      </c>
      <c r="G1242" s="31">
        <v>3318</v>
      </c>
      <c r="H1242" s="31" t="s">
        <v>160</v>
      </c>
      <c r="J1242" s="38">
        <v>0</v>
      </c>
    </row>
    <row r="1243" spans="1:10" x14ac:dyDescent="0.35">
      <c r="A1243" s="31">
        <v>621</v>
      </c>
      <c r="B1243" s="19" t="s">
        <v>17</v>
      </c>
      <c r="C1243" s="19"/>
      <c r="D1243" s="37">
        <v>45899</v>
      </c>
      <c r="E1243" s="31" t="s">
        <v>866</v>
      </c>
      <c r="F1243" s="31" t="s">
        <v>137</v>
      </c>
      <c r="G1243" s="31">
        <v>3318</v>
      </c>
      <c r="H1243" s="31" t="s">
        <v>160</v>
      </c>
      <c r="I1243" s="38">
        <v>0</v>
      </c>
    </row>
    <row r="1244" spans="1:10" x14ac:dyDescent="0.35">
      <c r="A1244" s="31">
        <v>621.5</v>
      </c>
      <c r="B1244" s="19"/>
      <c r="C1244" s="19" t="s">
        <v>22</v>
      </c>
      <c r="D1244" s="37">
        <v>45899</v>
      </c>
      <c r="E1244" s="31" t="s">
        <v>866</v>
      </c>
      <c r="F1244" s="31" t="s">
        <v>137</v>
      </c>
      <c r="G1244" s="31">
        <v>3318</v>
      </c>
      <c r="H1244" s="31" t="s">
        <v>160</v>
      </c>
      <c r="J1244" s="38">
        <v>0</v>
      </c>
    </row>
    <row r="1245" spans="1:10" x14ac:dyDescent="0.35">
      <c r="A1245" s="31">
        <v>622</v>
      </c>
      <c r="B1245" s="19" t="s">
        <v>17</v>
      </c>
      <c r="C1245" s="19"/>
      <c r="D1245" s="37">
        <v>45899</v>
      </c>
      <c r="E1245" s="31" t="s">
        <v>867</v>
      </c>
      <c r="F1245" s="31" t="s">
        <v>477</v>
      </c>
      <c r="G1245" s="31">
        <v>3316</v>
      </c>
      <c r="H1245" s="31" t="s">
        <v>160</v>
      </c>
      <c r="I1245" s="38">
        <v>0</v>
      </c>
    </row>
    <row r="1246" spans="1:10" x14ac:dyDescent="0.35">
      <c r="A1246" s="31">
        <v>622.5</v>
      </c>
      <c r="B1246" s="19"/>
      <c r="C1246" s="19" t="s">
        <v>22</v>
      </c>
      <c r="D1246" s="37">
        <v>45899</v>
      </c>
      <c r="E1246" s="31" t="s">
        <v>867</v>
      </c>
      <c r="F1246" s="31" t="s">
        <v>477</v>
      </c>
      <c r="G1246" s="31">
        <v>3316</v>
      </c>
      <c r="H1246" s="31" t="s">
        <v>160</v>
      </c>
      <c r="J1246" s="38">
        <v>0</v>
      </c>
    </row>
    <row r="1247" spans="1:10" x14ac:dyDescent="0.35">
      <c r="A1247" s="31">
        <v>623</v>
      </c>
      <c r="B1247" s="19" t="s">
        <v>17</v>
      </c>
      <c r="C1247" s="19"/>
      <c r="D1247" s="37">
        <v>45899</v>
      </c>
      <c r="E1247" s="31" t="s">
        <v>868</v>
      </c>
      <c r="F1247" s="31" t="s">
        <v>148</v>
      </c>
      <c r="G1247" s="31">
        <v>3358</v>
      </c>
      <c r="H1247" s="31" t="s">
        <v>160</v>
      </c>
      <c r="I1247" s="38">
        <v>0</v>
      </c>
    </row>
    <row r="1248" spans="1:10" x14ac:dyDescent="0.35">
      <c r="A1248" s="31">
        <v>623.5</v>
      </c>
      <c r="B1248" s="19"/>
      <c r="C1248" s="19" t="s">
        <v>22</v>
      </c>
      <c r="D1248" s="37">
        <v>45899</v>
      </c>
      <c r="E1248" s="31" t="s">
        <v>868</v>
      </c>
      <c r="F1248" s="31" t="s">
        <v>148</v>
      </c>
      <c r="G1248" s="31">
        <v>3358</v>
      </c>
      <c r="H1248" s="31" t="s">
        <v>160</v>
      </c>
      <c r="J1248" s="38">
        <v>0</v>
      </c>
    </row>
    <row r="1249" spans="1:10" x14ac:dyDescent="0.35">
      <c r="A1249" s="31">
        <v>624</v>
      </c>
      <c r="B1249" s="19" t="s">
        <v>17</v>
      </c>
      <c r="C1249" s="19"/>
      <c r="D1249" s="37">
        <v>45899</v>
      </c>
      <c r="E1249" s="31" t="s">
        <v>869</v>
      </c>
      <c r="F1249" s="31" t="s">
        <v>66</v>
      </c>
      <c r="G1249" s="31">
        <v>1548</v>
      </c>
      <c r="H1249" s="31" t="s">
        <v>160</v>
      </c>
      <c r="I1249" s="38">
        <v>0</v>
      </c>
    </row>
    <row r="1250" spans="1:10" x14ac:dyDescent="0.35">
      <c r="A1250" s="31">
        <v>624.5</v>
      </c>
      <c r="B1250" s="19"/>
      <c r="C1250" s="19" t="s">
        <v>22</v>
      </c>
      <c r="D1250" s="37">
        <v>45899</v>
      </c>
      <c r="E1250" s="31" t="s">
        <v>869</v>
      </c>
      <c r="F1250" s="31" t="s">
        <v>66</v>
      </c>
      <c r="G1250" s="31">
        <v>1548</v>
      </c>
      <c r="H1250" s="31" t="s">
        <v>160</v>
      </c>
      <c r="J1250" s="38">
        <v>0</v>
      </c>
    </row>
    <row r="1251" spans="1:10" x14ac:dyDescent="0.35">
      <c r="A1251" s="31">
        <v>625</v>
      </c>
      <c r="B1251" s="19" t="s">
        <v>17</v>
      </c>
      <c r="C1251" s="19"/>
      <c r="D1251" s="37">
        <v>45899</v>
      </c>
      <c r="E1251" s="31" t="s">
        <v>870</v>
      </c>
      <c r="F1251" s="31" t="s">
        <v>66</v>
      </c>
      <c r="G1251" s="31">
        <v>1548</v>
      </c>
      <c r="H1251" s="31" t="s">
        <v>160</v>
      </c>
      <c r="I1251" s="38">
        <v>0</v>
      </c>
    </row>
    <row r="1252" spans="1:10" x14ac:dyDescent="0.35">
      <c r="A1252" s="31">
        <v>625.5</v>
      </c>
      <c r="B1252" s="19"/>
      <c r="C1252" s="19" t="s">
        <v>22</v>
      </c>
      <c r="D1252" s="37">
        <v>45899</v>
      </c>
      <c r="E1252" s="31" t="s">
        <v>870</v>
      </c>
      <c r="F1252" s="31" t="s">
        <v>66</v>
      </c>
      <c r="G1252" s="31">
        <v>1548</v>
      </c>
      <c r="H1252" s="31" t="s">
        <v>160</v>
      </c>
      <c r="J1252" s="38">
        <v>0</v>
      </c>
    </row>
    <row r="1253" spans="1:10" x14ac:dyDescent="0.35">
      <c r="A1253" s="31">
        <v>626</v>
      </c>
      <c r="B1253" s="19" t="s">
        <v>17</v>
      </c>
      <c r="C1253" s="19"/>
      <c r="D1253" s="37">
        <v>45899</v>
      </c>
      <c r="E1253" s="31" t="s">
        <v>871</v>
      </c>
      <c r="F1253" s="31" t="s">
        <v>872</v>
      </c>
      <c r="G1253" s="31">
        <v>3331</v>
      </c>
      <c r="H1253" s="31" t="s">
        <v>160</v>
      </c>
      <c r="I1253" s="38">
        <v>0</v>
      </c>
    </row>
    <row r="1254" spans="1:10" x14ac:dyDescent="0.35">
      <c r="A1254" s="31">
        <v>626.5</v>
      </c>
      <c r="B1254" s="19"/>
      <c r="C1254" s="19" t="s">
        <v>22</v>
      </c>
      <c r="D1254" s="37">
        <v>45899</v>
      </c>
      <c r="E1254" s="31" t="s">
        <v>871</v>
      </c>
      <c r="F1254" s="31" t="s">
        <v>872</v>
      </c>
      <c r="G1254" s="31">
        <v>3331</v>
      </c>
      <c r="H1254" s="31" t="s">
        <v>160</v>
      </c>
      <c r="J1254" s="38">
        <v>0</v>
      </c>
    </row>
    <row r="1255" spans="1:10" x14ac:dyDescent="0.35">
      <c r="A1255" s="31">
        <v>627</v>
      </c>
      <c r="B1255" s="19" t="s">
        <v>17</v>
      </c>
      <c r="C1255" s="19"/>
      <c r="D1255" s="37">
        <v>45899</v>
      </c>
      <c r="E1255" s="31" t="s">
        <v>873</v>
      </c>
      <c r="F1255" s="31" t="s">
        <v>872</v>
      </c>
      <c r="G1255" s="31">
        <v>3331</v>
      </c>
      <c r="H1255" s="31" t="s">
        <v>160</v>
      </c>
      <c r="I1255" s="38">
        <v>0</v>
      </c>
    </row>
    <row r="1256" spans="1:10" x14ac:dyDescent="0.35">
      <c r="A1256" s="31">
        <v>627.5</v>
      </c>
      <c r="B1256" s="19"/>
      <c r="C1256" s="19" t="s">
        <v>22</v>
      </c>
      <c r="D1256" s="37">
        <v>45899</v>
      </c>
      <c r="E1256" s="31" t="s">
        <v>873</v>
      </c>
      <c r="F1256" s="31" t="s">
        <v>872</v>
      </c>
      <c r="G1256" s="31">
        <v>3331</v>
      </c>
      <c r="H1256" s="31" t="s">
        <v>160</v>
      </c>
      <c r="J1256" s="38">
        <v>0</v>
      </c>
    </row>
    <row r="1257" spans="1:10" x14ac:dyDescent="0.35">
      <c r="A1257" s="31">
        <v>628</v>
      </c>
      <c r="B1257" s="19" t="s">
        <v>17</v>
      </c>
      <c r="C1257" s="19"/>
      <c r="D1257" s="37">
        <v>45899</v>
      </c>
      <c r="E1257" s="31" t="s">
        <v>874</v>
      </c>
      <c r="F1257" s="31" t="s">
        <v>872</v>
      </c>
      <c r="G1257" s="31">
        <v>3331</v>
      </c>
      <c r="H1257" s="31" t="s">
        <v>160</v>
      </c>
      <c r="I1257" s="38">
        <v>0</v>
      </c>
    </row>
    <row r="1258" spans="1:10" x14ac:dyDescent="0.35">
      <c r="A1258" s="31">
        <v>628.5</v>
      </c>
      <c r="B1258" s="19"/>
      <c r="C1258" s="19" t="s">
        <v>22</v>
      </c>
      <c r="D1258" s="37">
        <v>45899</v>
      </c>
      <c r="E1258" s="31" t="s">
        <v>874</v>
      </c>
      <c r="F1258" s="31" t="s">
        <v>872</v>
      </c>
      <c r="G1258" s="31">
        <v>3331</v>
      </c>
      <c r="H1258" s="31" t="s">
        <v>160</v>
      </c>
      <c r="J1258" s="38">
        <v>0</v>
      </c>
    </row>
    <row r="1259" spans="1:10" x14ac:dyDescent="0.35">
      <c r="A1259" s="31">
        <v>629</v>
      </c>
      <c r="B1259" s="19" t="s">
        <v>17</v>
      </c>
      <c r="C1259" s="19"/>
      <c r="D1259" s="37">
        <v>45899</v>
      </c>
      <c r="E1259" s="31" t="s">
        <v>875</v>
      </c>
      <c r="F1259" s="31" t="s">
        <v>872</v>
      </c>
      <c r="G1259" s="31">
        <v>3331</v>
      </c>
      <c r="H1259" s="31" t="s">
        <v>160</v>
      </c>
      <c r="I1259" s="38">
        <v>0</v>
      </c>
    </row>
    <row r="1260" spans="1:10" x14ac:dyDescent="0.35">
      <c r="A1260" s="31">
        <v>629.5</v>
      </c>
      <c r="B1260" s="19"/>
      <c r="C1260" s="19" t="s">
        <v>22</v>
      </c>
      <c r="D1260" s="37">
        <v>45899</v>
      </c>
      <c r="E1260" s="31" t="s">
        <v>875</v>
      </c>
      <c r="F1260" s="31" t="s">
        <v>872</v>
      </c>
      <c r="G1260" s="31">
        <v>3331</v>
      </c>
      <c r="H1260" s="31" t="s">
        <v>160</v>
      </c>
      <c r="J1260" s="38">
        <v>0</v>
      </c>
    </row>
    <row r="1261" spans="1:10" x14ac:dyDescent="0.35">
      <c r="A1261" s="31">
        <v>630</v>
      </c>
      <c r="B1261" s="19" t="s">
        <v>17</v>
      </c>
      <c r="C1261" s="19"/>
      <c r="D1261" s="37">
        <v>45899</v>
      </c>
      <c r="E1261" s="31" t="s">
        <v>876</v>
      </c>
      <c r="F1261" s="31" t="s">
        <v>872</v>
      </c>
      <c r="G1261" s="31">
        <v>3331</v>
      </c>
      <c r="H1261" s="31" t="s">
        <v>160</v>
      </c>
      <c r="I1261" s="38">
        <v>0</v>
      </c>
    </row>
    <row r="1262" spans="1:10" x14ac:dyDescent="0.35">
      <c r="A1262" s="31">
        <v>630.5</v>
      </c>
      <c r="B1262" s="19"/>
      <c r="C1262" s="19" t="s">
        <v>22</v>
      </c>
      <c r="D1262" s="37">
        <v>45899</v>
      </c>
      <c r="E1262" s="31" t="s">
        <v>876</v>
      </c>
      <c r="F1262" s="31" t="s">
        <v>872</v>
      </c>
      <c r="G1262" s="31">
        <v>3331</v>
      </c>
      <c r="H1262" s="31" t="s">
        <v>160</v>
      </c>
      <c r="J1262" s="38">
        <v>0</v>
      </c>
    </row>
    <row r="1263" spans="1:10" x14ac:dyDescent="0.35">
      <c r="A1263" s="31">
        <v>631</v>
      </c>
      <c r="B1263" s="19" t="s">
        <v>17</v>
      </c>
      <c r="C1263" s="19"/>
      <c r="D1263" s="37">
        <v>45899</v>
      </c>
      <c r="E1263" s="31" t="s">
        <v>877</v>
      </c>
      <c r="F1263" s="31" t="s">
        <v>872</v>
      </c>
      <c r="G1263" s="31">
        <v>3331</v>
      </c>
      <c r="H1263" s="31" t="s">
        <v>160</v>
      </c>
      <c r="I1263" s="38">
        <v>0</v>
      </c>
    </row>
    <row r="1264" spans="1:10" x14ac:dyDescent="0.35">
      <c r="A1264" s="31">
        <v>631.5</v>
      </c>
      <c r="B1264" s="19"/>
      <c r="C1264" s="19" t="s">
        <v>22</v>
      </c>
      <c r="D1264" s="37">
        <v>45899</v>
      </c>
      <c r="E1264" s="31" t="s">
        <v>877</v>
      </c>
      <c r="F1264" s="31" t="s">
        <v>872</v>
      </c>
      <c r="G1264" s="31">
        <v>3331</v>
      </c>
      <c r="H1264" s="31" t="s">
        <v>160</v>
      </c>
      <c r="J1264" s="38">
        <v>0</v>
      </c>
    </row>
    <row r="1265" spans="1:10" x14ac:dyDescent="0.35">
      <c r="A1265" s="31">
        <v>632</v>
      </c>
      <c r="B1265" s="19" t="s">
        <v>17</v>
      </c>
      <c r="C1265" s="19"/>
      <c r="D1265" s="37">
        <v>45899</v>
      </c>
      <c r="E1265" s="31" t="s">
        <v>878</v>
      </c>
      <c r="F1265" s="31" t="s">
        <v>879</v>
      </c>
      <c r="G1265" s="31">
        <v>2626</v>
      </c>
      <c r="H1265" s="31" t="s">
        <v>160</v>
      </c>
      <c r="I1265" s="38">
        <v>0</v>
      </c>
    </row>
    <row r="1266" spans="1:10" x14ac:dyDescent="0.35">
      <c r="A1266" s="31">
        <v>632.5</v>
      </c>
      <c r="B1266" s="19"/>
      <c r="C1266" s="19" t="s">
        <v>22</v>
      </c>
      <c r="D1266" s="37">
        <v>45899</v>
      </c>
      <c r="E1266" s="31" t="s">
        <v>878</v>
      </c>
      <c r="F1266" s="31" t="s">
        <v>879</v>
      </c>
      <c r="G1266" s="31">
        <v>2626</v>
      </c>
      <c r="H1266" s="31" t="s">
        <v>160</v>
      </c>
      <c r="J1266" s="38">
        <v>0</v>
      </c>
    </row>
    <row r="1267" spans="1:10" x14ac:dyDescent="0.35">
      <c r="A1267" s="31">
        <v>633</v>
      </c>
      <c r="B1267" s="19" t="s">
        <v>17</v>
      </c>
      <c r="C1267" s="19"/>
      <c r="D1267" s="37">
        <v>45899</v>
      </c>
      <c r="E1267" s="31" t="s">
        <v>880</v>
      </c>
      <c r="F1267" s="31" t="s">
        <v>115</v>
      </c>
      <c r="G1267" s="31">
        <v>2520</v>
      </c>
      <c r="H1267" s="31" t="s">
        <v>160</v>
      </c>
      <c r="I1267" s="38">
        <v>0</v>
      </c>
    </row>
    <row r="1268" spans="1:10" x14ac:dyDescent="0.35">
      <c r="A1268" s="31">
        <v>633.5</v>
      </c>
      <c r="B1268" s="19"/>
      <c r="C1268" s="19" t="s">
        <v>22</v>
      </c>
      <c r="D1268" s="37">
        <v>45899</v>
      </c>
      <c r="E1268" s="31" t="s">
        <v>880</v>
      </c>
      <c r="F1268" s="31" t="s">
        <v>115</v>
      </c>
      <c r="G1268" s="31">
        <v>2520</v>
      </c>
      <c r="H1268" s="31" t="s">
        <v>160</v>
      </c>
      <c r="J1268" s="38">
        <v>0</v>
      </c>
    </row>
    <row r="1269" spans="1:10" x14ac:dyDescent="0.35">
      <c r="A1269" s="31">
        <v>634</v>
      </c>
      <c r="B1269" s="19" t="s">
        <v>17</v>
      </c>
      <c r="C1269" s="19"/>
      <c r="D1269" s="37">
        <v>45899</v>
      </c>
      <c r="E1269" s="31" t="s">
        <v>881</v>
      </c>
      <c r="F1269" s="31" t="s">
        <v>137</v>
      </c>
      <c r="G1269" s="31">
        <v>3318</v>
      </c>
      <c r="H1269" s="31" t="s">
        <v>160</v>
      </c>
      <c r="I1269" s="38">
        <v>0</v>
      </c>
    </row>
    <row r="1270" spans="1:10" x14ac:dyDescent="0.35">
      <c r="A1270" s="31">
        <v>634.5</v>
      </c>
      <c r="B1270" s="19"/>
      <c r="C1270" s="19" t="s">
        <v>22</v>
      </c>
      <c r="D1270" s="37">
        <v>45899</v>
      </c>
      <c r="E1270" s="31" t="s">
        <v>881</v>
      </c>
      <c r="F1270" s="31" t="s">
        <v>137</v>
      </c>
      <c r="G1270" s="31">
        <v>3318</v>
      </c>
      <c r="H1270" s="31" t="s">
        <v>160</v>
      </c>
      <c r="J1270" s="38">
        <v>0</v>
      </c>
    </row>
    <row r="1271" spans="1:10" x14ac:dyDescent="0.35">
      <c r="A1271" s="31">
        <v>635</v>
      </c>
      <c r="B1271" s="19" t="s">
        <v>17</v>
      </c>
      <c r="C1271" s="19"/>
      <c r="D1271" s="37">
        <v>45899</v>
      </c>
      <c r="E1271" s="31" t="s">
        <v>882</v>
      </c>
      <c r="F1271" s="31" t="s">
        <v>883</v>
      </c>
      <c r="G1271" s="31">
        <v>2399</v>
      </c>
      <c r="H1271" s="31" t="s">
        <v>160</v>
      </c>
      <c r="I1271" s="38">
        <v>0</v>
      </c>
    </row>
    <row r="1272" spans="1:10" x14ac:dyDescent="0.35">
      <c r="A1272" s="31">
        <v>635.5</v>
      </c>
      <c r="B1272" s="19"/>
      <c r="C1272" s="19" t="s">
        <v>22</v>
      </c>
      <c r="D1272" s="37">
        <v>45899</v>
      </c>
      <c r="E1272" s="31" t="s">
        <v>882</v>
      </c>
      <c r="F1272" s="31" t="s">
        <v>883</v>
      </c>
      <c r="G1272" s="31">
        <v>2399</v>
      </c>
      <c r="H1272" s="31" t="s">
        <v>160</v>
      </c>
      <c r="J1272" s="38">
        <v>0</v>
      </c>
    </row>
    <row r="1273" spans="1:10" x14ac:dyDescent="0.35">
      <c r="A1273" s="31">
        <v>636</v>
      </c>
      <c r="B1273" s="19" t="s">
        <v>17</v>
      </c>
      <c r="C1273" s="19"/>
      <c r="D1273" s="37">
        <v>45899</v>
      </c>
      <c r="E1273" s="31" t="s">
        <v>884</v>
      </c>
      <c r="F1273" s="31" t="s">
        <v>807</v>
      </c>
      <c r="G1273" s="31">
        <v>3556</v>
      </c>
      <c r="H1273" s="31" t="s">
        <v>160</v>
      </c>
      <c r="I1273" s="38">
        <v>0</v>
      </c>
    </row>
    <row r="1274" spans="1:10" x14ac:dyDescent="0.35">
      <c r="A1274" s="31">
        <v>636.5</v>
      </c>
      <c r="B1274" s="19"/>
      <c r="C1274" s="19" t="s">
        <v>22</v>
      </c>
      <c r="D1274" s="37">
        <v>45899</v>
      </c>
      <c r="E1274" s="31" t="s">
        <v>884</v>
      </c>
      <c r="F1274" s="31" t="s">
        <v>807</v>
      </c>
      <c r="G1274" s="31">
        <v>3556</v>
      </c>
      <c r="H1274" s="31" t="s">
        <v>160</v>
      </c>
      <c r="J1274" s="38">
        <v>0</v>
      </c>
    </row>
    <row r="1275" spans="1:10" x14ac:dyDescent="0.35">
      <c r="A1275" s="31">
        <v>637</v>
      </c>
      <c r="B1275" s="19" t="s">
        <v>17</v>
      </c>
      <c r="C1275" s="19"/>
      <c r="D1275" s="37">
        <v>45899</v>
      </c>
      <c r="E1275" s="31">
        <v>38546</v>
      </c>
      <c r="F1275" s="31" t="s">
        <v>86</v>
      </c>
      <c r="G1275" s="31">
        <v>3375</v>
      </c>
      <c r="H1275" s="31" t="s">
        <v>160</v>
      </c>
      <c r="I1275" s="38">
        <v>42122.14</v>
      </c>
    </row>
    <row r="1276" spans="1:10" x14ac:dyDescent="0.35">
      <c r="A1276" s="31">
        <v>637.5</v>
      </c>
      <c r="B1276" s="19"/>
      <c r="C1276" s="19" t="s">
        <v>22</v>
      </c>
      <c r="D1276" s="37">
        <v>45899</v>
      </c>
      <c r="E1276" s="31">
        <v>38546</v>
      </c>
      <c r="F1276" s="31" t="s">
        <v>86</v>
      </c>
      <c r="G1276" s="31">
        <v>3375</v>
      </c>
      <c r="H1276" s="31" t="s">
        <v>160</v>
      </c>
      <c r="J1276" s="38">
        <v>42122.14</v>
      </c>
    </row>
    <row r="1277" spans="1:10" x14ac:dyDescent="0.35">
      <c r="A1277" s="31">
        <v>638</v>
      </c>
      <c r="B1277" s="19" t="s">
        <v>17</v>
      </c>
      <c r="C1277" s="19"/>
      <c r="D1277" s="37">
        <v>45899</v>
      </c>
      <c r="E1277" s="31" t="s">
        <v>885</v>
      </c>
      <c r="F1277" s="31" t="s">
        <v>886</v>
      </c>
      <c r="G1277" s="31">
        <v>2450</v>
      </c>
      <c r="H1277" s="31" t="s">
        <v>160</v>
      </c>
      <c r="I1277" s="38">
        <v>0</v>
      </c>
    </row>
    <row r="1278" spans="1:10" x14ac:dyDescent="0.35">
      <c r="A1278" s="31">
        <v>638.5</v>
      </c>
      <c r="B1278" s="19"/>
      <c r="C1278" s="19" t="s">
        <v>22</v>
      </c>
      <c r="D1278" s="37">
        <v>45899</v>
      </c>
      <c r="E1278" s="31" t="s">
        <v>885</v>
      </c>
      <c r="F1278" s="31" t="s">
        <v>886</v>
      </c>
      <c r="G1278" s="31">
        <v>2450</v>
      </c>
      <c r="H1278" s="31" t="s">
        <v>160</v>
      </c>
      <c r="J1278" s="38">
        <v>0</v>
      </c>
    </row>
    <row r="1279" spans="1:10" x14ac:dyDescent="0.35">
      <c r="A1279" s="31">
        <v>639</v>
      </c>
      <c r="B1279" s="19" t="s">
        <v>17</v>
      </c>
      <c r="C1279" s="19"/>
      <c r="D1279" s="37">
        <v>45899</v>
      </c>
      <c r="E1279" s="31" t="s">
        <v>887</v>
      </c>
      <c r="F1279" s="31" t="s">
        <v>178</v>
      </c>
      <c r="G1279" s="31">
        <v>1554</v>
      </c>
      <c r="H1279" s="31" t="s">
        <v>160</v>
      </c>
      <c r="I1279" s="38">
        <v>0</v>
      </c>
    </row>
    <row r="1280" spans="1:10" x14ac:dyDescent="0.35">
      <c r="A1280" s="31">
        <v>639.5</v>
      </c>
      <c r="B1280" s="19"/>
      <c r="C1280" s="19" t="s">
        <v>22</v>
      </c>
      <c r="D1280" s="37">
        <v>45899</v>
      </c>
      <c r="E1280" s="31" t="s">
        <v>887</v>
      </c>
      <c r="F1280" s="31" t="s">
        <v>178</v>
      </c>
      <c r="G1280" s="31">
        <v>1554</v>
      </c>
      <c r="H1280" s="31" t="s">
        <v>160</v>
      </c>
      <c r="J1280" s="38">
        <v>0</v>
      </c>
    </row>
    <row r="1281" spans="1:10" x14ac:dyDescent="0.35">
      <c r="A1281" s="31">
        <v>640</v>
      </c>
      <c r="B1281" s="19" t="s">
        <v>17</v>
      </c>
      <c r="C1281" s="19"/>
      <c r="D1281" s="37">
        <v>45899</v>
      </c>
      <c r="E1281" s="31" t="s">
        <v>888</v>
      </c>
      <c r="F1281" s="31" t="s">
        <v>178</v>
      </c>
      <c r="G1281" s="31">
        <v>1554</v>
      </c>
      <c r="H1281" s="31" t="s">
        <v>160</v>
      </c>
      <c r="I1281" s="38">
        <v>0</v>
      </c>
    </row>
    <row r="1282" spans="1:10" x14ac:dyDescent="0.35">
      <c r="A1282" s="31">
        <v>640.5</v>
      </c>
      <c r="B1282" s="19"/>
      <c r="C1282" s="19" t="s">
        <v>22</v>
      </c>
      <c r="D1282" s="37">
        <v>45899</v>
      </c>
      <c r="E1282" s="31" t="s">
        <v>888</v>
      </c>
      <c r="F1282" s="31" t="s">
        <v>178</v>
      </c>
      <c r="G1282" s="31">
        <v>1554</v>
      </c>
      <c r="H1282" s="31" t="s">
        <v>160</v>
      </c>
      <c r="J1282" s="38">
        <v>0</v>
      </c>
    </row>
    <row r="1283" spans="1:10" x14ac:dyDescent="0.35">
      <c r="A1283" s="31">
        <v>641</v>
      </c>
      <c r="B1283" s="19" t="s">
        <v>17</v>
      </c>
      <c r="C1283" s="19"/>
      <c r="D1283" s="37">
        <v>45899</v>
      </c>
      <c r="E1283" s="31" t="s">
        <v>889</v>
      </c>
      <c r="F1283" s="31" t="s">
        <v>178</v>
      </c>
      <c r="G1283" s="31">
        <v>1554</v>
      </c>
      <c r="H1283" s="31" t="s">
        <v>160</v>
      </c>
      <c r="I1283" s="38">
        <v>0</v>
      </c>
    </row>
    <row r="1284" spans="1:10" x14ac:dyDescent="0.35">
      <c r="A1284" s="31">
        <v>641.5</v>
      </c>
      <c r="B1284" s="19"/>
      <c r="C1284" s="19" t="s">
        <v>22</v>
      </c>
      <c r="D1284" s="37">
        <v>45899</v>
      </c>
      <c r="E1284" s="31" t="s">
        <v>889</v>
      </c>
      <c r="F1284" s="31" t="s">
        <v>178</v>
      </c>
      <c r="G1284" s="31">
        <v>1554</v>
      </c>
      <c r="H1284" s="31" t="s">
        <v>160</v>
      </c>
      <c r="J1284" s="38">
        <v>0</v>
      </c>
    </row>
    <row r="1285" spans="1:10" x14ac:dyDescent="0.35">
      <c r="A1285" s="31">
        <v>642</v>
      </c>
      <c r="B1285" s="19" t="s">
        <v>17</v>
      </c>
      <c r="C1285" s="19"/>
      <c r="D1285" s="37">
        <v>45899</v>
      </c>
      <c r="E1285" s="31" t="s">
        <v>890</v>
      </c>
      <c r="F1285" s="31" t="s">
        <v>178</v>
      </c>
      <c r="G1285" s="31">
        <v>1554</v>
      </c>
      <c r="H1285" s="31" t="s">
        <v>160</v>
      </c>
      <c r="I1285" s="38">
        <v>0</v>
      </c>
    </row>
    <row r="1286" spans="1:10" x14ac:dyDescent="0.35">
      <c r="A1286" s="31">
        <v>642.5</v>
      </c>
      <c r="B1286" s="19"/>
      <c r="C1286" s="19" t="s">
        <v>22</v>
      </c>
      <c r="D1286" s="37">
        <v>45899</v>
      </c>
      <c r="E1286" s="31" t="s">
        <v>890</v>
      </c>
      <c r="F1286" s="31" t="s">
        <v>178</v>
      </c>
      <c r="G1286" s="31">
        <v>1554</v>
      </c>
      <c r="H1286" s="31" t="s">
        <v>160</v>
      </c>
      <c r="J1286" s="38">
        <v>0</v>
      </c>
    </row>
    <row r="1287" spans="1:10" x14ac:dyDescent="0.35">
      <c r="A1287" s="31">
        <v>643</v>
      </c>
      <c r="B1287" s="19" t="s">
        <v>17</v>
      </c>
      <c r="C1287" s="19"/>
      <c r="D1287" s="37">
        <v>45899</v>
      </c>
      <c r="E1287" s="31" t="s">
        <v>891</v>
      </c>
      <c r="F1287" s="31" t="s">
        <v>178</v>
      </c>
      <c r="G1287" s="31">
        <v>1554</v>
      </c>
      <c r="H1287" s="31" t="s">
        <v>160</v>
      </c>
      <c r="I1287" s="38">
        <v>0</v>
      </c>
    </row>
    <row r="1288" spans="1:10" x14ac:dyDescent="0.35">
      <c r="A1288" s="31">
        <v>643.5</v>
      </c>
      <c r="B1288" s="19"/>
      <c r="C1288" s="19" t="s">
        <v>22</v>
      </c>
      <c r="D1288" s="37">
        <v>45899</v>
      </c>
      <c r="E1288" s="31" t="s">
        <v>891</v>
      </c>
      <c r="F1288" s="31" t="s">
        <v>178</v>
      </c>
      <c r="G1288" s="31">
        <v>1554</v>
      </c>
      <c r="H1288" s="31" t="s">
        <v>160</v>
      </c>
      <c r="J1288" s="38">
        <v>0</v>
      </c>
    </row>
    <row r="1289" spans="1:10" x14ac:dyDescent="0.35">
      <c r="A1289" s="31">
        <v>644</v>
      </c>
      <c r="B1289" s="19" t="s">
        <v>17</v>
      </c>
      <c r="C1289" s="19"/>
      <c r="D1289" s="37">
        <v>45899</v>
      </c>
      <c r="E1289" s="31" t="s">
        <v>892</v>
      </c>
      <c r="F1289" s="31" t="s">
        <v>701</v>
      </c>
      <c r="G1289" s="31">
        <v>2491</v>
      </c>
      <c r="H1289" s="31" t="s">
        <v>160</v>
      </c>
      <c r="I1289" s="38">
        <v>0</v>
      </c>
    </row>
    <row r="1290" spans="1:10" x14ac:dyDescent="0.35">
      <c r="A1290" s="31">
        <v>644.5</v>
      </c>
      <c r="B1290" s="19"/>
      <c r="C1290" s="19" t="s">
        <v>22</v>
      </c>
      <c r="D1290" s="37">
        <v>45899</v>
      </c>
      <c r="E1290" s="31" t="s">
        <v>892</v>
      </c>
      <c r="F1290" s="31" t="s">
        <v>701</v>
      </c>
      <c r="G1290" s="31">
        <v>2491</v>
      </c>
      <c r="H1290" s="31" t="s">
        <v>160</v>
      </c>
      <c r="J1290" s="38">
        <v>0</v>
      </c>
    </row>
    <row r="1291" spans="1:10" x14ac:dyDescent="0.35">
      <c r="A1291" s="31">
        <v>645</v>
      </c>
      <c r="B1291" s="19" t="s">
        <v>17</v>
      </c>
      <c r="C1291" s="19"/>
      <c r="D1291" s="37">
        <v>45899</v>
      </c>
      <c r="E1291" s="31" t="s">
        <v>893</v>
      </c>
      <c r="F1291" s="31" t="s">
        <v>701</v>
      </c>
      <c r="G1291" s="31">
        <v>2491</v>
      </c>
      <c r="H1291" s="31" t="s">
        <v>160</v>
      </c>
      <c r="I1291" s="38">
        <v>0</v>
      </c>
    </row>
    <row r="1292" spans="1:10" x14ac:dyDescent="0.35">
      <c r="A1292" s="31">
        <v>645.5</v>
      </c>
      <c r="B1292" s="19"/>
      <c r="C1292" s="19" t="s">
        <v>22</v>
      </c>
      <c r="D1292" s="37">
        <v>45899</v>
      </c>
      <c r="E1292" s="31" t="s">
        <v>893</v>
      </c>
      <c r="F1292" s="31" t="s">
        <v>701</v>
      </c>
      <c r="G1292" s="31">
        <v>2491</v>
      </c>
      <c r="H1292" s="31" t="s">
        <v>160</v>
      </c>
      <c r="J1292" s="38">
        <v>0</v>
      </c>
    </row>
    <row r="1293" spans="1:10" x14ac:dyDescent="0.35">
      <c r="A1293" s="31">
        <v>646</v>
      </c>
      <c r="B1293" s="19" t="s">
        <v>17</v>
      </c>
      <c r="C1293" s="19"/>
      <c r="D1293" s="37">
        <v>45899</v>
      </c>
      <c r="E1293" s="31" t="s">
        <v>894</v>
      </c>
      <c r="F1293" s="31" t="s">
        <v>412</v>
      </c>
      <c r="G1293" s="31">
        <v>2707</v>
      </c>
      <c r="H1293" s="31" t="s">
        <v>160</v>
      </c>
      <c r="I1293" s="38">
        <v>0</v>
      </c>
    </row>
    <row r="1294" spans="1:10" x14ac:dyDescent="0.35">
      <c r="A1294" s="31">
        <v>646.5</v>
      </c>
      <c r="B1294" s="19"/>
      <c r="C1294" s="19" t="s">
        <v>22</v>
      </c>
      <c r="D1294" s="37">
        <v>45899</v>
      </c>
      <c r="E1294" s="31" t="s">
        <v>894</v>
      </c>
      <c r="F1294" s="31" t="s">
        <v>412</v>
      </c>
      <c r="G1294" s="31">
        <v>2707</v>
      </c>
      <c r="H1294" s="31" t="s">
        <v>160</v>
      </c>
      <c r="J1294" s="38">
        <v>0</v>
      </c>
    </row>
    <row r="1295" spans="1:10" x14ac:dyDescent="0.35">
      <c r="A1295" s="31">
        <v>647</v>
      </c>
      <c r="B1295" s="19" t="s">
        <v>17</v>
      </c>
      <c r="C1295" s="19"/>
      <c r="D1295" s="37">
        <v>45899</v>
      </c>
      <c r="E1295" s="31" t="s">
        <v>895</v>
      </c>
      <c r="F1295" s="31" t="s">
        <v>896</v>
      </c>
      <c r="G1295" s="31">
        <v>2171</v>
      </c>
      <c r="H1295" s="31" t="s">
        <v>160</v>
      </c>
      <c r="I1295" s="38">
        <v>0</v>
      </c>
    </row>
    <row r="1296" spans="1:10" x14ac:dyDescent="0.35">
      <c r="A1296" s="31">
        <v>647.5</v>
      </c>
      <c r="B1296" s="19"/>
      <c r="C1296" s="19" t="s">
        <v>22</v>
      </c>
      <c r="D1296" s="37">
        <v>45899</v>
      </c>
      <c r="E1296" s="31" t="s">
        <v>895</v>
      </c>
      <c r="F1296" s="31" t="s">
        <v>896</v>
      </c>
      <c r="G1296" s="31">
        <v>2171</v>
      </c>
      <c r="H1296" s="31" t="s">
        <v>160</v>
      </c>
      <c r="J1296" s="38">
        <v>0</v>
      </c>
    </row>
    <row r="1297" spans="1:10" x14ac:dyDescent="0.35">
      <c r="A1297" s="31">
        <v>648</v>
      </c>
      <c r="B1297" s="19" t="s">
        <v>17</v>
      </c>
      <c r="C1297" s="19"/>
      <c r="D1297" s="37">
        <v>45899</v>
      </c>
      <c r="E1297" s="31" t="s">
        <v>897</v>
      </c>
      <c r="F1297" s="31" t="s">
        <v>896</v>
      </c>
      <c r="G1297" s="31">
        <v>2171</v>
      </c>
      <c r="H1297" s="31" t="s">
        <v>160</v>
      </c>
      <c r="I1297" s="38">
        <v>0</v>
      </c>
    </row>
    <row r="1298" spans="1:10" x14ac:dyDescent="0.35">
      <c r="A1298" s="31">
        <v>648.5</v>
      </c>
      <c r="B1298" s="19"/>
      <c r="C1298" s="19" t="s">
        <v>22</v>
      </c>
      <c r="D1298" s="37">
        <v>45899</v>
      </c>
      <c r="E1298" s="31" t="s">
        <v>897</v>
      </c>
      <c r="F1298" s="31" t="s">
        <v>896</v>
      </c>
      <c r="G1298" s="31">
        <v>2171</v>
      </c>
      <c r="H1298" s="31" t="s">
        <v>160</v>
      </c>
      <c r="J1298" s="38">
        <v>0</v>
      </c>
    </row>
    <row r="1299" spans="1:10" x14ac:dyDescent="0.35">
      <c r="A1299" s="31">
        <v>649</v>
      </c>
      <c r="B1299" s="19" t="s">
        <v>17</v>
      </c>
      <c r="C1299" s="19"/>
      <c r="D1299" s="37">
        <v>45899</v>
      </c>
      <c r="E1299" s="31" t="s">
        <v>898</v>
      </c>
      <c r="F1299" s="31" t="s">
        <v>137</v>
      </c>
      <c r="G1299" s="31">
        <v>3318</v>
      </c>
      <c r="H1299" s="31" t="s">
        <v>160</v>
      </c>
      <c r="I1299" s="38">
        <v>0</v>
      </c>
    </row>
    <row r="1300" spans="1:10" x14ac:dyDescent="0.35">
      <c r="A1300" s="31">
        <v>649.5</v>
      </c>
      <c r="B1300" s="19"/>
      <c r="C1300" s="19" t="s">
        <v>22</v>
      </c>
      <c r="D1300" s="37">
        <v>45899</v>
      </c>
      <c r="E1300" s="31" t="s">
        <v>898</v>
      </c>
      <c r="F1300" s="31" t="s">
        <v>137</v>
      </c>
      <c r="G1300" s="31">
        <v>3318</v>
      </c>
      <c r="H1300" s="31" t="s">
        <v>160</v>
      </c>
      <c r="J1300" s="38">
        <v>0</v>
      </c>
    </row>
    <row r="1301" spans="1:10" x14ac:dyDescent="0.35">
      <c r="A1301" s="31">
        <v>650</v>
      </c>
      <c r="B1301" s="19" t="s">
        <v>17</v>
      </c>
      <c r="C1301" s="19"/>
      <c r="D1301" s="37">
        <v>45899</v>
      </c>
      <c r="E1301" s="31" t="s">
        <v>899</v>
      </c>
      <c r="F1301" s="31" t="s">
        <v>137</v>
      </c>
      <c r="G1301" s="31">
        <v>3318</v>
      </c>
      <c r="H1301" s="31" t="s">
        <v>160</v>
      </c>
      <c r="I1301" s="38">
        <v>0</v>
      </c>
    </row>
    <row r="1302" spans="1:10" x14ac:dyDescent="0.35">
      <c r="A1302" s="31">
        <v>650.5</v>
      </c>
      <c r="B1302" s="19"/>
      <c r="C1302" s="19" t="s">
        <v>22</v>
      </c>
      <c r="D1302" s="37">
        <v>45899</v>
      </c>
      <c r="E1302" s="31" t="s">
        <v>899</v>
      </c>
      <c r="F1302" s="31" t="s">
        <v>137</v>
      </c>
      <c r="G1302" s="31">
        <v>3318</v>
      </c>
      <c r="H1302" s="31" t="s">
        <v>160</v>
      </c>
      <c r="J1302" s="38">
        <v>0</v>
      </c>
    </row>
    <row r="1303" spans="1:10" x14ac:dyDescent="0.35">
      <c r="A1303" s="31">
        <v>651</v>
      </c>
      <c r="B1303" s="19" t="s">
        <v>17</v>
      </c>
      <c r="C1303" s="19"/>
      <c r="D1303" s="37">
        <v>45899</v>
      </c>
      <c r="E1303" s="31" t="s">
        <v>900</v>
      </c>
      <c r="F1303" s="31" t="s">
        <v>137</v>
      </c>
      <c r="G1303" s="31">
        <v>3318</v>
      </c>
      <c r="H1303" s="31" t="s">
        <v>160</v>
      </c>
      <c r="I1303" s="38">
        <v>0</v>
      </c>
    </row>
    <row r="1304" spans="1:10" x14ac:dyDescent="0.35">
      <c r="A1304" s="31">
        <v>651.5</v>
      </c>
      <c r="B1304" s="19"/>
      <c r="C1304" s="19" t="s">
        <v>22</v>
      </c>
      <c r="D1304" s="37">
        <v>45899</v>
      </c>
      <c r="E1304" s="31" t="s">
        <v>900</v>
      </c>
      <c r="F1304" s="31" t="s">
        <v>137</v>
      </c>
      <c r="G1304" s="31">
        <v>3318</v>
      </c>
      <c r="H1304" s="31" t="s">
        <v>160</v>
      </c>
      <c r="J1304" s="38">
        <v>0</v>
      </c>
    </row>
    <row r="1305" spans="1:10" x14ac:dyDescent="0.35">
      <c r="A1305" s="31">
        <v>652</v>
      </c>
      <c r="B1305" s="19" t="s">
        <v>17</v>
      </c>
      <c r="C1305" s="19"/>
      <c r="D1305" s="37">
        <v>45899</v>
      </c>
      <c r="E1305" s="31" t="s">
        <v>901</v>
      </c>
      <c r="F1305" s="31" t="s">
        <v>137</v>
      </c>
      <c r="G1305" s="31">
        <v>3318</v>
      </c>
      <c r="H1305" s="31" t="s">
        <v>160</v>
      </c>
      <c r="I1305" s="38">
        <v>0</v>
      </c>
    </row>
    <row r="1306" spans="1:10" x14ac:dyDescent="0.35">
      <c r="A1306" s="31">
        <v>652.5</v>
      </c>
      <c r="B1306" s="19"/>
      <c r="C1306" s="19" t="s">
        <v>22</v>
      </c>
      <c r="D1306" s="37">
        <v>45899</v>
      </c>
      <c r="E1306" s="31" t="s">
        <v>901</v>
      </c>
      <c r="F1306" s="31" t="s">
        <v>137</v>
      </c>
      <c r="G1306" s="31">
        <v>3318</v>
      </c>
      <c r="H1306" s="31" t="s">
        <v>160</v>
      </c>
      <c r="J1306" s="38">
        <v>0</v>
      </c>
    </row>
    <row r="1307" spans="1:10" x14ac:dyDescent="0.35">
      <c r="A1307" s="31">
        <v>653</v>
      </c>
      <c r="B1307" s="19" t="s">
        <v>17</v>
      </c>
      <c r="C1307" s="19"/>
      <c r="D1307" s="37">
        <v>45899</v>
      </c>
      <c r="E1307" s="31" t="s">
        <v>902</v>
      </c>
      <c r="F1307" s="31" t="s">
        <v>903</v>
      </c>
      <c r="G1307" s="31">
        <v>2623</v>
      </c>
      <c r="H1307" s="31" t="s">
        <v>160</v>
      </c>
      <c r="I1307" s="38">
        <v>0</v>
      </c>
    </row>
    <row r="1308" spans="1:10" x14ac:dyDescent="0.35">
      <c r="A1308" s="31">
        <v>653.5</v>
      </c>
      <c r="B1308" s="19"/>
      <c r="C1308" s="19" t="s">
        <v>22</v>
      </c>
      <c r="D1308" s="37">
        <v>45899</v>
      </c>
      <c r="E1308" s="31" t="s">
        <v>902</v>
      </c>
      <c r="F1308" s="31" t="s">
        <v>903</v>
      </c>
      <c r="G1308" s="31">
        <v>2623</v>
      </c>
      <c r="H1308" s="31" t="s">
        <v>160</v>
      </c>
      <c r="J1308" s="38">
        <v>0</v>
      </c>
    </row>
    <row r="1309" spans="1:10" x14ac:dyDescent="0.35">
      <c r="A1309" s="31">
        <v>654</v>
      </c>
      <c r="B1309" s="19" t="s">
        <v>17</v>
      </c>
      <c r="C1309" s="19"/>
      <c r="D1309" s="37">
        <v>45899</v>
      </c>
      <c r="E1309" s="31" t="s">
        <v>904</v>
      </c>
      <c r="F1309" s="31" t="s">
        <v>64</v>
      </c>
      <c r="G1309" s="31">
        <v>3338</v>
      </c>
      <c r="H1309" s="31" t="s">
        <v>160</v>
      </c>
      <c r="I1309" s="38">
        <v>185760.69000000006</v>
      </c>
    </row>
    <row r="1310" spans="1:10" x14ac:dyDescent="0.35">
      <c r="A1310" s="31">
        <v>654.5</v>
      </c>
      <c r="B1310" s="19"/>
      <c r="C1310" s="19" t="s">
        <v>22</v>
      </c>
      <c r="D1310" s="37">
        <v>45899</v>
      </c>
      <c r="E1310" s="31" t="s">
        <v>904</v>
      </c>
      <c r="F1310" s="31" t="s">
        <v>64</v>
      </c>
      <c r="G1310" s="31">
        <v>3338</v>
      </c>
      <c r="H1310" s="31" t="s">
        <v>160</v>
      </c>
      <c r="J1310" s="38">
        <v>185760.69000000006</v>
      </c>
    </row>
    <row r="1311" spans="1:10" x14ac:dyDescent="0.35">
      <c r="A1311" s="31">
        <v>655</v>
      </c>
      <c r="B1311" s="19" t="s">
        <v>17</v>
      </c>
      <c r="C1311" s="19"/>
      <c r="D1311" s="37">
        <v>45899</v>
      </c>
      <c r="E1311" s="31">
        <v>38651</v>
      </c>
      <c r="F1311" s="31" t="s">
        <v>586</v>
      </c>
      <c r="G1311" s="31">
        <v>2702</v>
      </c>
      <c r="H1311" s="31" t="s">
        <v>160</v>
      </c>
      <c r="I1311" s="38">
        <v>6400</v>
      </c>
    </row>
    <row r="1312" spans="1:10" x14ac:dyDescent="0.35">
      <c r="A1312" s="31">
        <v>655.5</v>
      </c>
      <c r="B1312" s="19"/>
      <c r="C1312" s="19" t="s">
        <v>22</v>
      </c>
      <c r="D1312" s="37">
        <v>45899</v>
      </c>
      <c r="E1312" s="31">
        <v>38651</v>
      </c>
      <c r="F1312" s="31" t="s">
        <v>586</v>
      </c>
      <c r="G1312" s="31">
        <v>2702</v>
      </c>
      <c r="H1312" s="31" t="s">
        <v>160</v>
      </c>
      <c r="J1312" s="38">
        <v>6400</v>
      </c>
    </row>
    <row r="1313" spans="1:10" x14ac:dyDescent="0.35">
      <c r="A1313" s="31">
        <v>656</v>
      </c>
      <c r="B1313" s="19" t="s">
        <v>17</v>
      </c>
      <c r="C1313" s="19"/>
      <c r="D1313" s="37">
        <v>45899</v>
      </c>
      <c r="E1313" s="31" t="s">
        <v>905</v>
      </c>
      <c r="F1313" s="31" t="s">
        <v>906</v>
      </c>
      <c r="G1313" s="31">
        <v>1711</v>
      </c>
      <c r="H1313" s="31" t="s">
        <v>160</v>
      </c>
      <c r="I1313" s="38">
        <v>0</v>
      </c>
    </row>
    <row r="1314" spans="1:10" x14ac:dyDescent="0.35">
      <c r="A1314" s="31">
        <v>656.5</v>
      </c>
      <c r="B1314" s="19"/>
      <c r="C1314" s="19" t="s">
        <v>22</v>
      </c>
      <c r="D1314" s="37">
        <v>45899</v>
      </c>
      <c r="E1314" s="31" t="s">
        <v>905</v>
      </c>
      <c r="F1314" s="31" t="s">
        <v>906</v>
      </c>
      <c r="G1314" s="31">
        <v>1711</v>
      </c>
      <c r="H1314" s="31" t="s">
        <v>160</v>
      </c>
      <c r="J1314" s="38">
        <v>0</v>
      </c>
    </row>
    <row r="1315" spans="1:10" x14ac:dyDescent="0.35">
      <c r="A1315" s="31">
        <v>657</v>
      </c>
      <c r="B1315" s="19" t="s">
        <v>17</v>
      </c>
      <c r="C1315" s="19"/>
      <c r="D1315" s="37">
        <v>45899</v>
      </c>
      <c r="E1315" s="31" t="s">
        <v>907</v>
      </c>
      <c r="F1315" s="31" t="s">
        <v>59</v>
      </c>
      <c r="G1315" s="31">
        <v>1720</v>
      </c>
      <c r="H1315" s="31" t="s">
        <v>160</v>
      </c>
      <c r="I1315" s="38">
        <v>55417.46</v>
      </c>
    </row>
    <row r="1316" spans="1:10" x14ac:dyDescent="0.35">
      <c r="A1316" s="31">
        <v>657.5</v>
      </c>
      <c r="B1316" s="19"/>
      <c r="C1316" s="19" t="s">
        <v>22</v>
      </c>
      <c r="D1316" s="37">
        <v>45899</v>
      </c>
      <c r="E1316" s="31" t="s">
        <v>907</v>
      </c>
      <c r="F1316" s="31" t="s">
        <v>59</v>
      </c>
      <c r="G1316" s="31">
        <v>1720</v>
      </c>
      <c r="H1316" s="31" t="s">
        <v>160</v>
      </c>
      <c r="J1316" s="38">
        <v>55417.46</v>
      </c>
    </row>
    <row r="1317" spans="1:10" x14ac:dyDescent="0.35">
      <c r="A1317" s="31">
        <v>658</v>
      </c>
      <c r="B1317" s="19" t="s">
        <v>17</v>
      </c>
      <c r="C1317" s="19"/>
      <c r="D1317" s="37">
        <v>45899</v>
      </c>
      <c r="E1317" s="31" t="s">
        <v>908</v>
      </c>
      <c r="F1317" s="31" t="s">
        <v>59</v>
      </c>
      <c r="G1317" s="31">
        <v>1720</v>
      </c>
      <c r="H1317" s="31" t="s">
        <v>160</v>
      </c>
      <c r="I1317" s="38">
        <v>0</v>
      </c>
    </row>
    <row r="1318" spans="1:10" x14ac:dyDescent="0.35">
      <c r="A1318" s="31">
        <v>658.5</v>
      </c>
      <c r="B1318" s="19"/>
      <c r="C1318" s="19" t="s">
        <v>22</v>
      </c>
      <c r="D1318" s="37">
        <v>45899</v>
      </c>
      <c r="E1318" s="31" t="s">
        <v>908</v>
      </c>
      <c r="F1318" s="31" t="s">
        <v>59</v>
      </c>
      <c r="G1318" s="31">
        <v>1720</v>
      </c>
      <c r="H1318" s="31" t="s">
        <v>160</v>
      </c>
      <c r="J1318" s="38">
        <v>0</v>
      </c>
    </row>
    <row r="1319" spans="1:10" x14ac:dyDescent="0.35">
      <c r="A1319" s="31">
        <v>659</v>
      </c>
      <c r="B1319" s="19" t="s">
        <v>17</v>
      </c>
      <c r="C1319" s="19"/>
      <c r="D1319" s="37">
        <v>45899</v>
      </c>
      <c r="E1319" s="31" t="s">
        <v>909</v>
      </c>
      <c r="F1319" s="31" t="s">
        <v>767</v>
      </c>
      <c r="G1319" s="31">
        <v>3388</v>
      </c>
      <c r="H1319" s="31" t="s">
        <v>160</v>
      </c>
      <c r="I1319" s="38">
        <v>0</v>
      </c>
    </row>
    <row r="1320" spans="1:10" x14ac:dyDescent="0.35">
      <c r="A1320" s="31">
        <v>659.5</v>
      </c>
      <c r="B1320" s="19"/>
      <c r="C1320" s="19" t="s">
        <v>22</v>
      </c>
      <c r="D1320" s="37">
        <v>45899</v>
      </c>
      <c r="E1320" s="31" t="s">
        <v>909</v>
      </c>
      <c r="F1320" s="31" t="s">
        <v>767</v>
      </c>
      <c r="G1320" s="31">
        <v>3388</v>
      </c>
      <c r="H1320" s="31" t="s">
        <v>160</v>
      </c>
      <c r="J1320" s="38">
        <v>0</v>
      </c>
    </row>
    <row r="1321" spans="1:10" x14ac:dyDescent="0.35">
      <c r="A1321" s="31">
        <v>660</v>
      </c>
      <c r="B1321" s="19" t="s">
        <v>17</v>
      </c>
      <c r="C1321" s="19"/>
      <c r="D1321" s="37">
        <v>45899</v>
      </c>
      <c r="E1321" s="31" t="s">
        <v>910</v>
      </c>
      <c r="F1321" s="31" t="s">
        <v>767</v>
      </c>
      <c r="G1321" s="31">
        <v>3388</v>
      </c>
      <c r="H1321" s="31" t="s">
        <v>160</v>
      </c>
      <c r="I1321" s="38">
        <v>0</v>
      </c>
    </row>
    <row r="1322" spans="1:10" x14ac:dyDescent="0.35">
      <c r="A1322" s="31">
        <v>660.5</v>
      </c>
      <c r="B1322" s="19"/>
      <c r="C1322" s="19" t="s">
        <v>22</v>
      </c>
      <c r="D1322" s="37">
        <v>45899</v>
      </c>
      <c r="E1322" s="31" t="s">
        <v>910</v>
      </c>
      <c r="F1322" s="31" t="s">
        <v>767</v>
      </c>
      <c r="G1322" s="31">
        <v>3388</v>
      </c>
      <c r="H1322" s="31" t="s">
        <v>160</v>
      </c>
      <c r="J1322" s="38">
        <v>0</v>
      </c>
    </row>
    <row r="1323" spans="1:10" x14ac:dyDescent="0.35">
      <c r="A1323" s="31">
        <v>661</v>
      </c>
      <c r="B1323" s="19" t="s">
        <v>17</v>
      </c>
      <c r="C1323" s="19"/>
      <c r="D1323" s="37">
        <v>45899</v>
      </c>
      <c r="E1323" s="31" t="s">
        <v>911</v>
      </c>
      <c r="F1323" s="31" t="s">
        <v>66</v>
      </c>
      <c r="G1323" s="31">
        <v>1548</v>
      </c>
      <c r="H1323" s="31" t="s">
        <v>160</v>
      </c>
      <c r="I1323" s="38">
        <v>0</v>
      </c>
    </row>
    <row r="1324" spans="1:10" x14ac:dyDescent="0.35">
      <c r="A1324" s="31">
        <v>661.5</v>
      </c>
      <c r="B1324" s="19"/>
      <c r="C1324" s="19" t="s">
        <v>22</v>
      </c>
      <c r="D1324" s="37">
        <v>45899</v>
      </c>
      <c r="E1324" s="31" t="s">
        <v>911</v>
      </c>
      <c r="F1324" s="31" t="s">
        <v>66</v>
      </c>
      <c r="G1324" s="31">
        <v>1548</v>
      </c>
      <c r="H1324" s="31" t="s">
        <v>160</v>
      </c>
      <c r="J1324" s="38">
        <v>0</v>
      </c>
    </row>
    <row r="1325" spans="1:10" x14ac:dyDescent="0.35">
      <c r="A1325" s="31">
        <v>662</v>
      </c>
      <c r="B1325" s="19" t="s">
        <v>17</v>
      </c>
      <c r="C1325" s="19"/>
      <c r="D1325" s="37">
        <v>45899</v>
      </c>
      <c r="E1325" s="31" t="s">
        <v>912</v>
      </c>
      <c r="F1325" s="31" t="s">
        <v>107</v>
      </c>
      <c r="G1325" s="31">
        <v>2466</v>
      </c>
      <c r="H1325" s="31" t="s">
        <v>160</v>
      </c>
      <c r="I1325" s="38">
        <v>0</v>
      </c>
    </row>
    <row r="1326" spans="1:10" x14ac:dyDescent="0.35">
      <c r="A1326" s="31">
        <v>662.5</v>
      </c>
      <c r="B1326" s="19"/>
      <c r="C1326" s="19" t="s">
        <v>22</v>
      </c>
      <c r="D1326" s="37">
        <v>45899</v>
      </c>
      <c r="E1326" s="31" t="s">
        <v>912</v>
      </c>
      <c r="F1326" s="31" t="s">
        <v>107</v>
      </c>
      <c r="G1326" s="31">
        <v>2466</v>
      </c>
      <c r="H1326" s="31" t="s">
        <v>160</v>
      </c>
      <c r="J1326" s="38">
        <v>0</v>
      </c>
    </row>
    <row r="1327" spans="1:10" x14ac:dyDescent="0.35">
      <c r="A1327" s="31">
        <v>663</v>
      </c>
      <c r="B1327" s="19" t="s">
        <v>17</v>
      </c>
      <c r="C1327" s="19"/>
      <c r="D1327" s="37">
        <v>45899</v>
      </c>
      <c r="E1327" s="31" t="s">
        <v>913</v>
      </c>
      <c r="F1327" s="31" t="s">
        <v>137</v>
      </c>
      <c r="G1327" s="31">
        <v>3318</v>
      </c>
      <c r="H1327" s="31" t="s">
        <v>160</v>
      </c>
      <c r="I1327" s="38">
        <v>0</v>
      </c>
    </row>
    <row r="1328" spans="1:10" x14ac:dyDescent="0.35">
      <c r="A1328" s="31">
        <v>663.5</v>
      </c>
      <c r="B1328" s="19"/>
      <c r="C1328" s="19" t="s">
        <v>22</v>
      </c>
      <c r="D1328" s="37">
        <v>45899</v>
      </c>
      <c r="E1328" s="31" t="s">
        <v>913</v>
      </c>
      <c r="F1328" s="31" t="s">
        <v>137</v>
      </c>
      <c r="G1328" s="31">
        <v>3318</v>
      </c>
      <c r="H1328" s="31" t="s">
        <v>160</v>
      </c>
      <c r="J1328" s="38">
        <v>0</v>
      </c>
    </row>
    <row r="1329" spans="1:10" x14ac:dyDescent="0.35">
      <c r="A1329" s="31">
        <v>664</v>
      </c>
      <c r="B1329" s="19" t="s">
        <v>17</v>
      </c>
      <c r="C1329" s="19"/>
      <c r="D1329" s="37">
        <v>45899</v>
      </c>
      <c r="E1329" s="31" t="s">
        <v>914</v>
      </c>
      <c r="F1329" s="31" t="s">
        <v>915</v>
      </c>
      <c r="G1329" s="31">
        <v>2710</v>
      </c>
      <c r="H1329" s="31" t="s">
        <v>160</v>
      </c>
      <c r="I1329" s="38">
        <v>0</v>
      </c>
    </row>
    <row r="1330" spans="1:10" x14ac:dyDescent="0.35">
      <c r="A1330" s="31">
        <v>664.5</v>
      </c>
      <c r="B1330" s="19"/>
      <c r="C1330" s="19" t="s">
        <v>22</v>
      </c>
      <c r="D1330" s="37">
        <v>45899</v>
      </c>
      <c r="E1330" s="31" t="s">
        <v>914</v>
      </c>
      <c r="F1330" s="31" t="s">
        <v>915</v>
      </c>
      <c r="G1330" s="31">
        <v>2710</v>
      </c>
      <c r="H1330" s="31" t="s">
        <v>160</v>
      </c>
      <c r="J1330" s="38">
        <v>0</v>
      </c>
    </row>
    <row r="1331" spans="1:10" x14ac:dyDescent="0.35">
      <c r="A1331" s="31">
        <v>665</v>
      </c>
      <c r="B1331" s="19" t="s">
        <v>17</v>
      </c>
      <c r="C1331" s="19"/>
      <c r="D1331" s="37">
        <v>45899</v>
      </c>
      <c r="E1331" s="31" t="s">
        <v>916</v>
      </c>
      <c r="F1331" s="31" t="s">
        <v>886</v>
      </c>
      <c r="G1331" s="31">
        <v>2450</v>
      </c>
      <c r="H1331" s="31" t="s">
        <v>160</v>
      </c>
      <c r="I1331" s="38">
        <v>0</v>
      </c>
    </row>
    <row r="1332" spans="1:10" x14ac:dyDescent="0.35">
      <c r="A1332" s="31">
        <v>665.5</v>
      </c>
      <c r="B1332" s="19"/>
      <c r="C1332" s="19" t="s">
        <v>22</v>
      </c>
      <c r="D1332" s="37">
        <v>45899</v>
      </c>
      <c r="E1332" s="31" t="s">
        <v>916</v>
      </c>
      <c r="F1332" s="31" t="s">
        <v>886</v>
      </c>
      <c r="G1332" s="31">
        <v>2450</v>
      </c>
      <c r="H1332" s="31" t="s">
        <v>160</v>
      </c>
      <c r="J1332" s="38">
        <v>0</v>
      </c>
    </row>
    <row r="1333" spans="1:10" x14ac:dyDescent="0.35">
      <c r="A1333" s="31">
        <v>666</v>
      </c>
      <c r="B1333" s="19" t="s">
        <v>17</v>
      </c>
      <c r="C1333" s="19"/>
      <c r="D1333" s="37">
        <v>45899</v>
      </c>
      <c r="E1333" s="31">
        <v>38791</v>
      </c>
      <c r="F1333" s="31" t="s">
        <v>917</v>
      </c>
      <c r="G1333" s="31">
        <v>2307</v>
      </c>
      <c r="H1333" s="31" t="s">
        <v>160</v>
      </c>
      <c r="I1333" s="38">
        <v>3128.97</v>
      </c>
    </row>
    <row r="1334" spans="1:10" x14ac:dyDescent="0.35">
      <c r="A1334" s="31">
        <v>666.5</v>
      </c>
      <c r="B1334" s="19"/>
      <c r="C1334" s="19" t="s">
        <v>22</v>
      </c>
      <c r="D1334" s="37">
        <v>45899</v>
      </c>
      <c r="E1334" s="31">
        <v>38791</v>
      </c>
      <c r="F1334" s="31" t="s">
        <v>917</v>
      </c>
      <c r="G1334" s="31">
        <v>2307</v>
      </c>
      <c r="H1334" s="31" t="s">
        <v>160</v>
      </c>
      <c r="J1334" s="38">
        <v>3128.97</v>
      </c>
    </row>
    <row r="1335" spans="1:10" x14ac:dyDescent="0.35">
      <c r="A1335" s="31">
        <v>667</v>
      </c>
      <c r="B1335" s="19" t="s">
        <v>17</v>
      </c>
      <c r="C1335" s="19"/>
      <c r="D1335" s="37">
        <v>45899</v>
      </c>
      <c r="E1335" s="31">
        <v>38806</v>
      </c>
      <c r="F1335" s="31" t="s">
        <v>918</v>
      </c>
      <c r="G1335" s="31">
        <v>596</v>
      </c>
      <c r="H1335" s="31" t="s">
        <v>160</v>
      </c>
      <c r="I1335" s="38">
        <v>90040</v>
      </c>
    </row>
    <row r="1336" spans="1:10" x14ac:dyDescent="0.35">
      <c r="A1336" s="31">
        <v>667.5</v>
      </c>
      <c r="B1336" s="19"/>
      <c r="C1336" s="19" t="s">
        <v>22</v>
      </c>
      <c r="D1336" s="37">
        <v>45899</v>
      </c>
      <c r="E1336" s="31">
        <v>38806</v>
      </c>
      <c r="F1336" s="31" t="s">
        <v>918</v>
      </c>
      <c r="G1336" s="31">
        <v>596</v>
      </c>
      <c r="H1336" s="31" t="s">
        <v>160</v>
      </c>
      <c r="J1336" s="38">
        <v>90040</v>
      </c>
    </row>
    <row r="1337" spans="1:10" x14ac:dyDescent="0.35">
      <c r="A1337" s="31">
        <v>668</v>
      </c>
      <c r="B1337" s="19" t="s">
        <v>17</v>
      </c>
      <c r="C1337" s="19"/>
      <c r="D1337" s="37">
        <v>45899</v>
      </c>
      <c r="E1337" s="31">
        <v>38817</v>
      </c>
      <c r="F1337" s="31" t="s">
        <v>919</v>
      </c>
      <c r="G1337" s="31">
        <v>524</v>
      </c>
      <c r="H1337" s="31" t="s">
        <v>160</v>
      </c>
      <c r="I1337" s="38">
        <v>3338.15</v>
      </c>
    </row>
    <row r="1338" spans="1:10" x14ac:dyDescent="0.35">
      <c r="A1338" s="31">
        <v>668.5</v>
      </c>
      <c r="B1338" s="19"/>
      <c r="C1338" s="19" t="s">
        <v>22</v>
      </c>
      <c r="D1338" s="37">
        <v>45899</v>
      </c>
      <c r="E1338" s="31">
        <v>38817</v>
      </c>
      <c r="F1338" s="31" t="s">
        <v>919</v>
      </c>
      <c r="G1338" s="31">
        <v>524</v>
      </c>
      <c r="H1338" s="31" t="s">
        <v>160</v>
      </c>
      <c r="J1338" s="38">
        <v>3338.15</v>
      </c>
    </row>
    <row r="1339" spans="1:10" x14ac:dyDescent="0.35">
      <c r="A1339" s="31">
        <v>669</v>
      </c>
      <c r="B1339" s="19" t="s">
        <v>17</v>
      </c>
      <c r="C1339" s="19"/>
      <c r="D1339" s="37">
        <v>45899</v>
      </c>
      <c r="E1339" s="31">
        <v>38834</v>
      </c>
      <c r="F1339" s="31" t="s">
        <v>920</v>
      </c>
      <c r="G1339" s="31">
        <v>2537</v>
      </c>
      <c r="H1339" s="31" t="s">
        <v>160</v>
      </c>
      <c r="I1339" s="38">
        <v>29900</v>
      </c>
    </row>
    <row r="1340" spans="1:10" x14ac:dyDescent="0.35">
      <c r="A1340" s="31">
        <v>669.5</v>
      </c>
      <c r="B1340" s="19"/>
      <c r="C1340" s="19" t="s">
        <v>22</v>
      </c>
      <c r="D1340" s="37">
        <v>45899</v>
      </c>
      <c r="E1340" s="31">
        <v>38834</v>
      </c>
      <c r="F1340" s="31" t="s">
        <v>920</v>
      </c>
      <c r="G1340" s="31">
        <v>2537</v>
      </c>
      <c r="H1340" s="31" t="s">
        <v>160</v>
      </c>
      <c r="J1340" s="38">
        <v>29900</v>
      </c>
    </row>
    <row r="1341" spans="1:10" x14ac:dyDescent="0.35">
      <c r="A1341" s="31">
        <v>670</v>
      </c>
      <c r="B1341" s="19" t="s">
        <v>17</v>
      </c>
      <c r="C1341" s="19"/>
      <c r="D1341" s="37">
        <v>45899</v>
      </c>
      <c r="E1341" s="31">
        <v>38839</v>
      </c>
      <c r="F1341" s="31" t="s">
        <v>921</v>
      </c>
      <c r="G1341" s="31">
        <v>2191</v>
      </c>
      <c r="H1341" s="31" t="s">
        <v>160</v>
      </c>
      <c r="I1341" s="38">
        <v>1498.38</v>
      </c>
    </row>
    <row r="1342" spans="1:10" x14ac:dyDescent="0.35">
      <c r="A1342" s="31">
        <v>670.5</v>
      </c>
      <c r="B1342" s="19"/>
      <c r="C1342" s="19" t="s">
        <v>22</v>
      </c>
      <c r="D1342" s="37">
        <v>45899</v>
      </c>
      <c r="E1342" s="31">
        <v>38839</v>
      </c>
      <c r="F1342" s="31" t="s">
        <v>921</v>
      </c>
      <c r="G1342" s="31">
        <v>2191</v>
      </c>
      <c r="H1342" s="31" t="s">
        <v>160</v>
      </c>
      <c r="J1342" s="38">
        <v>1498.38</v>
      </c>
    </row>
    <row r="1343" spans="1:10" x14ac:dyDescent="0.35">
      <c r="A1343" s="31">
        <v>671</v>
      </c>
      <c r="B1343" s="19" t="s">
        <v>17</v>
      </c>
      <c r="C1343" s="19"/>
      <c r="D1343" s="37">
        <v>45899</v>
      </c>
      <c r="E1343" s="31">
        <v>38846</v>
      </c>
      <c r="F1343" s="31" t="s">
        <v>922</v>
      </c>
      <c r="G1343" s="31">
        <v>498</v>
      </c>
      <c r="H1343" s="31" t="s">
        <v>160</v>
      </c>
      <c r="I1343" s="38">
        <v>5544.58</v>
      </c>
    </row>
    <row r="1344" spans="1:10" x14ac:dyDescent="0.35">
      <c r="A1344" s="31">
        <v>671.5</v>
      </c>
      <c r="B1344" s="19"/>
      <c r="C1344" s="19" t="s">
        <v>22</v>
      </c>
      <c r="D1344" s="37">
        <v>45899</v>
      </c>
      <c r="E1344" s="31">
        <v>38846</v>
      </c>
      <c r="F1344" s="31" t="s">
        <v>922</v>
      </c>
      <c r="G1344" s="31">
        <v>498</v>
      </c>
      <c r="H1344" s="31" t="s">
        <v>160</v>
      </c>
      <c r="J1344" s="38">
        <v>5544.58</v>
      </c>
    </row>
    <row r="1345" spans="1:10" x14ac:dyDescent="0.35">
      <c r="A1345" s="31">
        <v>672</v>
      </c>
      <c r="B1345" s="19" t="s">
        <v>17</v>
      </c>
      <c r="C1345" s="19"/>
      <c r="D1345" s="37">
        <v>45899</v>
      </c>
      <c r="E1345" s="31">
        <v>38850</v>
      </c>
      <c r="F1345" s="31" t="s">
        <v>238</v>
      </c>
      <c r="G1345" s="31">
        <v>487</v>
      </c>
      <c r="H1345" s="31" t="s">
        <v>160</v>
      </c>
      <c r="I1345" s="38">
        <v>30081.78</v>
      </c>
    </row>
    <row r="1346" spans="1:10" x14ac:dyDescent="0.35">
      <c r="A1346" s="31">
        <v>672.5</v>
      </c>
      <c r="B1346" s="19"/>
      <c r="C1346" s="19" t="s">
        <v>22</v>
      </c>
      <c r="D1346" s="37">
        <v>45899</v>
      </c>
      <c r="E1346" s="31">
        <v>38850</v>
      </c>
      <c r="F1346" s="31" t="s">
        <v>238</v>
      </c>
      <c r="G1346" s="31">
        <v>487</v>
      </c>
      <c r="H1346" s="31" t="s">
        <v>160</v>
      </c>
      <c r="J1346" s="38">
        <v>30081.78</v>
      </c>
    </row>
    <row r="1347" spans="1:10" x14ac:dyDescent="0.35">
      <c r="A1347" s="31">
        <v>673</v>
      </c>
      <c r="B1347" s="19" t="s">
        <v>17</v>
      </c>
      <c r="C1347" s="19"/>
      <c r="D1347" s="37">
        <v>45899</v>
      </c>
      <c r="E1347" s="31">
        <v>38874</v>
      </c>
      <c r="F1347" s="31" t="s">
        <v>923</v>
      </c>
      <c r="G1347" s="31">
        <v>454</v>
      </c>
      <c r="H1347" s="31" t="s">
        <v>160</v>
      </c>
      <c r="I1347" s="38">
        <v>705.25</v>
      </c>
    </row>
    <row r="1348" spans="1:10" x14ac:dyDescent="0.35">
      <c r="A1348" s="31">
        <v>673.5</v>
      </c>
      <c r="B1348" s="19"/>
      <c r="C1348" s="19" t="s">
        <v>22</v>
      </c>
      <c r="D1348" s="37">
        <v>45899</v>
      </c>
      <c r="E1348" s="31">
        <v>38874</v>
      </c>
      <c r="F1348" s="31" t="s">
        <v>923</v>
      </c>
      <c r="G1348" s="31">
        <v>454</v>
      </c>
      <c r="H1348" s="31" t="s">
        <v>160</v>
      </c>
      <c r="J1348" s="38">
        <v>705.25</v>
      </c>
    </row>
    <row r="1349" spans="1:10" x14ac:dyDescent="0.35">
      <c r="A1349" s="31">
        <v>674</v>
      </c>
      <c r="B1349" s="19" t="s">
        <v>17</v>
      </c>
      <c r="C1349" s="19"/>
      <c r="D1349" s="37">
        <v>45899</v>
      </c>
      <c r="E1349" s="31">
        <v>38889</v>
      </c>
      <c r="F1349" s="31" t="s">
        <v>107</v>
      </c>
      <c r="G1349" s="31">
        <v>2466</v>
      </c>
      <c r="H1349" s="31" t="s">
        <v>160</v>
      </c>
      <c r="I1349" s="38">
        <v>2080.0300000000002</v>
      </c>
    </row>
    <row r="1350" spans="1:10" x14ac:dyDescent="0.35">
      <c r="A1350" s="31">
        <v>674.5</v>
      </c>
      <c r="B1350" s="19"/>
      <c r="C1350" s="19" t="s">
        <v>22</v>
      </c>
      <c r="D1350" s="37">
        <v>45899</v>
      </c>
      <c r="E1350" s="31">
        <v>38889</v>
      </c>
      <c r="F1350" s="31" t="s">
        <v>107</v>
      </c>
      <c r="G1350" s="31">
        <v>2466</v>
      </c>
      <c r="H1350" s="31" t="s">
        <v>160</v>
      </c>
      <c r="J1350" s="38">
        <v>2080.0300000000002</v>
      </c>
    </row>
    <row r="1351" spans="1:10" x14ac:dyDescent="0.35">
      <c r="A1351" s="31">
        <v>675</v>
      </c>
      <c r="B1351" s="19" t="s">
        <v>17</v>
      </c>
      <c r="C1351" s="19"/>
      <c r="D1351" s="37">
        <v>45899</v>
      </c>
      <c r="E1351" s="31">
        <v>38953</v>
      </c>
      <c r="F1351" s="31" t="s">
        <v>917</v>
      </c>
      <c r="G1351" s="31">
        <v>2307</v>
      </c>
      <c r="H1351" s="31" t="s">
        <v>160</v>
      </c>
      <c r="I1351" s="38">
        <v>2254.2799999999997</v>
      </c>
    </row>
    <row r="1352" spans="1:10" x14ac:dyDescent="0.35">
      <c r="A1352" s="31">
        <v>675.5</v>
      </c>
      <c r="B1352" s="19"/>
      <c r="C1352" s="19" t="s">
        <v>22</v>
      </c>
      <c r="D1352" s="37">
        <v>45899</v>
      </c>
      <c r="E1352" s="31">
        <v>38953</v>
      </c>
      <c r="F1352" s="31" t="s">
        <v>917</v>
      </c>
      <c r="G1352" s="31">
        <v>2307</v>
      </c>
      <c r="H1352" s="31" t="s">
        <v>160</v>
      </c>
      <c r="J1352" s="38">
        <v>2254.2799999999997</v>
      </c>
    </row>
    <row r="1353" spans="1:10" x14ac:dyDescent="0.35">
      <c r="A1353" s="31">
        <v>676</v>
      </c>
      <c r="B1353" s="19" t="s">
        <v>17</v>
      </c>
      <c r="C1353" s="19"/>
      <c r="D1353" s="37">
        <v>45899</v>
      </c>
      <c r="E1353" s="31">
        <v>38954</v>
      </c>
      <c r="F1353" s="31" t="s">
        <v>924</v>
      </c>
      <c r="G1353" s="31">
        <v>933</v>
      </c>
      <c r="H1353" s="31" t="s">
        <v>160</v>
      </c>
      <c r="I1353" s="38">
        <v>10400</v>
      </c>
    </row>
    <row r="1354" spans="1:10" x14ac:dyDescent="0.35">
      <c r="A1354" s="31">
        <v>676.5</v>
      </c>
      <c r="B1354" s="19"/>
      <c r="C1354" s="19" t="s">
        <v>22</v>
      </c>
      <c r="D1354" s="37">
        <v>45899</v>
      </c>
      <c r="E1354" s="31">
        <v>38954</v>
      </c>
      <c r="F1354" s="31" t="s">
        <v>924</v>
      </c>
      <c r="G1354" s="31">
        <v>933</v>
      </c>
      <c r="H1354" s="31" t="s">
        <v>160</v>
      </c>
      <c r="J1354" s="38">
        <v>10400</v>
      </c>
    </row>
    <row r="1355" spans="1:10" x14ac:dyDescent="0.35">
      <c r="A1355" s="31">
        <v>677</v>
      </c>
      <c r="B1355" s="19" t="s">
        <v>17</v>
      </c>
      <c r="C1355" s="19"/>
      <c r="D1355" s="37">
        <v>45899</v>
      </c>
      <c r="E1355" s="31">
        <v>38970</v>
      </c>
      <c r="F1355" s="31" t="s">
        <v>925</v>
      </c>
      <c r="G1355" s="31">
        <v>2499</v>
      </c>
      <c r="H1355" s="31" t="s">
        <v>160</v>
      </c>
      <c r="I1355" s="38">
        <v>127.68</v>
      </c>
    </row>
    <row r="1356" spans="1:10" x14ac:dyDescent="0.35">
      <c r="A1356" s="31">
        <v>677.5</v>
      </c>
      <c r="B1356" s="19"/>
      <c r="C1356" s="19" t="s">
        <v>22</v>
      </c>
      <c r="D1356" s="37">
        <v>45899</v>
      </c>
      <c r="E1356" s="31">
        <v>38970</v>
      </c>
      <c r="F1356" s="31" t="s">
        <v>925</v>
      </c>
      <c r="G1356" s="31">
        <v>2499</v>
      </c>
      <c r="H1356" s="31" t="s">
        <v>160</v>
      </c>
      <c r="J1356" s="38">
        <v>127.68</v>
      </c>
    </row>
    <row r="1357" spans="1:10" x14ac:dyDescent="0.35">
      <c r="A1357" s="31">
        <v>678</v>
      </c>
      <c r="B1357" s="19" t="s">
        <v>17</v>
      </c>
      <c r="C1357" s="19"/>
      <c r="D1357" s="37">
        <v>45899</v>
      </c>
      <c r="E1357" s="31">
        <v>38981</v>
      </c>
      <c r="F1357" s="31" t="s">
        <v>917</v>
      </c>
      <c r="G1357" s="31">
        <v>2307</v>
      </c>
      <c r="H1357" s="31" t="s">
        <v>160</v>
      </c>
      <c r="I1357" s="38">
        <v>793.26</v>
      </c>
    </row>
    <row r="1358" spans="1:10" x14ac:dyDescent="0.35">
      <c r="A1358" s="31">
        <v>678.5</v>
      </c>
      <c r="B1358" s="19"/>
      <c r="C1358" s="19" t="s">
        <v>22</v>
      </c>
      <c r="D1358" s="37">
        <v>45899</v>
      </c>
      <c r="E1358" s="31">
        <v>38981</v>
      </c>
      <c r="F1358" s="31" t="s">
        <v>917</v>
      </c>
      <c r="G1358" s="31">
        <v>2307</v>
      </c>
      <c r="H1358" s="31" t="s">
        <v>160</v>
      </c>
      <c r="J1358" s="38">
        <v>793.26</v>
      </c>
    </row>
    <row r="1359" spans="1:10" x14ac:dyDescent="0.35">
      <c r="A1359" s="31">
        <v>679</v>
      </c>
      <c r="B1359" s="19" t="s">
        <v>17</v>
      </c>
      <c r="C1359" s="19"/>
      <c r="D1359" s="37">
        <v>45899</v>
      </c>
      <c r="E1359" s="31">
        <v>38983</v>
      </c>
      <c r="F1359" s="31" t="s">
        <v>50</v>
      </c>
      <c r="G1359" s="31">
        <v>1938</v>
      </c>
      <c r="H1359" s="31" t="s">
        <v>160</v>
      </c>
      <c r="I1359" s="38">
        <v>23686.73</v>
      </c>
    </row>
    <row r="1360" spans="1:10" x14ac:dyDescent="0.35">
      <c r="A1360" s="31">
        <v>679.5</v>
      </c>
      <c r="B1360" s="19"/>
      <c r="C1360" s="19" t="s">
        <v>22</v>
      </c>
      <c r="D1360" s="37">
        <v>45899</v>
      </c>
      <c r="E1360" s="31">
        <v>38983</v>
      </c>
      <c r="F1360" s="31" t="s">
        <v>50</v>
      </c>
      <c r="G1360" s="31">
        <v>1938</v>
      </c>
      <c r="H1360" s="31" t="s">
        <v>160</v>
      </c>
      <c r="J1360" s="38">
        <v>23686.73</v>
      </c>
    </row>
    <row r="1361" spans="1:10" x14ac:dyDescent="0.35">
      <c r="A1361" s="31">
        <v>680</v>
      </c>
      <c r="B1361" s="19" t="s">
        <v>17</v>
      </c>
      <c r="C1361" s="19"/>
      <c r="D1361" s="37">
        <v>45899</v>
      </c>
      <c r="E1361" s="31">
        <v>38993</v>
      </c>
      <c r="F1361" s="31" t="s">
        <v>55</v>
      </c>
      <c r="G1361" s="31">
        <v>3335</v>
      </c>
      <c r="H1361" s="31" t="s">
        <v>160</v>
      </c>
      <c r="I1361" s="38">
        <v>32760</v>
      </c>
    </row>
    <row r="1362" spans="1:10" x14ac:dyDescent="0.35">
      <c r="A1362" s="31">
        <v>680.5</v>
      </c>
      <c r="B1362" s="19"/>
      <c r="C1362" s="19" t="s">
        <v>22</v>
      </c>
      <c r="D1362" s="37">
        <v>45899</v>
      </c>
      <c r="E1362" s="31">
        <v>38993</v>
      </c>
      <c r="F1362" s="31" t="s">
        <v>55</v>
      </c>
      <c r="G1362" s="31">
        <v>3335</v>
      </c>
      <c r="H1362" s="31" t="s">
        <v>160</v>
      </c>
      <c r="J1362" s="38">
        <v>32760</v>
      </c>
    </row>
    <row r="1363" spans="1:10" x14ac:dyDescent="0.35">
      <c r="A1363" s="31">
        <v>681</v>
      </c>
      <c r="B1363" s="19" t="s">
        <v>17</v>
      </c>
      <c r="C1363" s="19"/>
      <c r="D1363" s="37">
        <v>45899</v>
      </c>
      <c r="E1363" s="31">
        <v>38996</v>
      </c>
      <c r="F1363" s="31" t="s">
        <v>128</v>
      </c>
      <c r="G1363" s="31">
        <v>2442</v>
      </c>
      <c r="H1363" s="31" t="s">
        <v>160</v>
      </c>
      <c r="I1363" s="38">
        <v>1777.5</v>
      </c>
    </row>
    <row r="1364" spans="1:10" x14ac:dyDescent="0.35">
      <c r="A1364" s="31">
        <v>681.5</v>
      </c>
      <c r="B1364" s="19"/>
      <c r="C1364" s="19" t="s">
        <v>22</v>
      </c>
      <c r="D1364" s="37">
        <v>45899</v>
      </c>
      <c r="E1364" s="31">
        <v>38996</v>
      </c>
      <c r="F1364" s="31" t="s">
        <v>128</v>
      </c>
      <c r="G1364" s="31">
        <v>2442</v>
      </c>
      <c r="H1364" s="31" t="s">
        <v>160</v>
      </c>
      <c r="J1364" s="38">
        <v>1777.5</v>
      </c>
    </row>
    <row r="1365" spans="1:10" x14ac:dyDescent="0.35">
      <c r="A1365" s="31">
        <v>682</v>
      </c>
      <c r="B1365" s="19" t="s">
        <v>17</v>
      </c>
      <c r="C1365" s="19"/>
      <c r="D1365" s="37">
        <v>45899</v>
      </c>
      <c r="E1365" s="31">
        <v>39002</v>
      </c>
      <c r="F1365" s="31" t="s">
        <v>926</v>
      </c>
      <c r="G1365" s="31">
        <v>733</v>
      </c>
      <c r="H1365" s="31" t="s">
        <v>160</v>
      </c>
      <c r="I1365" s="38">
        <v>30800</v>
      </c>
    </row>
    <row r="1366" spans="1:10" x14ac:dyDescent="0.35">
      <c r="A1366" s="31">
        <v>682.5</v>
      </c>
      <c r="B1366" s="19"/>
      <c r="C1366" s="19" t="s">
        <v>22</v>
      </c>
      <c r="D1366" s="37">
        <v>45899</v>
      </c>
      <c r="E1366" s="31">
        <v>39002</v>
      </c>
      <c r="F1366" s="31" t="s">
        <v>926</v>
      </c>
      <c r="G1366" s="31">
        <v>733</v>
      </c>
      <c r="H1366" s="31" t="s">
        <v>160</v>
      </c>
      <c r="J1366" s="38">
        <v>30800</v>
      </c>
    </row>
    <row r="1367" spans="1:10" x14ac:dyDescent="0.35">
      <c r="A1367" s="31">
        <v>683</v>
      </c>
      <c r="B1367" s="19" t="s">
        <v>17</v>
      </c>
      <c r="C1367" s="19"/>
      <c r="D1367" s="37">
        <v>45899</v>
      </c>
      <c r="E1367" s="31">
        <v>39010</v>
      </c>
      <c r="F1367" s="31" t="s">
        <v>927</v>
      </c>
      <c r="G1367" s="31">
        <v>1576</v>
      </c>
      <c r="H1367" s="31" t="s">
        <v>160</v>
      </c>
      <c r="I1367" s="38">
        <v>709.87</v>
      </c>
    </row>
    <row r="1368" spans="1:10" x14ac:dyDescent="0.35">
      <c r="A1368" s="31">
        <v>683.5</v>
      </c>
      <c r="B1368" s="19"/>
      <c r="C1368" s="19" t="s">
        <v>22</v>
      </c>
      <c r="D1368" s="37">
        <v>45899</v>
      </c>
      <c r="E1368" s="31">
        <v>39010</v>
      </c>
      <c r="F1368" s="31" t="s">
        <v>927</v>
      </c>
      <c r="G1368" s="31">
        <v>1576</v>
      </c>
      <c r="H1368" s="31" t="s">
        <v>160</v>
      </c>
      <c r="J1368" s="38">
        <v>709.87</v>
      </c>
    </row>
    <row r="1369" spans="1:10" x14ac:dyDescent="0.35">
      <c r="A1369" s="31">
        <v>684</v>
      </c>
      <c r="B1369" s="19" t="s">
        <v>17</v>
      </c>
      <c r="C1369" s="19"/>
      <c r="D1369" s="37">
        <v>45899</v>
      </c>
      <c r="E1369" s="31" t="s">
        <v>928</v>
      </c>
      <c r="F1369" s="31" t="s">
        <v>929</v>
      </c>
      <c r="G1369" s="31">
        <v>2453</v>
      </c>
      <c r="H1369" s="31" t="s">
        <v>160</v>
      </c>
      <c r="I1369" s="38">
        <v>0</v>
      </c>
    </row>
    <row r="1370" spans="1:10" x14ac:dyDescent="0.35">
      <c r="A1370" s="31">
        <v>684.5</v>
      </c>
      <c r="B1370" s="19"/>
      <c r="C1370" s="19" t="s">
        <v>22</v>
      </c>
      <c r="D1370" s="37">
        <v>45899</v>
      </c>
      <c r="E1370" s="31" t="s">
        <v>928</v>
      </c>
      <c r="F1370" s="31" t="s">
        <v>929</v>
      </c>
      <c r="G1370" s="31">
        <v>2453</v>
      </c>
      <c r="H1370" s="31" t="s">
        <v>160</v>
      </c>
      <c r="J1370" s="38">
        <v>0</v>
      </c>
    </row>
    <row r="1371" spans="1:10" x14ac:dyDescent="0.35">
      <c r="A1371" s="31">
        <v>685</v>
      </c>
      <c r="B1371" s="19" t="s">
        <v>17</v>
      </c>
      <c r="C1371" s="19"/>
      <c r="D1371" s="37">
        <v>45899</v>
      </c>
      <c r="E1371" s="31" t="s">
        <v>930</v>
      </c>
      <c r="F1371" s="31" t="s">
        <v>137</v>
      </c>
      <c r="G1371" s="31">
        <v>3318</v>
      </c>
      <c r="H1371" s="31" t="s">
        <v>160</v>
      </c>
      <c r="I1371" s="38">
        <v>0</v>
      </c>
    </row>
    <row r="1372" spans="1:10" x14ac:dyDescent="0.35">
      <c r="A1372" s="31">
        <v>685.5</v>
      </c>
      <c r="B1372" s="19"/>
      <c r="C1372" s="19" t="s">
        <v>22</v>
      </c>
      <c r="D1372" s="37">
        <v>45899</v>
      </c>
      <c r="E1372" s="31" t="s">
        <v>930</v>
      </c>
      <c r="F1372" s="31" t="s">
        <v>137</v>
      </c>
      <c r="G1372" s="31">
        <v>3318</v>
      </c>
      <c r="H1372" s="31" t="s">
        <v>160</v>
      </c>
      <c r="J1372" s="38">
        <v>0</v>
      </c>
    </row>
    <row r="1373" spans="1:10" x14ac:dyDescent="0.35">
      <c r="A1373" s="31">
        <v>686</v>
      </c>
      <c r="B1373" s="19" t="s">
        <v>17</v>
      </c>
      <c r="C1373" s="19"/>
      <c r="D1373" s="37">
        <v>45899</v>
      </c>
      <c r="E1373" s="31">
        <v>39090</v>
      </c>
      <c r="F1373" s="31" t="s">
        <v>931</v>
      </c>
      <c r="G1373" s="31">
        <v>3559</v>
      </c>
      <c r="H1373" s="31" t="s">
        <v>160</v>
      </c>
      <c r="I1373" s="38">
        <v>0</v>
      </c>
    </row>
    <row r="1374" spans="1:10" x14ac:dyDescent="0.35">
      <c r="A1374" s="31">
        <v>686.5</v>
      </c>
      <c r="B1374" s="19"/>
      <c r="C1374" s="19" t="s">
        <v>22</v>
      </c>
      <c r="D1374" s="37">
        <v>45899</v>
      </c>
      <c r="E1374" s="31">
        <v>39090</v>
      </c>
      <c r="F1374" s="31" t="s">
        <v>931</v>
      </c>
      <c r="G1374" s="31">
        <v>3559</v>
      </c>
      <c r="H1374" s="31" t="s">
        <v>160</v>
      </c>
      <c r="J1374" s="38">
        <v>0</v>
      </c>
    </row>
    <row r="1375" spans="1:10" x14ac:dyDescent="0.35">
      <c r="A1375" s="31">
        <v>687</v>
      </c>
      <c r="B1375" s="19" t="s">
        <v>17</v>
      </c>
      <c r="C1375" s="19"/>
      <c r="D1375" s="37">
        <v>45899</v>
      </c>
      <c r="E1375" s="31">
        <v>39123</v>
      </c>
      <c r="F1375" s="31" t="s">
        <v>932</v>
      </c>
      <c r="G1375" s="31">
        <v>506</v>
      </c>
      <c r="H1375" s="31" t="s">
        <v>160</v>
      </c>
      <c r="I1375" s="38">
        <v>0</v>
      </c>
    </row>
    <row r="1376" spans="1:10" x14ac:dyDescent="0.35">
      <c r="A1376" s="31">
        <v>687.5</v>
      </c>
      <c r="B1376" s="19"/>
      <c r="C1376" s="19" t="s">
        <v>22</v>
      </c>
      <c r="D1376" s="37">
        <v>45899</v>
      </c>
      <c r="E1376" s="31">
        <v>39123</v>
      </c>
      <c r="F1376" s="31" t="s">
        <v>932</v>
      </c>
      <c r="G1376" s="31">
        <v>506</v>
      </c>
      <c r="H1376" s="31" t="s">
        <v>160</v>
      </c>
      <c r="J1376" s="38">
        <v>0</v>
      </c>
    </row>
    <row r="1377" spans="1:10" x14ac:dyDescent="0.35">
      <c r="A1377" s="31">
        <v>688</v>
      </c>
      <c r="B1377" s="19" t="s">
        <v>17</v>
      </c>
      <c r="C1377" s="19"/>
      <c r="D1377" s="37">
        <v>45900</v>
      </c>
      <c r="E1377" s="31" t="s">
        <v>933</v>
      </c>
      <c r="F1377" s="31" t="s">
        <v>53</v>
      </c>
      <c r="G1377" s="31">
        <v>3153</v>
      </c>
      <c r="H1377" s="31" t="s">
        <v>160</v>
      </c>
      <c r="I1377" s="38">
        <v>0</v>
      </c>
    </row>
    <row r="1378" spans="1:10" x14ac:dyDescent="0.35">
      <c r="A1378" s="31">
        <v>688.5</v>
      </c>
      <c r="B1378" s="19"/>
      <c r="C1378" s="19" t="s">
        <v>22</v>
      </c>
      <c r="D1378" s="37">
        <v>45900</v>
      </c>
      <c r="E1378" s="31" t="s">
        <v>933</v>
      </c>
      <c r="F1378" s="31" t="s">
        <v>53</v>
      </c>
      <c r="G1378" s="31">
        <v>3153</v>
      </c>
      <c r="H1378" s="31" t="s">
        <v>160</v>
      </c>
      <c r="J1378" s="38">
        <v>0</v>
      </c>
    </row>
    <row r="1379" spans="1:10" x14ac:dyDescent="0.35">
      <c r="A1379" s="31">
        <v>689</v>
      </c>
      <c r="B1379" s="19" t="s">
        <v>17</v>
      </c>
      <c r="C1379" s="19"/>
      <c r="D1379" s="37">
        <v>45900</v>
      </c>
      <c r="E1379" s="31" t="s">
        <v>934</v>
      </c>
      <c r="F1379" s="31" t="s">
        <v>935</v>
      </c>
      <c r="G1379" s="31">
        <v>3399</v>
      </c>
      <c r="H1379" s="31" t="s">
        <v>160</v>
      </c>
      <c r="I1379" s="38">
        <v>0</v>
      </c>
    </row>
    <row r="1380" spans="1:10" x14ac:dyDescent="0.35">
      <c r="A1380" s="31">
        <v>689.5</v>
      </c>
      <c r="B1380" s="19"/>
      <c r="C1380" s="19" t="s">
        <v>22</v>
      </c>
      <c r="D1380" s="37">
        <v>45900</v>
      </c>
      <c r="E1380" s="31" t="s">
        <v>934</v>
      </c>
      <c r="F1380" s="31" t="s">
        <v>935</v>
      </c>
      <c r="G1380" s="31">
        <v>3399</v>
      </c>
      <c r="H1380" s="31" t="s">
        <v>160</v>
      </c>
      <c r="J1380" s="38">
        <v>0</v>
      </c>
    </row>
    <row r="1381" spans="1:10" x14ac:dyDescent="0.35">
      <c r="A1381" s="31">
        <v>690</v>
      </c>
      <c r="B1381" s="19" t="s">
        <v>17</v>
      </c>
      <c r="C1381" s="19"/>
      <c r="D1381" s="37">
        <v>45900</v>
      </c>
      <c r="E1381" s="31" t="s">
        <v>936</v>
      </c>
      <c r="F1381" s="31" t="s">
        <v>246</v>
      </c>
      <c r="G1381" s="31">
        <v>3527</v>
      </c>
      <c r="H1381" s="31" t="s">
        <v>160</v>
      </c>
      <c r="I1381" s="38">
        <v>1421.79</v>
      </c>
    </row>
    <row r="1382" spans="1:10" x14ac:dyDescent="0.35">
      <c r="A1382" s="31">
        <v>690.5</v>
      </c>
      <c r="B1382" s="19"/>
      <c r="C1382" s="19" t="s">
        <v>22</v>
      </c>
      <c r="D1382" s="37">
        <v>45900</v>
      </c>
      <c r="E1382" s="31" t="s">
        <v>936</v>
      </c>
      <c r="F1382" s="31" t="s">
        <v>246</v>
      </c>
      <c r="G1382" s="31">
        <v>3527</v>
      </c>
      <c r="H1382" s="31" t="s">
        <v>160</v>
      </c>
      <c r="J1382" s="38">
        <v>1421.79</v>
      </c>
    </row>
    <row r="1383" spans="1:10" x14ac:dyDescent="0.35">
      <c r="A1383" s="31">
        <v>691</v>
      </c>
      <c r="B1383" s="19" t="s">
        <v>17</v>
      </c>
      <c r="C1383" s="19"/>
      <c r="D1383" s="37">
        <v>45900</v>
      </c>
      <c r="E1383" s="31" t="s">
        <v>937</v>
      </c>
      <c r="F1383" s="31" t="s">
        <v>253</v>
      </c>
      <c r="G1383" s="31">
        <v>546</v>
      </c>
      <c r="H1383" s="31" t="s">
        <v>160</v>
      </c>
      <c r="I1383" s="38">
        <v>92649.31</v>
      </c>
    </row>
    <row r="1384" spans="1:10" x14ac:dyDescent="0.35">
      <c r="A1384" s="31">
        <v>691.5</v>
      </c>
      <c r="B1384" s="19"/>
      <c r="C1384" s="19" t="s">
        <v>22</v>
      </c>
      <c r="D1384" s="37">
        <v>45900</v>
      </c>
      <c r="E1384" s="31" t="s">
        <v>937</v>
      </c>
      <c r="F1384" s="31" t="s">
        <v>253</v>
      </c>
      <c r="G1384" s="31">
        <v>546</v>
      </c>
      <c r="H1384" s="31" t="s">
        <v>160</v>
      </c>
      <c r="J1384" s="38">
        <v>92649.31</v>
      </c>
    </row>
    <row r="1385" spans="1:10" x14ac:dyDescent="0.35">
      <c r="A1385" s="31">
        <v>692</v>
      </c>
      <c r="B1385" s="19" t="s">
        <v>17</v>
      </c>
      <c r="C1385" s="19"/>
      <c r="D1385" s="37">
        <v>45900</v>
      </c>
      <c r="E1385" s="31" t="s">
        <v>938</v>
      </c>
      <c r="F1385" s="31" t="s">
        <v>253</v>
      </c>
      <c r="G1385" s="31">
        <v>546</v>
      </c>
      <c r="H1385" s="31" t="s">
        <v>160</v>
      </c>
      <c r="I1385" s="38">
        <v>77496.3</v>
      </c>
    </row>
    <row r="1386" spans="1:10" x14ac:dyDescent="0.35">
      <c r="A1386" s="31">
        <v>692.5</v>
      </c>
      <c r="B1386" s="19"/>
      <c r="C1386" s="19" t="s">
        <v>22</v>
      </c>
      <c r="D1386" s="37">
        <v>45900</v>
      </c>
      <c r="E1386" s="31" t="s">
        <v>938</v>
      </c>
      <c r="F1386" s="31" t="s">
        <v>253</v>
      </c>
      <c r="G1386" s="31">
        <v>546</v>
      </c>
      <c r="H1386" s="31" t="s">
        <v>160</v>
      </c>
      <c r="J1386" s="38">
        <v>77496.3</v>
      </c>
    </row>
    <row r="1387" spans="1:10" x14ac:dyDescent="0.35">
      <c r="A1387" s="31">
        <v>693</v>
      </c>
      <c r="B1387" s="19" t="s">
        <v>17</v>
      </c>
      <c r="C1387" s="19"/>
      <c r="D1387" s="37">
        <v>45900</v>
      </c>
      <c r="E1387" s="31" t="s">
        <v>939</v>
      </c>
      <c r="F1387" s="31" t="s">
        <v>253</v>
      </c>
      <c r="G1387" s="31">
        <v>546</v>
      </c>
      <c r="H1387" s="31" t="s">
        <v>160</v>
      </c>
      <c r="I1387" s="38">
        <v>158263.4</v>
      </c>
    </row>
    <row r="1388" spans="1:10" x14ac:dyDescent="0.35">
      <c r="A1388" s="31">
        <v>693.5</v>
      </c>
      <c r="B1388" s="19"/>
      <c r="C1388" s="19" t="s">
        <v>22</v>
      </c>
      <c r="D1388" s="37">
        <v>45900</v>
      </c>
      <c r="E1388" s="31" t="s">
        <v>939</v>
      </c>
      <c r="F1388" s="31" t="s">
        <v>253</v>
      </c>
      <c r="G1388" s="31">
        <v>546</v>
      </c>
      <c r="H1388" s="31" t="s">
        <v>160</v>
      </c>
      <c r="J1388" s="38">
        <v>158263.4</v>
      </c>
    </row>
    <row r="1389" spans="1:10" x14ac:dyDescent="0.35">
      <c r="A1389" s="31">
        <v>694</v>
      </c>
      <c r="B1389" s="19" t="s">
        <v>17</v>
      </c>
      <c r="C1389" s="19"/>
      <c r="D1389" s="37">
        <v>45900</v>
      </c>
      <c r="E1389" s="31" t="s">
        <v>940</v>
      </c>
      <c r="F1389" s="31" t="s">
        <v>253</v>
      </c>
      <c r="G1389" s="31">
        <v>546</v>
      </c>
      <c r="H1389" s="31" t="s">
        <v>160</v>
      </c>
      <c r="I1389" s="38">
        <v>24326.89</v>
      </c>
    </row>
    <row r="1390" spans="1:10" x14ac:dyDescent="0.35">
      <c r="A1390" s="31">
        <v>694.5</v>
      </c>
      <c r="B1390" s="19"/>
      <c r="C1390" s="19" t="s">
        <v>22</v>
      </c>
      <c r="D1390" s="37">
        <v>45900</v>
      </c>
      <c r="E1390" s="31" t="s">
        <v>940</v>
      </c>
      <c r="F1390" s="31" t="s">
        <v>253</v>
      </c>
      <c r="G1390" s="31">
        <v>546</v>
      </c>
      <c r="H1390" s="31" t="s">
        <v>160</v>
      </c>
      <c r="J1390" s="38">
        <v>24326.89</v>
      </c>
    </row>
    <row r="1391" spans="1:10" x14ac:dyDescent="0.35">
      <c r="A1391" s="31">
        <v>695</v>
      </c>
      <c r="B1391" s="19" t="s">
        <v>17</v>
      </c>
      <c r="C1391" s="19"/>
      <c r="D1391" s="37">
        <v>45900</v>
      </c>
      <c r="E1391" s="31" t="s">
        <v>941</v>
      </c>
      <c r="F1391" s="31" t="s">
        <v>50</v>
      </c>
      <c r="G1391" s="31">
        <v>1938</v>
      </c>
      <c r="H1391" s="31" t="s">
        <v>160</v>
      </c>
      <c r="I1391" s="38">
        <v>0</v>
      </c>
    </row>
    <row r="1392" spans="1:10" x14ac:dyDescent="0.35">
      <c r="A1392" s="31">
        <v>695.5</v>
      </c>
      <c r="B1392" s="19"/>
      <c r="C1392" s="19" t="s">
        <v>22</v>
      </c>
      <c r="D1392" s="37">
        <v>45900</v>
      </c>
      <c r="E1392" s="31" t="s">
        <v>941</v>
      </c>
      <c r="F1392" s="31" t="s">
        <v>50</v>
      </c>
      <c r="G1392" s="31">
        <v>1938</v>
      </c>
      <c r="H1392" s="31" t="s">
        <v>160</v>
      </c>
      <c r="J1392" s="38">
        <v>0</v>
      </c>
    </row>
    <row r="1393" spans="1:10" x14ac:dyDescent="0.35">
      <c r="A1393" s="31">
        <v>696</v>
      </c>
      <c r="B1393" s="19" t="s">
        <v>17</v>
      </c>
      <c r="C1393" s="19"/>
      <c r="D1393" s="37">
        <v>45900</v>
      </c>
      <c r="E1393" s="31">
        <v>32212</v>
      </c>
      <c r="F1393" s="31" t="s">
        <v>253</v>
      </c>
      <c r="G1393" s="31">
        <v>546</v>
      </c>
      <c r="H1393" s="31" t="s">
        <v>160</v>
      </c>
      <c r="I1393" s="38">
        <v>0</v>
      </c>
    </row>
    <row r="1394" spans="1:10" x14ac:dyDescent="0.35">
      <c r="A1394" s="31">
        <v>696.5</v>
      </c>
      <c r="B1394" s="19"/>
      <c r="C1394" s="19" t="s">
        <v>22</v>
      </c>
      <c r="D1394" s="37">
        <v>45900</v>
      </c>
      <c r="E1394" s="31">
        <v>32212</v>
      </c>
      <c r="F1394" s="31" t="s">
        <v>253</v>
      </c>
      <c r="G1394" s="31">
        <v>546</v>
      </c>
      <c r="H1394" s="31" t="s">
        <v>160</v>
      </c>
      <c r="J1394" s="38">
        <v>0</v>
      </c>
    </row>
    <row r="1395" spans="1:10" x14ac:dyDescent="0.35">
      <c r="A1395" s="31">
        <v>697</v>
      </c>
      <c r="B1395" s="19" t="s">
        <v>17</v>
      </c>
      <c r="C1395" s="19"/>
      <c r="D1395" s="37">
        <v>45900</v>
      </c>
      <c r="E1395" s="31" t="s">
        <v>942</v>
      </c>
      <c r="F1395" s="31" t="s">
        <v>253</v>
      </c>
      <c r="G1395" s="31">
        <v>546</v>
      </c>
      <c r="H1395" s="31" t="s">
        <v>160</v>
      </c>
      <c r="I1395" s="38">
        <v>2127.5100000000002</v>
      </c>
    </row>
    <row r="1396" spans="1:10" x14ac:dyDescent="0.35">
      <c r="A1396" s="31">
        <v>697.5</v>
      </c>
      <c r="B1396" s="19"/>
      <c r="C1396" s="19" t="s">
        <v>22</v>
      </c>
      <c r="D1396" s="37">
        <v>45900</v>
      </c>
      <c r="E1396" s="31" t="s">
        <v>942</v>
      </c>
      <c r="F1396" s="31" t="s">
        <v>253</v>
      </c>
      <c r="G1396" s="31">
        <v>546</v>
      </c>
      <c r="H1396" s="31" t="s">
        <v>160</v>
      </c>
      <c r="J1396" s="38">
        <v>2127.5100000000002</v>
      </c>
    </row>
    <row r="1397" spans="1:10" x14ac:dyDescent="0.35">
      <c r="A1397" s="31">
        <v>698</v>
      </c>
      <c r="B1397" s="19" t="s">
        <v>17</v>
      </c>
      <c r="C1397" s="19"/>
      <c r="D1397" s="37">
        <v>45900</v>
      </c>
      <c r="E1397" s="31" t="s">
        <v>943</v>
      </c>
      <c r="F1397" s="31" t="s">
        <v>253</v>
      </c>
      <c r="G1397" s="31">
        <v>546</v>
      </c>
      <c r="H1397" s="31" t="s">
        <v>160</v>
      </c>
      <c r="I1397" s="38">
        <v>32809.47</v>
      </c>
    </row>
    <row r="1398" spans="1:10" x14ac:dyDescent="0.35">
      <c r="A1398" s="31">
        <v>698.5</v>
      </c>
      <c r="B1398" s="19"/>
      <c r="C1398" s="19" t="s">
        <v>22</v>
      </c>
      <c r="D1398" s="37">
        <v>45900</v>
      </c>
      <c r="E1398" s="31" t="s">
        <v>943</v>
      </c>
      <c r="F1398" s="31" t="s">
        <v>253</v>
      </c>
      <c r="G1398" s="31">
        <v>546</v>
      </c>
      <c r="H1398" s="31" t="s">
        <v>160</v>
      </c>
      <c r="J1398" s="38">
        <v>32809.47</v>
      </c>
    </row>
    <row r="1399" spans="1:10" x14ac:dyDescent="0.35">
      <c r="A1399" s="31">
        <v>699</v>
      </c>
      <c r="B1399" s="19" t="s">
        <v>17</v>
      </c>
      <c r="C1399" s="19"/>
      <c r="D1399" s="37">
        <v>45900</v>
      </c>
      <c r="E1399" s="31" t="s">
        <v>944</v>
      </c>
      <c r="F1399" s="31" t="s">
        <v>50</v>
      </c>
      <c r="G1399" s="31">
        <v>1938</v>
      </c>
      <c r="H1399" s="31" t="s">
        <v>160</v>
      </c>
      <c r="I1399" s="38">
        <v>0</v>
      </c>
    </row>
    <row r="1400" spans="1:10" x14ac:dyDescent="0.35">
      <c r="A1400" s="31">
        <v>699.5</v>
      </c>
      <c r="B1400" s="19"/>
      <c r="C1400" s="19" t="s">
        <v>22</v>
      </c>
      <c r="D1400" s="37">
        <v>45900</v>
      </c>
      <c r="E1400" s="31" t="s">
        <v>944</v>
      </c>
      <c r="F1400" s="31" t="s">
        <v>50</v>
      </c>
      <c r="G1400" s="31">
        <v>1938</v>
      </c>
      <c r="H1400" s="31" t="s">
        <v>160</v>
      </c>
      <c r="J1400" s="38">
        <v>0</v>
      </c>
    </row>
    <row r="1401" spans="1:10" x14ac:dyDescent="0.35">
      <c r="A1401" s="31">
        <v>700</v>
      </c>
      <c r="B1401" s="19" t="s">
        <v>17</v>
      </c>
      <c r="C1401" s="19"/>
      <c r="D1401" s="37">
        <v>45900</v>
      </c>
      <c r="E1401" s="31" t="s">
        <v>945</v>
      </c>
      <c r="F1401" s="31" t="s">
        <v>50</v>
      </c>
      <c r="G1401" s="31">
        <v>1938</v>
      </c>
      <c r="H1401" s="31" t="s">
        <v>160</v>
      </c>
      <c r="I1401" s="38">
        <v>0</v>
      </c>
    </row>
    <row r="1402" spans="1:10" x14ac:dyDescent="0.35">
      <c r="A1402" s="31">
        <v>700.5</v>
      </c>
      <c r="B1402" s="19"/>
      <c r="C1402" s="19" t="s">
        <v>22</v>
      </c>
      <c r="D1402" s="37">
        <v>45900</v>
      </c>
      <c r="E1402" s="31" t="s">
        <v>945</v>
      </c>
      <c r="F1402" s="31" t="s">
        <v>50</v>
      </c>
      <c r="G1402" s="31">
        <v>1938</v>
      </c>
      <c r="H1402" s="31" t="s">
        <v>160</v>
      </c>
      <c r="J1402" s="38">
        <v>0</v>
      </c>
    </row>
    <row r="1403" spans="1:10" x14ac:dyDescent="0.35">
      <c r="A1403" s="31">
        <v>701</v>
      </c>
      <c r="B1403" s="19" t="s">
        <v>17</v>
      </c>
      <c r="C1403" s="19"/>
      <c r="D1403" s="37">
        <v>45900</v>
      </c>
      <c r="E1403" s="31" t="s">
        <v>946</v>
      </c>
      <c r="F1403" s="31" t="s">
        <v>263</v>
      </c>
      <c r="G1403" s="31">
        <v>3529</v>
      </c>
      <c r="H1403" s="31" t="s">
        <v>160</v>
      </c>
      <c r="I1403" s="38">
        <v>0</v>
      </c>
    </row>
    <row r="1404" spans="1:10" x14ac:dyDescent="0.35">
      <c r="A1404" s="31">
        <v>701.5</v>
      </c>
      <c r="B1404" s="19"/>
      <c r="C1404" s="19" t="s">
        <v>22</v>
      </c>
      <c r="D1404" s="37">
        <v>45900</v>
      </c>
      <c r="E1404" s="31" t="s">
        <v>946</v>
      </c>
      <c r="F1404" s="31" t="s">
        <v>263</v>
      </c>
      <c r="G1404" s="31">
        <v>3529</v>
      </c>
      <c r="H1404" s="31" t="s">
        <v>160</v>
      </c>
      <c r="J1404" s="38">
        <v>0</v>
      </c>
    </row>
    <row r="1405" spans="1:10" x14ac:dyDescent="0.35">
      <c r="A1405" s="31">
        <v>702</v>
      </c>
      <c r="B1405" s="19" t="s">
        <v>17</v>
      </c>
      <c r="C1405" s="19"/>
      <c r="D1405" s="37">
        <v>45900</v>
      </c>
      <c r="E1405" s="31" t="s">
        <v>947</v>
      </c>
      <c r="F1405" s="31" t="s">
        <v>50</v>
      </c>
      <c r="G1405" s="31">
        <v>1938</v>
      </c>
      <c r="H1405" s="31" t="s">
        <v>160</v>
      </c>
      <c r="I1405" s="38">
        <v>0</v>
      </c>
    </row>
    <row r="1406" spans="1:10" x14ac:dyDescent="0.35">
      <c r="A1406" s="31">
        <v>702.5</v>
      </c>
      <c r="B1406" s="19"/>
      <c r="C1406" s="19" t="s">
        <v>22</v>
      </c>
      <c r="D1406" s="37">
        <v>45900</v>
      </c>
      <c r="E1406" s="31" t="s">
        <v>947</v>
      </c>
      <c r="F1406" s="31" t="s">
        <v>50</v>
      </c>
      <c r="G1406" s="31">
        <v>1938</v>
      </c>
      <c r="H1406" s="31" t="s">
        <v>160</v>
      </c>
      <c r="J1406" s="38">
        <v>0</v>
      </c>
    </row>
    <row r="1407" spans="1:10" x14ac:dyDescent="0.35">
      <c r="A1407" s="31">
        <v>703</v>
      </c>
      <c r="B1407" s="19" t="s">
        <v>17</v>
      </c>
      <c r="C1407" s="19"/>
      <c r="D1407" s="37">
        <v>45900</v>
      </c>
      <c r="E1407" s="31" t="s">
        <v>948</v>
      </c>
      <c r="F1407" s="31" t="s">
        <v>29</v>
      </c>
      <c r="G1407" s="31">
        <v>2328</v>
      </c>
      <c r="H1407" s="31" t="s">
        <v>160</v>
      </c>
      <c r="I1407" s="38">
        <v>3259.34</v>
      </c>
    </row>
    <row r="1408" spans="1:10" x14ac:dyDescent="0.35">
      <c r="A1408" s="31">
        <v>703.5</v>
      </c>
      <c r="B1408" s="19"/>
      <c r="C1408" s="19" t="s">
        <v>22</v>
      </c>
      <c r="D1408" s="37">
        <v>45900</v>
      </c>
      <c r="E1408" s="31" t="s">
        <v>948</v>
      </c>
      <c r="F1408" s="31" t="s">
        <v>29</v>
      </c>
      <c r="G1408" s="31">
        <v>2328</v>
      </c>
      <c r="H1408" s="31" t="s">
        <v>160</v>
      </c>
      <c r="J1408" s="38">
        <v>3259.34</v>
      </c>
    </row>
    <row r="1409" spans="1:10" x14ac:dyDescent="0.35">
      <c r="A1409" s="31">
        <v>704</v>
      </c>
      <c r="B1409" s="19" t="s">
        <v>17</v>
      </c>
      <c r="C1409" s="19"/>
      <c r="D1409" s="37">
        <v>45900</v>
      </c>
      <c r="E1409" s="31" t="s">
        <v>949</v>
      </c>
      <c r="F1409" s="31" t="s">
        <v>29</v>
      </c>
      <c r="G1409" s="31">
        <v>2328</v>
      </c>
      <c r="H1409" s="31" t="s">
        <v>160</v>
      </c>
      <c r="I1409" s="38">
        <v>2593.4</v>
      </c>
    </row>
    <row r="1410" spans="1:10" x14ac:dyDescent="0.35">
      <c r="A1410" s="31">
        <v>704.5</v>
      </c>
      <c r="B1410" s="19"/>
      <c r="C1410" s="19" t="s">
        <v>22</v>
      </c>
      <c r="D1410" s="37">
        <v>45900</v>
      </c>
      <c r="E1410" s="31" t="s">
        <v>949</v>
      </c>
      <c r="F1410" s="31" t="s">
        <v>29</v>
      </c>
      <c r="G1410" s="31">
        <v>2328</v>
      </c>
      <c r="H1410" s="31" t="s">
        <v>160</v>
      </c>
      <c r="J1410" s="38">
        <v>2593.4</v>
      </c>
    </row>
    <row r="1411" spans="1:10" x14ac:dyDescent="0.35">
      <c r="A1411" s="31">
        <v>705</v>
      </c>
      <c r="B1411" s="19" t="s">
        <v>17</v>
      </c>
      <c r="C1411" s="19"/>
      <c r="D1411" s="37">
        <v>45900</v>
      </c>
      <c r="E1411" s="31" t="s">
        <v>950</v>
      </c>
      <c r="F1411" s="31" t="s">
        <v>29</v>
      </c>
      <c r="G1411" s="31">
        <v>2328</v>
      </c>
      <c r="H1411" s="31" t="s">
        <v>160</v>
      </c>
      <c r="I1411" s="38">
        <v>9081.1</v>
      </c>
    </row>
    <row r="1412" spans="1:10" x14ac:dyDescent="0.35">
      <c r="A1412" s="31">
        <v>705.5</v>
      </c>
      <c r="B1412" s="19"/>
      <c r="C1412" s="19" t="s">
        <v>22</v>
      </c>
      <c r="D1412" s="37">
        <v>45900</v>
      </c>
      <c r="E1412" s="31" t="s">
        <v>950</v>
      </c>
      <c r="F1412" s="31" t="s">
        <v>29</v>
      </c>
      <c r="G1412" s="31">
        <v>2328</v>
      </c>
      <c r="H1412" s="31" t="s">
        <v>160</v>
      </c>
      <c r="J1412" s="38">
        <v>9081.1</v>
      </c>
    </row>
    <row r="1413" spans="1:10" x14ac:dyDescent="0.35">
      <c r="A1413" s="31">
        <v>706</v>
      </c>
      <c r="B1413" s="19" t="s">
        <v>17</v>
      </c>
      <c r="C1413" s="19"/>
      <c r="D1413" s="37">
        <v>45900</v>
      </c>
      <c r="E1413" s="31" t="s">
        <v>951</v>
      </c>
      <c r="F1413" s="31" t="s">
        <v>29</v>
      </c>
      <c r="G1413" s="31">
        <v>2328</v>
      </c>
      <c r="H1413" s="31" t="s">
        <v>160</v>
      </c>
      <c r="I1413" s="38">
        <v>5745.5599999999995</v>
      </c>
    </row>
    <row r="1414" spans="1:10" x14ac:dyDescent="0.35">
      <c r="A1414" s="31">
        <v>706.5</v>
      </c>
      <c r="B1414" s="19"/>
      <c r="C1414" s="19" t="s">
        <v>22</v>
      </c>
      <c r="D1414" s="37">
        <v>45900</v>
      </c>
      <c r="E1414" s="31" t="s">
        <v>951</v>
      </c>
      <c r="F1414" s="31" t="s">
        <v>29</v>
      </c>
      <c r="G1414" s="31">
        <v>2328</v>
      </c>
      <c r="H1414" s="31" t="s">
        <v>160</v>
      </c>
      <c r="J1414" s="38">
        <v>5745.5599999999995</v>
      </c>
    </row>
    <row r="1415" spans="1:10" x14ac:dyDescent="0.35">
      <c r="A1415" s="31">
        <v>707</v>
      </c>
      <c r="B1415" s="19" t="s">
        <v>17</v>
      </c>
      <c r="C1415" s="19"/>
      <c r="D1415" s="37">
        <v>45900</v>
      </c>
      <c r="E1415" s="31" t="s">
        <v>952</v>
      </c>
      <c r="F1415" s="31" t="s">
        <v>29</v>
      </c>
      <c r="G1415" s="31">
        <v>2328</v>
      </c>
      <c r="H1415" s="31" t="s">
        <v>160</v>
      </c>
      <c r="I1415" s="38">
        <v>0</v>
      </c>
    </row>
    <row r="1416" spans="1:10" x14ac:dyDescent="0.35">
      <c r="A1416" s="31">
        <v>707.5</v>
      </c>
      <c r="B1416" s="19"/>
      <c r="C1416" s="19" t="s">
        <v>22</v>
      </c>
      <c r="D1416" s="37">
        <v>45900</v>
      </c>
      <c r="E1416" s="31" t="s">
        <v>952</v>
      </c>
      <c r="F1416" s="31" t="s">
        <v>29</v>
      </c>
      <c r="G1416" s="31">
        <v>2328</v>
      </c>
      <c r="H1416" s="31" t="s">
        <v>160</v>
      </c>
      <c r="J1416" s="38">
        <v>0</v>
      </c>
    </row>
    <row r="1417" spans="1:10" x14ac:dyDescent="0.35">
      <c r="A1417" s="31">
        <v>708</v>
      </c>
      <c r="B1417" s="19" t="s">
        <v>17</v>
      </c>
      <c r="C1417" s="19"/>
      <c r="D1417" s="37">
        <v>45900</v>
      </c>
      <c r="E1417" s="31" t="s">
        <v>953</v>
      </c>
      <c r="F1417" s="31" t="s">
        <v>29</v>
      </c>
      <c r="G1417" s="31">
        <v>2328</v>
      </c>
      <c r="H1417" s="31" t="s">
        <v>160</v>
      </c>
      <c r="I1417" s="38">
        <v>2083.1799999999998</v>
      </c>
    </row>
    <row r="1418" spans="1:10" x14ac:dyDescent="0.35">
      <c r="A1418" s="31">
        <v>708.5</v>
      </c>
      <c r="B1418" s="19"/>
      <c r="C1418" s="19" t="s">
        <v>22</v>
      </c>
      <c r="D1418" s="37">
        <v>45900</v>
      </c>
      <c r="E1418" s="31" t="s">
        <v>953</v>
      </c>
      <c r="F1418" s="31" t="s">
        <v>29</v>
      </c>
      <c r="G1418" s="31">
        <v>2328</v>
      </c>
      <c r="H1418" s="31" t="s">
        <v>160</v>
      </c>
      <c r="J1418" s="38">
        <v>2083.1799999999998</v>
      </c>
    </row>
    <row r="1419" spans="1:10" x14ac:dyDescent="0.35">
      <c r="A1419" s="31">
        <v>709</v>
      </c>
      <c r="B1419" s="19" t="s">
        <v>17</v>
      </c>
      <c r="C1419" s="19"/>
      <c r="D1419" s="37">
        <v>45900</v>
      </c>
      <c r="E1419" s="31" t="s">
        <v>954</v>
      </c>
      <c r="F1419" s="31" t="s">
        <v>29</v>
      </c>
      <c r="G1419" s="31">
        <v>2328</v>
      </c>
      <c r="H1419" s="31" t="s">
        <v>160</v>
      </c>
      <c r="I1419" s="38">
        <v>2578.21</v>
      </c>
    </row>
    <row r="1420" spans="1:10" x14ac:dyDescent="0.35">
      <c r="A1420" s="31">
        <v>709.5</v>
      </c>
      <c r="B1420" s="19"/>
      <c r="C1420" s="19" t="s">
        <v>22</v>
      </c>
      <c r="D1420" s="37">
        <v>45900</v>
      </c>
      <c r="E1420" s="31" t="s">
        <v>954</v>
      </c>
      <c r="F1420" s="31" t="s">
        <v>29</v>
      </c>
      <c r="G1420" s="31">
        <v>2328</v>
      </c>
      <c r="H1420" s="31" t="s">
        <v>160</v>
      </c>
      <c r="J1420" s="38">
        <v>2578.21</v>
      </c>
    </row>
    <row r="1421" spans="1:10" x14ac:dyDescent="0.35">
      <c r="A1421" s="31">
        <v>710</v>
      </c>
      <c r="B1421" s="19" t="s">
        <v>17</v>
      </c>
      <c r="C1421" s="19"/>
      <c r="D1421" s="37">
        <v>45900</v>
      </c>
      <c r="E1421" s="31" t="s">
        <v>955</v>
      </c>
      <c r="F1421" s="31" t="s">
        <v>29</v>
      </c>
      <c r="G1421" s="31">
        <v>2328</v>
      </c>
      <c r="H1421" s="31" t="s">
        <v>160</v>
      </c>
      <c r="I1421" s="38">
        <v>3036.2499999999995</v>
      </c>
    </row>
    <row r="1422" spans="1:10" x14ac:dyDescent="0.35">
      <c r="A1422" s="31">
        <v>710.5</v>
      </c>
      <c r="B1422" s="19"/>
      <c r="C1422" s="19" t="s">
        <v>22</v>
      </c>
      <c r="D1422" s="37">
        <v>45900</v>
      </c>
      <c r="E1422" s="31" t="s">
        <v>955</v>
      </c>
      <c r="F1422" s="31" t="s">
        <v>29</v>
      </c>
      <c r="G1422" s="31">
        <v>2328</v>
      </c>
      <c r="H1422" s="31" t="s">
        <v>160</v>
      </c>
      <c r="J1422" s="38">
        <v>3036.2499999999995</v>
      </c>
    </row>
    <row r="1423" spans="1:10" x14ac:dyDescent="0.35">
      <c r="A1423" s="31">
        <v>711</v>
      </c>
      <c r="B1423" s="19" t="s">
        <v>17</v>
      </c>
      <c r="C1423" s="19"/>
      <c r="D1423" s="37">
        <v>45900</v>
      </c>
      <c r="E1423" s="31" t="s">
        <v>956</v>
      </c>
      <c r="F1423" s="31" t="s">
        <v>50</v>
      </c>
      <c r="G1423" s="31">
        <v>1938</v>
      </c>
      <c r="H1423" s="31" t="s">
        <v>160</v>
      </c>
      <c r="I1423" s="38">
        <v>0</v>
      </c>
    </row>
    <row r="1424" spans="1:10" x14ac:dyDescent="0.35">
      <c r="A1424" s="31">
        <v>711.5</v>
      </c>
      <c r="B1424" s="19"/>
      <c r="C1424" s="19" t="s">
        <v>22</v>
      </c>
      <c r="D1424" s="37">
        <v>45900</v>
      </c>
      <c r="E1424" s="31" t="s">
        <v>956</v>
      </c>
      <c r="F1424" s="31" t="s">
        <v>50</v>
      </c>
      <c r="G1424" s="31">
        <v>1938</v>
      </c>
      <c r="H1424" s="31" t="s">
        <v>160</v>
      </c>
      <c r="J1424" s="38">
        <v>0</v>
      </c>
    </row>
    <row r="1425" spans="1:10" x14ac:dyDescent="0.35">
      <c r="A1425" s="31">
        <v>712</v>
      </c>
      <c r="B1425" s="19" t="s">
        <v>17</v>
      </c>
      <c r="C1425" s="19"/>
      <c r="D1425" s="37">
        <v>45900</v>
      </c>
      <c r="E1425" s="31" t="s">
        <v>957</v>
      </c>
      <c r="F1425" s="31" t="s">
        <v>50</v>
      </c>
      <c r="G1425" s="31">
        <v>1938</v>
      </c>
      <c r="H1425" s="31" t="s">
        <v>160</v>
      </c>
      <c r="I1425" s="38">
        <v>0</v>
      </c>
    </row>
    <row r="1426" spans="1:10" x14ac:dyDescent="0.35">
      <c r="A1426" s="31">
        <v>712.5</v>
      </c>
      <c r="B1426" s="19"/>
      <c r="C1426" s="19" t="s">
        <v>22</v>
      </c>
      <c r="D1426" s="37">
        <v>45900</v>
      </c>
      <c r="E1426" s="31" t="s">
        <v>957</v>
      </c>
      <c r="F1426" s="31" t="s">
        <v>50</v>
      </c>
      <c r="G1426" s="31">
        <v>1938</v>
      </c>
      <c r="H1426" s="31" t="s">
        <v>160</v>
      </c>
      <c r="J1426" s="38">
        <v>0</v>
      </c>
    </row>
    <row r="1427" spans="1:10" x14ac:dyDescent="0.35">
      <c r="A1427" s="31">
        <v>713</v>
      </c>
      <c r="B1427" s="19" t="s">
        <v>17</v>
      </c>
      <c r="C1427" s="19"/>
      <c r="D1427" s="37">
        <v>45900</v>
      </c>
      <c r="E1427" s="31" t="s">
        <v>958</v>
      </c>
      <c r="F1427" s="31" t="s">
        <v>36</v>
      </c>
      <c r="G1427" s="31">
        <v>3367</v>
      </c>
      <c r="H1427" s="31" t="s">
        <v>160</v>
      </c>
      <c r="I1427" s="38">
        <v>1863.21</v>
      </c>
    </row>
    <row r="1428" spans="1:10" x14ac:dyDescent="0.35">
      <c r="A1428" s="31">
        <v>713.5</v>
      </c>
      <c r="B1428" s="19"/>
      <c r="C1428" s="19" t="s">
        <v>22</v>
      </c>
      <c r="D1428" s="37">
        <v>45900</v>
      </c>
      <c r="E1428" s="31" t="s">
        <v>958</v>
      </c>
      <c r="F1428" s="31" t="s">
        <v>36</v>
      </c>
      <c r="G1428" s="31">
        <v>3367</v>
      </c>
      <c r="H1428" s="31" t="s">
        <v>160</v>
      </c>
      <c r="J1428" s="38">
        <v>1863.21</v>
      </c>
    </row>
    <row r="1429" spans="1:10" x14ac:dyDescent="0.35">
      <c r="A1429" s="31">
        <v>714</v>
      </c>
      <c r="B1429" s="19" t="s">
        <v>17</v>
      </c>
      <c r="C1429" s="19"/>
      <c r="D1429" s="37">
        <v>45900</v>
      </c>
      <c r="E1429" s="31">
        <v>33826</v>
      </c>
      <c r="F1429" s="31" t="s">
        <v>50</v>
      </c>
      <c r="G1429" s="31">
        <v>1938</v>
      </c>
      <c r="H1429" s="31" t="s">
        <v>160</v>
      </c>
      <c r="I1429" s="38">
        <v>0</v>
      </c>
    </row>
    <row r="1430" spans="1:10" x14ac:dyDescent="0.35">
      <c r="A1430" s="31">
        <v>714.5</v>
      </c>
      <c r="B1430" s="19"/>
      <c r="C1430" s="19" t="s">
        <v>22</v>
      </c>
      <c r="D1430" s="37">
        <v>45900</v>
      </c>
      <c r="E1430" s="31">
        <v>33826</v>
      </c>
      <c r="F1430" s="31" t="s">
        <v>50</v>
      </c>
      <c r="G1430" s="31">
        <v>1938</v>
      </c>
      <c r="H1430" s="31" t="s">
        <v>160</v>
      </c>
      <c r="J1430" s="38">
        <v>0</v>
      </c>
    </row>
    <row r="1431" spans="1:10" x14ac:dyDescent="0.35">
      <c r="A1431" s="31">
        <v>715</v>
      </c>
      <c r="B1431" s="19" t="s">
        <v>17</v>
      </c>
      <c r="C1431" s="19"/>
      <c r="D1431" s="37">
        <v>45900</v>
      </c>
      <c r="E1431" s="31" t="s">
        <v>959</v>
      </c>
      <c r="F1431" s="31" t="s">
        <v>50</v>
      </c>
      <c r="G1431" s="31">
        <v>1938</v>
      </c>
      <c r="H1431" s="31" t="s">
        <v>160</v>
      </c>
      <c r="I1431" s="38">
        <v>0</v>
      </c>
    </row>
    <row r="1432" spans="1:10" x14ac:dyDescent="0.35">
      <c r="A1432" s="31">
        <v>715.5</v>
      </c>
      <c r="B1432" s="19"/>
      <c r="C1432" s="19" t="s">
        <v>22</v>
      </c>
      <c r="D1432" s="37">
        <v>45900</v>
      </c>
      <c r="E1432" s="31" t="s">
        <v>959</v>
      </c>
      <c r="F1432" s="31" t="s">
        <v>50</v>
      </c>
      <c r="G1432" s="31">
        <v>1938</v>
      </c>
      <c r="H1432" s="31" t="s">
        <v>160</v>
      </c>
      <c r="J1432" s="38">
        <v>0</v>
      </c>
    </row>
    <row r="1433" spans="1:10" x14ac:dyDescent="0.35">
      <c r="A1433" s="31">
        <v>716</v>
      </c>
      <c r="B1433" s="19" t="s">
        <v>17</v>
      </c>
      <c r="C1433" s="19"/>
      <c r="D1433" s="37">
        <v>45900</v>
      </c>
      <c r="E1433" s="31" t="s">
        <v>960</v>
      </c>
      <c r="F1433" s="31" t="s">
        <v>50</v>
      </c>
      <c r="G1433" s="31">
        <v>1938</v>
      </c>
      <c r="H1433" s="31" t="s">
        <v>160</v>
      </c>
      <c r="I1433" s="38">
        <v>0</v>
      </c>
    </row>
    <row r="1434" spans="1:10" x14ac:dyDescent="0.35">
      <c r="A1434" s="31">
        <v>716.5</v>
      </c>
      <c r="B1434" s="19"/>
      <c r="C1434" s="19" t="s">
        <v>22</v>
      </c>
      <c r="D1434" s="37">
        <v>45900</v>
      </c>
      <c r="E1434" s="31" t="s">
        <v>960</v>
      </c>
      <c r="F1434" s="31" t="s">
        <v>50</v>
      </c>
      <c r="G1434" s="31">
        <v>1938</v>
      </c>
      <c r="H1434" s="31" t="s">
        <v>160</v>
      </c>
      <c r="J1434" s="38">
        <v>0</v>
      </c>
    </row>
    <row r="1435" spans="1:10" x14ac:dyDescent="0.35">
      <c r="A1435" s="31">
        <v>717</v>
      </c>
      <c r="B1435" s="19" t="s">
        <v>17</v>
      </c>
      <c r="C1435" s="19"/>
      <c r="D1435" s="37">
        <v>45900</v>
      </c>
      <c r="E1435" s="31" t="s">
        <v>961</v>
      </c>
      <c r="F1435" s="31" t="s">
        <v>50</v>
      </c>
      <c r="G1435" s="31">
        <v>1938</v>
      </c>
      <c r="H1435" s="31" t="s">
        <v>160</v>
      </c>
      <c r="I1435" s="38">
        <v>0</v>
      </c>
    </row>
    <row r="1436" spans="1:10" x14ac:dyDescent="0.35">
      <c r="A1436" s="31">
        <v>717.5</v>
      </c>
      <c r="B1436" s="19"/>
      <c r="C1436" s="19" t="s">
        <v>22</v>
      </c>
      <c r="D1436" s="37">
        <v>45900</v>
      </c>
      <c r="E1436" s="31" t="s">
        <v>961</v>
      </c>
      <c r="F1436" s="31" t="s">
        <v>50</v>
      </c>
      <c r="G1436" s="31">
        <v>1938</v>
      </c>
      <c r="H1436" s="31" t="s">
        <v>160</v>
      </c>
      <c r="J1436" s="38">
        <v>0</v>
      </c>
    </row>
    <row r="1437" spans="1:10" x14ac:dyDescent="0.35">
      <c r="A1437" s="31">
        <v>718</v>
      </c>
      <c r="B1437" s="19" t="s">
        <v>17</v>
      </c>
      <c r="C1437" s="19"/>
      <c r="D1437" s="37">
        <v>45900</v>
      </c>
      <c r="E1437" s="31" t="s">
        <v>962</v>
      </c>
      <c r="F1437" s="31" t="s">
        <v>50</v>
      </c>
      <c r="G1437" s="31">
        <v>1938</v>
      </c>
      <c r="H1437" s="31" t="s">
        <v>160</v>
      </c>
      <c r="I1437" s="38">
        <v>0</v>
      </c>
    </row>
    <row r="1438" spans="1:10" x14ac:dyDescent="0.35">
      <c r="A1438" s="31">
        <v>718.5</v>
      </c>
      <c r="B1438" s="19"/>
      <c r="C1438" s="19" t="s">
        <v>22</v>
      </c>
      <c r="D1438" s="37">
        <v>45900</v>
      </c>
      <c r="E1438" s="31" t="s">
        <v>962</v>
      </c>
      <c r="F1438" s="31" t="s">
        <v>50</v>
      </c>
      <c r="G1438" s="31">
        <v>1938</v>
      </c>
      <c r="H1438" s="31" t="s">
        <v>160</v>
      </c>
      <c r="J1438" s="38">
        <v>0</v>
      </c>
    </row>
    <row r="1439" spans="1:10" x14ac:dyDescent="0.35">
      <c r="A1439" s="31">
        <v>719</v>
      </c>
      <c r="B1439" s="19" t="s">
        <v>17</v>
      </c>
      <c r="C1439" s="19"/>
      <c r="D1439" s="37">
        <v>45900</v>
      </c>
      <c r="E1439" s="31" t="s">
        <v>963</v>
      </c>
      <c r="F1439" s="31" t="s">
        <v>50</v>
      </c>
      <c r="G1439" s="31">
        <v>1938</v>
      </c>
      <c r="H1439" s="31" t="s">
        <v>160</v>
      </c>
      <c r="I1439" s="38">
        <v>0</v>
      </c>
    </row>
    <row r="1440" spans="1:10" x14ac:dyDescent="0.35">
      <c r="A1440" s="31">
        <v>719.5</v>
      </c>
      <c r="B1440" s="19"/>
      <c r="C1440" s="19" t="s">
        <v>22</v>
      </c>
      <c r="D1440" s="37">
        <v>45900</v>
      </c>
      <c r="E1440" s="31" t="s">
        <v>963</v>
      </c>
      <c r="F1440" s="31" t="s">
        <v>50</v>
      </c>
      <c r="G1440" s="31">
        <v>1938</v>
      </c>
      <c r="H1440" s="31" t="s">
        <v>160</v>
      </c>
      <c r="J1440" s="38">
        <v>0</v>
      </c>
    </row>
    <row r="1441" spans="1:10" x14ac:dyDescent="0.35">
      <c r="A1441" s="31">
        <v>720</v>
      </c>
      <c r="B1441" s="19" t="s">
        <v>17</v>
      </c>
      <c r="C1441" s="19"/>
      <c r="D1441" s="37">
        <v>45900</v>
      </c>
      <c r="E1441" s="31">
        <v>33967</v>
      </c>
      <c r="F1441" s="31" t="s">
        <v>50</v>
      </c>
      <c r="G1441" s="31">
        <v>1938</v>
      </c>
      <c r="H1441" s="31" t="s">
        <v>160</v>
      </c>
      <c r="I1441" s="38">
        <v>0</v>
      </c>
    </row>
    <row r="1442" spans="1:10" x14ac:dyDescent="0.35">
      <c r="A1442" s="31">
        <v>720.5</v>
      </c>
      <c r="B1442" s="19"/>
      <c r="C1442" s="19" t="s">
        <v>22</v>
      </c>
      <c r="D1442" s="37">
        <v>45900</v>
      </c>
      <c r="E1442" s="31">
        <v>33967</v>
      </c>
      <c r="F1442" s="31" t="s">
        <v>50</v>
      </c>
      <c r="G1442" s="31">
        <v>1938</v>
      </c>
      <c r="H1442" s="31" t="s">
        <v>160</v>
      </c>
      <c r="J1442" s="38">
        <v>0</v>
      </c>
    </row>
    <row r="1443" spans="1:10" x14ac:dyDescent="0.35">
      <c r="A1443" s="31">
        <v>721</v>
      </c>
      <c r="B1443" s="19" t="s">
        <v>17</v>
      </c>
      <c r="C1443" s="19"/>
      <c r="D1443" s="37">
        <v>45900</v>
      </c>
      <c r="E1443" s="31">
        <v>33968</v>
      </c>
      <c r="F1443" s="31" t="s">
        <v>50</v>
      </c>
      <c r="G1443" s="31">
        <v>1938</v>
      </c>
      <c r="H1443" s="31" t="s">
        <v>160</v>
      </c>
      <c r="I1443" s="38">
        <v>0</v>
      </c>
    </row>
    <row r="1444" spans="1:10" x14ac:dyDescent="0.35">
      <c r="A1444" s="31">
        <v>721.5</v>
      </c>
      <c r="B1444" s="19"/>
      <c r="C1444" s="19" t="s">
        <v>22</v>
      </c>
      <c r="D1444" s="37">
        <v>45900</v>
      </c>
      <c r="E1444" s="31">
        <v>33968</v>
      </c>
      <c r="F1444" s="31" t="s">
        <v>50</v>
      </c>
      <c r="G1444" s="31">
        <v>1938</v>
      </c>
      <c r="H1444" s="31" t="s">
        <v>160</v>
      </c>
      <c r="J1444" s="38">
        <v>0</v>
      </c>
    </row>
    <row r="1445" spans="1:10" x14ac:dyDescent="0.35">
      <c r="A1445" s="31">
        <v>722</v>
      </c>
      <c r="B1445" s="19" t="s">
        <v>17</v>
      </c>
      <c r="C1445" s="19"/>
      <c r="D1445" s="37">
        <v>45900</v>
      </c>
      <c r="E1445" s="31" t="s">
        <v>964</v>
      </c>
      <c r="F1445" s="31" t="s">
        <v>44</v>
      </c>
      <c r="G1445" s="31">
        <v>3361</v>
      </c>
      <c r="H1445" s="31" t="s">
        <v>160</v>
      </c>
      <c r="I1445" s="38">
        <v>9207.6</v>
      </c>
    </row>
    <row r="1446" spans="1:10" x14ac:dyDescent="0.35">
      <c r="A1446" s="31">
        <v>722.5</v>
      </c>
      <c r="B1446" s="19"/>
      <c r="C1446" s="19" t="s">
        <v>22</v>
      </c>
      <c r="D1446" s="37">
        <v>45900</v>
      </c>
      <c r="E1446" s="31" t="s">
        <v>964</v>
      </c>
      <c r="F1446" s="31" t="s">
        <v>44</v>
      </c>
      <c r="G1446" s="31">
        <v>3361</v>
      </c>
      <c r="H1446" s="31" t="s">
        <v>160</v>
      </c>
      <c r="J1446" s="38">
        <v>9207.6</v>
      </c>
    </row>
    <row r="1447" spans="1:10" x14ac:dyDescent="0.35">
      <c r="A1447" s="31">
        <v>723</v>
      </c>
      <c r="B1447" s="19" t="s">
        <v>17</v>
      </c>
      <c r="C1447" s="19"/>
      <c r="D1447" s="37">
        <v>45900</v>
      </c>
      <c r="E1447" s="31" t="s">
        <v>965</v>
      </c>
      <c r="F1447" s="31" t="s">
        <v>44</v>
      </c>
      <c r="G1447" s="31">
        <v>3361</v>
      </c>
      <c r="H1447" s="31" t="s">
        <v>160</v>
      </c>
      <c r="I1447" s="38">
        <v>2790</v>
      </c>
    </row>
    <row r="1448" spans="1:10" x14ac:dyDescent="0.35">
      <c r="A1448" s="31">
        <v>723.5</v>
      </c>
      <c r="B1448" s="19"/>
      <c r="C1448" s="19" t="s">
        <v>22</v>
      </c>
      <c r="D1448" s="37">
        <v>45900</v>
      </c>
      <c r="E1448" s="31" t="s">
        <v>965</v>
      </c>
      <c r="F1448" s="31" t="s">
        <v>44</v>
      </c>
      <c r="G1448" s="31">
        <v>3361</v>
      </c>
      <c r="H1448" s="31" t="s">
        <v>160</v>
      </c>
      <c r="J1448" s="38">
        <v>2790</v>
      </c>
    </row>
    <row r="1449" spans="1:10" x14ac:dyDescent="0.35">
      <c r="A1449" s="31">
        <v>724</v>
      </c>
      <c r="B1449" s="19" t="s">
        <v>17</v>
      </c>
      <c r="C1449" s="19"/>
      <c r="D1449" s="37">
        <v>45900</v>
      </c>
      <c r="E1449" s="31" t="s">
        <v>966</v>
      </c>
      <c r="F1449" s="31" t="s">
        <v>44</v>
      </c>
      <c r="G1449" s="31">
        <v>3361</v>
      </c>
      <c r="H1449" s="31" t="s">
        <v>160</v>
      </c>
      <c r="I1449" s="38">
        <v>18662.900000000001</v>
      </c>
    </row>
    <row r="1450" spans="1:10" x14ac:dyDescent="0.35">
      <c r="A1450" s="31">
        <v>724.5</v>
      </c>
      <c r="B1450" s="19"/>
      <c r="C1450" s="19" t="s">
        <v>22</v>
      </c>
      <c r="D1450" s="37">
        <v>45900</v>
      </c>
      <c r="E1450" s="31" t="s">
        <v>966</v>
      </c>
      <c r="F1450" s="31" t="s">
        <v>44</v>
      </c>
      <c r="G1450" s="31">
        <v>3361</v>
      </c>
      <c r="H1450" s="31" t="s">
        <v>160</v>
      </c>
      <c r="J1450" s="38">
        <v>18662.900000000001</v>
      </c>
    </row>
    <row r="1451" spans="1:10" x14ac:dyDescent="0.35">
      <c r="A1451" s="31">
        <v>725</v>
      </c>
      <c r="B1451" s="19" t="s">
        <v>17</v>
      </c>
      <c r="C1451" s="19"/>
      <c r="D1451" s="37">
        <v>45900</v>
      </c>
      <c r="E1451" s="31">
        <v>33999</v>
      </c>
      <c r="F1451" s="31" t="s">
        <v>50</v>
      </c>
      <c r="G1451" s="31">
        <v>1938</v>
      </c>
      <c r="H1451" s="31" t="s">
        <v>160</v>
      </c>
      <c r="I1451" s="38">
        <v>0</v>
      </c>
    </row>
    <row r="1452" spans="1:10" x14ac:dyDescent="0.35">
      <c r="A1452" s="31">
        <v>725.5</v>
      </c>
      <c r="B1452" s="19"/>
      <c r="C1452" s="19" t="s">
        <v>22</v>
      </c>
      <c r="D1452" s="37">
        <v>45900</v>
      </c>
      <c r="E1452" s="31">
        <v>33999</v>
      </c>
      <c r="F1452" s="31" t="s">
        <v>50</v>
      </c>
      <c r="G1452" s="31">
        <v>1938</v>
      </c>
      <c r="H1452" s="31" t="s">
        <v>160</v>
      </c>
      <c r="J1452" s="38">
        <v>0</v>
      </c>
    </row>
    <row r="1453" spans="1:10" x14ac:dyDescent="0.35">
      <c r="A1453" s="31">
        <v>726</v>
      </c>
      <c r="B1453" s="19" t="s">
        <v>17</v>
      </c>
      <c r="C1453" s="19"/>
      <c r="D1453" s="37">
        <v>45900</v>
      </c>
      <c r="E1453" s="31" t="s">
        <v>967</v>
      </c>
      <c r="F1453" s="31" t="s">
        <v>44</v>
      </c>
      <c r="G1453" s="31">
        <v>3361</v>
      </c>
      <c r="H1453" s="31" t="s">
        <v>160</v>
      </c>
      <c r="I1453" s="38">
        <v>14593.32</v>
      </c>
    </row>
    <row r="1454" spans="1:10" x14ac:dyDescent="0.35">
      <c r="A1454" s="31">
        <v>726.5</v>
      </c>
      <c r="B1454" s="19"/>
      <c r="C1454" s="19" t="s">
        <v>22</v>
      </c>
      <c r="D1454" s="37">
        <v>45900</v>
      </c>
      <c r="E1454" s="31" t="s">
        <v>967</v>
      </c>
      <c r="F1454" s="31" t="s">
        <v>44</v>
      </c>
      <c r="G1454" s="31">
        <v>3361</v>
      </c>
      <c r="H1454" s="31" t="s">
        <v>160</v>
      </c>
      <c r="J1454" s="38">
        <v>14593.32</v>
      </c>
    </row>
    <row r="1455" spans="1:10" x14ac:dyDescent="0.35">
      <c r="A1455" s="31">
        <v>727</v>
      </c>
      <c r="B1455" s="19" t="s">
        <v>17</v>
      </c>
      <c r="C1455" s="19"/>
      <c r="D1455" s="37">
        <v>45900</v>
      </c>
      <c r="E1455" s="31" t="s">
        <v>968</v>
      </c>
      <c r="F1455" s="31" t="s">
        <v>44</v>
      </c>
      <c r="G1455" s="31">
        <v>3361</v>
      </c>
      <c r="H1455" s="31" t="s">
        <v>160</v>
      </c>
      <c r="I1455" s="38">
        <v>3598.88</v>
      </c>
    </row>
    <row r="1456" spans="1:10" x14ac:dyDescent="0.35">
      <c r="A1456" s="31">
        <v>727.5</v>
      </c>
      <c r="B1456" s="19"/>
      <c r="C1456" s="19" t="s">
        <v>22</v>
      </c>
      <c r="D1456" s="37">
        <v>45900</v>
      </c>
      <c r="E1456" s="31" t="s">
        <v>968</v>
      </c>
      <c r="F1456" s="31" t="s">
        <v>44</v>
      </c>
      <c r="G1456" s="31">
        <v>3361</v>
      </c>
      <c r="H1456" s="31" t="s">
        <v>160</v>
      </c>
      <c r="J1456" s="38">
        <v>3598.88</v>
      </c>
    </row>
    <row r="1457" spans="1:10" x14ac:dyDescent="0.35">
      <c r="A1457" s="31">
        <v>728</v>
      </c>
      <c r="B1457" s="19" t="s">
        <v>17</v>
      </c>
      <c r="C1457" s="19"/>
      <c r="D1457" s="37">
        <v>45900</v>
      </c>
      <c r="E1457" s="31">
        <v>34128</v>
      </c>
      <c r="F1457" s="31" t="s">
        <v>50</v>
      </c>
      <c r="G1457" s="31">
        <v>1938</v>
      </c>
      <c r="H1457" s="31" t="s">
        <v>160</v>
      </c>
      <c r="I1457" s="38">
        <v>0</v>
      </c>
    </row>
    <row r="1458" spans="1:10" x14ac:dyDescent="0.35">
      <c r="A1458" s="31">
        <v>728.5</v>
      </c>
      <c r="B1458" s="19"/>
      <c r="C1458" s="19" t="s">
        <v>22</v>
      </c>
      <c r="D1458" s="37">
        <v>45900</v>
      </c>
      <c r="E1458" s="31">
        <v>34128</v>
      </c>
      <c r="F1458" s="31" t="s">
        <v>50</v>
      </c>
      <c r="G1458" s="31">
        <v>1938</v>
      </c>
      <c r="H1458" s="31" t="s">
        <v>160</v>
      </c>
      <c r="J1458" s="38">
        <v>0</v>
      </c>
    </row>
    <row r="1459" spans="1:10" x14ac:dyDescent="0.35">
      <c r="A1459" s="31">
        <v>729</v>
      </c>
      <c r="B1459" s="19" t="s">
        <v>17</v>
      </c>
      <c r="C1459" s="19"/>
      <c r="D1459" s="37">
        <v>45900</v>
      </c>
      <c r="E1459" s="31" t="s">
        <v>969</v>
      </c>
      <c r="F1459" s="31" t="s">
        <v>970</v>
      </c>
      <c r="G1459" s="31">
        <v>3398</v>
      </c>
      <c r="H1459" s="31" t="s">
        <v>160</v>
      </c>
      <c r="I1459" s="38">
        <v>1738.9900000000002</v>
      </c>
    </row>
    <row r="1460" spans="1:10" x14ac:dyDescent="0.35">
      <c r="A1460" s="31">
        <v>729.5</v>
      </c>
      <c r="B1460" s="19"/>
      <c r="C1460" s="19" t="s">
        <v>22</v>
      </c>
      <c r="D1460" s="37">
        <v>45900</v>
      </c>
      <c r="E1460" s="31" t="s">
        <v>969</v>
      </c>
      <c r="F1460" s="31" t="s">
        <v>970</v>
      </c>
      <c r="G1460" s="31">
        <v>3398</v>
      </c>
      <c r="H1460" s="31" t="s">
        <v>160</v>
      </c>
      <c r="J1460" s="38">
        <v>1738.9900000000002</v>
      </c>
    </row>
    <row r="1461" spans="1:10" x14ac:dyDescent="0.35">
      <c r="A1461" s="31">
        <v>730</v>
      </c>
      <c r="B1461" s="19" t="s">
        <v>17</v>
      </c>
      <c r="C1461" s="19"/>
      <c r="D1461" s="37">
        <v>45900</v>
      </c>
      <c r="E1461" s="31" t="s">
        <v>971</v>
      </c>
      <c r="F1461" s="31" t="s">
        <v>343</v>
      </c>
      <c r="G1461" s="31">
        <v>571</v>
      </c>
      <c r="H1461" s="31" t="s">
        <v>160</v>
      </c>
      <c r="I1461" s="38">
        <v>0</v>
      </c>
    </row>
    <row r="1462" spans="1:10" x14ac:dyDescent="0.35">
      <c r="A1462" s="31">
        <v>730.5</v>
      </c>
      <c r="B1462" s="19"/>
      <c r="C1462" s="19" t="s">
        <v>22</v>
      </c>
      <c r="D1462" s="37">
        <v>45900</v>
      </c>
      <c r="E1462" s="31" t="s">
        <v>971</v>
      </c>
      <c r="F1462" s="31" t="s">
        <v>343</v>
      </c>
      <c r="G1462" s="31">
        <v>571</v>
      </c>
      <c r="H1462" s="31" t="s">
        <v>160</v>
      </c>
      <c r="J1462" s="38">
        <v>0</v>
      </c>
    </row>
    <row r="1463" spans="1:10" x14ac:dyDescent="0.35">
      <c r="A1463" s="31">
        <v>731</v>
      </c>
      <c r="B1463" s="19" t="s">
        <v>17</v>
      </c>
      <c r="C1463" s="19"/>
      <c r="D1463" s="37">
        <v>45900</v>
      </c>
      <c r="E1463" s="31" t="s">
        <v>972</v>
      </c>
      <c r="F1463" s="31" t="s">
        <v>349</v>
      </c>
      <c r="G1463" s="31">
        <v>576</v>
      </c>
      <c r="H1463" s="31" t="s">
        <v>160</v>
      </c>
      <c r="I1463" s="38">
        <v>0</v>
      </c>
    </row>
    <row r="1464" spans="1:10" x14ac:dyDescent="0.35">
      <c r="A1464" s="31">
        <v>731.5</v>
      </c>
      <c r="B1464" s="19"/>
      <c r="C1464" s="19" t="s">
        <v>22</v>
      </c>
      <c r="D1464" s="37">
        <v>45900</v>
      </c>
      <c r="E1464" s="31" t="s">
        <v>972</v>
      </c>
      <c r="F1464" s="31" t="s">
        <v>349</v>
      </c>
      <c r="G1464" s="31">
        <v>576</v>
      </c>
      <c r="H1464" s="31" t="s">
        <v>160</v>
      </c>
      <c r="J1464" s="38">
        <v>0</v>
      </c>
    </row>
    <row r="1465" spans="1:10" x14ac:dyDescent="0.35">
      <c r="A1465" s="31">
        <v>732</v>
      </c>
      <c r="B1465" s="19" t="s">
        <v>17</v>
      </c>
      <c r="C1465" s="19"/>
      <c r="D1465" s="37">
        <v>45900</v>
      </c>
      <c r="E1465" s="31">
        <v>34529</v>
      </c>
      <c r="F1465" s="31" t="s">
        <v>50</v>
      </c>
      <c r="G1465" s="31">
        <v>1938</v>
      </c>
      <c r="H1465" s="31" t="s">
        <v>160</v>
      </c>
      <c r="I1465" s="38">
        <v>0</v>
      </c>
    </row>
    <row r="1466" spans="1:10" x14ac:dyDescent="0.35">
      <c r="A1466" s="31">
        <v>732.5</v>
      </c>
      <c r="B1466" s="19"/>
      <c r="C1466" s="19" t="s">
        <v>22</v>
      </c>
      <c r="D1466" s="37">
        <v>45900</v>
      </c>
      <c r="E1466" s="31">
        <v>34529</v>
      </c>
      <c r="F1466" s="31" t="s">
        <v>50</v>
      </c>
      <c r="G1466" s="31">
        <v>1938</v>
      </c>
      <c r="H1466" s="31" t="s">
        <v>160</v>
      </c>
      <c r="J1466" s="38">
        <v>0</v>
      </c>
    </row>
    <row r="1467" spans="1:10" x14ac:dyDescent="0.35">
      <c r="A1467" s="31">
        <v>733</v>
      </c>
      <c r="B1467" s="19" t="s">
        <v>17</v>
      </c>
      <c r="C1467" s="19"/>
      <c r="D1467" s="37">
        <v>45900</v>
      </c>
      <c r="E1467" s="31">
        <v>34753</v>
      </c>
      <c r="F1467" s="31" t="s">
        <v>50</v>
      </c>
      <c r="G1467" s="31">
        <v>1938</v>
      </c>
      <c r="H1467" s="31" t="s">
        <v>160</v>
      </c>
      <c r="I1467" s="38">
        <v>0</v>
      </c>
    </row>
    <row r="1468" spans="1:10" x14ac:dyDescent="0.35">
      <c r="A1468" s="31">
        <v>733.5</v>
      </c>
      <c r="B1468" s="19"/>
      <c r="C1468" s="19" t="s">
        <v>22</v>
      </c>
      <c r="D1468" s="37">
        <v>45900</v>
      </c>
      <c r="E1468" s="31">
        <v>34753</v>
      </c>
      <c r="F1468" s="31" t="s">
        <v>50</v>
      </c>
      <c r="G1468" s="31">
        <v>1938</v>
      </c>
      <c r="H1468" s="31" t="s">
        <v>160</v>
      </c>
      <c r="J1468" s="38">
        <v>0</v>
      </c>
    </row>
    <row r="1469" spans="1:10" x14ac:dyDescent="0.35">
      <c r="A1469" s="31">
        <v>734</v>
      </c>
      <c r="B1469" s="19" t="s">
        <v>17</v>
      </c>
      <c r="C1469" s="19"/>
      <c r="D1469" s="37">
        <v>45900</v>
      </c>
      <c r="E1469" s="31" t="s">
        <v>973</v>
      </c>
      <c r="F1469" s="31" t="s">
        <v>974</v>
      </c>
      <c r="G1469" s="31">
        <v>3310</v>
      </c>
      <c r="H1469" s="31" t="s">
        <v>160</v>
      </c>
      <c r="I1469" s="38">
        <v>0</v>
      </c>
    </row>
    <row r="1470" spans="1:10" x14ac:dyDescent="0.35">
      <c r="A1470" s="31">
        <v>734.5</v>
      </c>
      <c r="B1470" s="19"/>
      <c r="C1470" s="19" t="s">
        <v>22</v>
      </c>
      <c r="D1470" s="37">
        <v>45900</v>
      </c>
      <c r="E1470" s="31" t="s">
        <v>973</v>
      </c>
      <c r="F1470" s="31" t="s">
        <v>974</v>
      </c>
      <c r="G1470" s="31">
        <v>3310</v>
      </c>
      <c r="H1470" s="31" t="s">
        <v>160</v>
      </c>
      <c r="J1470" s="38">
        <v>0</v>
      </c>
    </row>
    <row r="1471" spans="1:10" x14ac:dyDescent="0.35">
      <c r="A1471" s="31">
        <v>735</v>
      </c>
      <c r="B1471" s="19" t="s">
        <v>17</v>
      </c>
      <c r="C1471" s="19"/>
      <c r="D1471" s="37">
        <v>45900</v>
      </c>
      <c r="E1471" s="31" t="s">
        <v>975</v>
      </c>
      <c r="F1471" s="31" t="s">
        <v>50</v>
      </c>
      <c r="G1471" s="31">
        <v>1938</v>
      </c>
      <c r="H1471" s="31" t="s">
        <v>160</v>
      </c>
      <c r="I1471" s="38">
        <v>0</v>
      </c>
    </row>
    <row r="1472" spans="1:10" x14ac:dyDescent="0.35">
      <c r="A1472" s="31">
        <v>735.5</v>
      </c>
      <c r="B1472" s="19"/>
      <c r="C1472" s="19" t="s">
        <v>22</v>
      </c>
      <c r="D1472" s="37">
        <v>45900</v>
      </c>
      <c r="E1472" s="31" t="s">
        <v>975</v>
      </c>
      <c r="F1472" s="31" t="s">
        <v>50</v>
      </c>
      <c r="G1472" s="31">
        <v>1938</v>
      </c>
      <c r="H1472" s="31" t="s">
        <v>160</v>
      </c>
      <c r="J1472" s="38">
        <v>0</v>
      </c>
    </row>
    <row r="1473" spans="1:10" x14ac:dyDescent="0.35">
      <c r="A1473" s="31">
        <v>736</v>
      </c>
      <c r="B1473" s="19" t="s">
        <v>17</v>
      </c>
      <c r="C1473" s="19"/>
      <c r="D1473" s="37">
        <v>45900</v>
      </c>
      <c r="E1473" s="31">
        <v>34768</v>
      </c>
      <c r="F1473" s="31" t="s">
        <v>50</v>
      </c>
      <c r="G1473" s="31">
        <v>1938</v>
      </c>
      <c r="H1473" s="31" t="s">
        <v>160</v>
      </c>
      <c r="I1473" s="38">
        <v>0</v>
      </c>
    </row>
    <row r="1474" spans="1:10" x14ac:dyDescent="0.35">
      <c r="A1474" s="31">
        <v>736.5</v>
      </c>
      <c r="B1474" s="19"/>
      <c r="C1474" s="19" t="s">
        <v>22</v>
      </c>
      <c r="D1474" s="37">
        <v>45900</v>
      </c>
      <c r="E1474" s="31">
        <v>34768</v>
      </c>
      <c r="F1474" s="31" t="s">
        <v>50</v>
      </c>
      <c r="G1474" s="31">
        <v>1938</v>
      </c>
      <c r="H1474" s="31" t="s">
        <v>160</v>
      </c>
      <c r="J1474" s="38">
        <v>0</v>
      </c>
    </row>
    <row r="1475" spans="1:10" x14ac:dyDescent="0.35">
      <c r="A1475" s="31">
        <v>737</v>
      </c>
      <c r="B1475" s="19" t="s">
        <v>17</v>
      </c>
      <c r="C1475" s="19"/>
      <c r="D1475" s="37">
        <v>45900</v>
      </c>
      <c r="E1475" s="31">
        <v>34769</v>
      </c>
      <c r="F1475" s="31" t="s">
        <v>50</v>
      </c>
      <c r="G1475" s="31">
        <v>1938</v>
      </c>
      <c r="H1475" s="31" t="s">
        <v>160</v>
      </c>
      <c r="I1475" s="38">
        <v>0</v>
      </c>
    </row>
    <row r="1476" spans="1:10" x14ac:dyDescent="0.35">
      <c r="A1476" s="31">
        <v>737.5</v>
      </c>
      <c r="B1476" s="19"/>
      <c r="C1476" s="19" t="s">
        <v>22</v>
      </c>
      <c r="D1476" s="37">
        <v>45900</v>
      </c>
      <c r="E1476" s="31">
        <v>34769</v>
      </c>
      <c r="F1476" s="31" t="s">
        <v>50</v>
      </c>
      <c r="G1476" s="31">
        <v>1938</v>
      </c>
      <c r="H1476" s="31" t="s">
        <v>160</v>
      </c>
      <c r="J1476" s="38">
        <v>0</v>
      </c>
    </row>
    <row r="1477" spans="1:10" x14ac:dyDescent="0.35">
      <c r="A1477" s="31">
        <v>738</v>
      </c>
      <c r="B1477" s="19" t="s">
        <v>17</v>
      </c>
      <c r="C1477" s="19"/>
      <c r="D1477" s="37">
        <v>45900</v>
      </c>
      <c r="E1477" s="31" t="s">
        <v>976</v>
      </c>
      <c r="F1477" s="31" t="s">
        <v>387</v>
      </c>
      <c r="G1477" s="31">
        <v>3357</v>
      </c>
      <c r="H1477" s="31" t="s">
        <v>160</v>
      </c>
      <c r="I1477" s="38">
        <v>350</v>
      </c>
    </row>
    <row r="1478" spans="1:10" x14ac:dyDescent="0.35">
      <c r="A1478" s="31">
        <v>738.5</v>
      </c>
      <c r="B1478" s="19"/>
      <c r="C1478" s="19" t="s">
        <v>22</v>
      </c>
      <c r="D1478" s="37">
        <v>45900</v>
      </c>
      <c r="E1478" s="31" t="s">
        <v>976</v>
      </c>
      <c r="F1478" s="31" t="s">
        <v>387</v>
      </c>
      <c r="G1478" s="31">
        <v>3357</v>
      </c>
      <c r="H1478" s="31" t="s">
        <v>160</v>
      </c>
      <c r="J1478" s="38">
        <v>350</v>
      </c>
    </row>
    <row r="1479" spans="1:10" x14ac:dyDescent="0.35">
      <c r="A1479" s="31">
        <v>739</v>
      </c>
      <c r="B1479" s="19" t="s">
        <v>17</v>
      </c>
      <c r="C1479" s="19"/>
      <c r="D1479" s="37">
        <v>45900</v>
      </c>
      <c r="E1479" s="31" t="s">
        <v>977</v>
      </c>
      <c r="F1479" s="31" t="s">
        <v>50</v>
      </c>
      <c r="G1479" s="31">
        <v>1938</v>
      </c>
      <c r="H1479" s="31" t="s">
        <v>160</v>
      </c>
      <c r="I1479" s="38">
        <v>0</v>
      </c>
    </row>
    <row r="1480" spans="1:10" x14ac:dyDescent="0.35">
      <c r="A1480" s="31">
        <v>739.5</v>
      </c>
      <c r="B1480" s="19"/>
      <c r="C1480" s="19" t="s">
        <v>22</v>
      </c>
      <c r="D1480" s="37">
        <v>45900</v>
      </c>
      <c r="E1480" s="31" t="s">
        <v>977</v>
      </c>
      <c r="F1480" s="31" t="s">
        <v>50</v>
      </c>
      <c r="G1480" s="31">
        <v>1938</v>
      </c>
      <c r="H1480" s="31" t="s">
        <v>160</v>
      </c>
      <c r="J1480" s="38">
        <v>0</v>
      </c>
    </row>
    <row r="1481" spans="1:10" x14ac:dyDescent="0.35">
      <c r="A1481" s="31">
        <v>740</v>
      </c>
      <c r="B1481" s="19" t="s">
        <v>17</v>
      </c>
      <c r="C1481" s="19"/>
      <c r="D1481" s="37">
        <v>45900</v>
      </c>
      <c r="E1481" s="31" t="s">
        <v>978</v>
      </c>
      <c r="F1481" s="31" t="s">
        <v>408</v>
      </c>
      <c r="G1481" s="31">
        <v>3539</v>
      </c>
      <c r="H1481" s="31" t="s">
        <v>160</v>
      </c>
      <c r="I1481" s="38">
        <v>9627.86</v>
      </c>
    </row>
    <row r="1482" spans="1:10" x14ac:dyDescent="0.35">
      <c r="A1482" s="31">
        <v>740.5</v>
      </c>
      <c r="B1482" s="19"/>
      <c r="C1482" s="19" t="s">
        <v>22</v>
      </c>
      <c r="D1482" s="37">
        <v>45900</v>
      </c>
      <c r="E1482" s="31" t="s">
        <v>978</v>
      </c>
      <c r="F1482" s="31" t="s">
        <v>408</v>
      </c>
      <c r="G1482" s="31">
        <v>3539</v>
      </c>
      <c r="H1482" s="31" t="s">
        <v>160</v>
      </c>
      <c r="J1482" s="38">
        <v>9627.86</v>
      </c>
    </row>
    <row r="1483" spans="1:10" x14ac:dyDescent="0.35">
      <c r="A1483" s="31">
        <v>741</v>
      </c>
      <c r="B1483" s="19" t="s">
        <v>17</v>
      </c>
      <c r="C1483" s="19"/>
      <c r="D1483" s="37">
        <v>45900</v>
      </c>
      <c r="E1483" s="31" t="s">
        <v>979</v>
      </c>
      <c r="F1483" s="31" t="s">
        <v>408</v>
      </c>
      <c r="G1483" s="31">
        <v>3539</v>
      </c>
      <c r="H1483" s="31" t="s">
        <v>160</v>
      </c>
      <c r="I1483" s="38">
        <v>12464.64</v>
      </c>
    </row>
    <row r="1484" spans="1:10" x14ac:dyDescent="0.35">
      <c r="A1484" s="31">
        <v>741.5</v>
      </c>
      <c r="B1484" s="19"/>
      <c r="C1484" s="19" t="s">
        <v>22</v>
      </c>
      <c r="D1484" s="37">
        <v>45900</v>
      </c>
      <c r="E1484" s="31" t="s">
        <v>979</v>
      </c>
      <c r="F1484" s="31" t="s">
        <v>408</v>
      </c>
      <c r="G1484" s="31">
        <v>3539</v>
      </c>
      <c r="H1484" s="31" t="s">
        <v>160</v>
      </c>
      <c r="J1484" s="38">
        <v>12464.64</v>
      </c>
    </row>
    <row r="1485" spans="1:10" x14ac:dyDescent="0.35">
      <c r="A1485" s="31">
        <v>742</v>
      </c>
      <c r="B1485" s="19" t="s">
        <v>17</v>
      </c>
      <c r="C1485" s="19"/>
      <c r="D1485" s="37">
        <v>45900</v>
      </c>
      <c r="E1485" s="31" t="s">
        <v>980</v>
      </c>
      <c r="F1485" s="31" t="s">
        <v>48</v>
      </c>
      <c r="G1485" s="31">
        <v>2752</v>
      </c>
      <c r="H1485" s="31" t="s">
        <v>160</v>
      </c>
      <c r="I1485" s="38">
        <v>0</v>
      </c>
    </row>
    <row r="1486" spans="1:10" x14ac:dyDescent="0.35">
      <c r="A1486" s="31">
        <v>742.5</v>
      </c>
      <c r="B1486" s="19"/>
      <c r="C1486" s="19" t="s">
        <v>22</v>
      </c>
      <c r="D1486" s="37">
        <v>45900</v>
      </c>
      <c r="E1486" s="31" t="s">
        <v>980</v>
      </c>
      <c r="F1486" s="31" t="s">
        <v>48</v>
      </c>
      <c r="G1486" s="31">
        <v>2752</v>
      </c>
      <c r="H1486" s="31" t="s">
        <v>160</v>
      </c>
      <c r="J1486" s="38">
        <v>0</v>
      </c>
    </row>
    <row r="1487" spans="1:10" x14ac:dyDescent="0.35">
      <c r="A1487" s="31">
        <v>743</v>
      </c>
      <c r="B1487" s="19" t="s">
        <v>17</v>
      </c>
      <c r="C1487" s="19"/>
      <c r="D1487" s="37">
        <v>45900</v>
      </c>
      <c r="E1487" s="31" t="s">
        <v>981</v>
      </c>
      <c r="F1487" s="31" t="s">
        <v>50</v>
      </c>
      <c r="G1487" s="31">
        <v>1938</v>
      </c>
      <c r="H1487" s="31" t="s">
        <v>160</v>
      </c>
      <c r="I1487" s="38">
        <v>0</v>
      </c>
    </row>
    <row r="1488" spans="1:10" x14ac:dyDescent="0.35">
      <c r="A1488" s="31">
        <v>743.5</v>
      </c>
      <c r="B1488" s="19"/>
      <c r="C1488" s="19" t="s">
        <v>22</v>
      </c>
      <c r="D1488" s="37">
        <v>45900</v>
      </c>
      <c r="E1488" s="31" t="s">
        <v>981</v>
      </c>
      <c r="F1488" s="31" t="s">
        <v>50</v>
      </c>
      <c r="G1488" s="31">
        <v>1938</v>
      </c>
      <c r="H1488" s="31" t="s">
        <v>160</v>
      </c>
      <c r="J1488" s="38">
        <v>0</v>
      </c>
    </row>
    <row r="1489" spans="1:10" x14ac:dyDescent="0.35">
      <c r="A1489" s="31">
        <v>744</v>
      </c>
      <c r="B1489" s="19" t="s">
        <v>17</v>
      </c>
      <c r="C1489" s="19"/>
      <c r="D1489" s="37">
        <v>45900</v>
      </c>
      <c r="E1489" s="31" t="s">
        <v>982</v>
      </c>
      <c r="F1489" s="31" t="s">
        <v>50</v>
      </c>
      <c r="G1489" s="31">
        <v>1938</v>
      </c>
      <c r="H1489" s="31" t="s">
        <v>160</v>
      </c>
      <c r="I1489" s="38">
        <v>0</v>
      </c>
    </row>
    <row r="1490" spans="1:10" x14ac:dyDescent="0.35">
      <c r="A1490" s="31">
        <v>744.5</v>
      </c>
      <c r="B1490" s="19"/>
      <c r="C1490" s="19" t="s">
        <v>22</v>
      </c>
      <c r="D1490" s="37">
        <v>45900</v>
      </c>
      <c r="E1490" s="31" t="s">
        <v>982</v>
      </c>
      <c r="F1490" s="31" t="s">
        <v>50</v>
      </c>
      <c r="G1490" s="31">
        <v>1938</v>
      </c>
      <c r="H1490" s="31" t="s">
        <v>160</v>
      </c>
      <c r="J1490" s="38">
        <v>0</v>
      </c>
    </row>
    <row r="1491" spans="1:10" x14ac:dyDescent="0.35">
      <c r="A1491" s="31">
        <v>745</v>
      </c>
      <c r="B1491" s="19" t="s">
        <v>17</v>
      </c>
      <c r="C1491" s="19"/>
      <c r="D1491" s="37">
        <v>45900</v>
      </c>
      <c r="E1491" s="31" t="s">
        <v>983</v>
      </c>
      <c r="F1491" s="31" t="s">
        <v>50</v>
      </c>
      <c r="G1491" s="31">
        <v>1938</v>
      </c>
      <c r="H1491" s="31" t="s">
        <v>160</v>
      </c>
      <c r="I1491" s="38">
        <v>0</v>
      </c>
    </row>
    <row r="1492" spans="1:10" x14ac:dyDescent="0.35">
      <c r="A1492" s="31">
        <v>745.5</v>
      </c>
      <c r="B1492" s="19"/>
      <c r="C1492" s="19" t="s">
        <v>22</v>
      </c>
      <c r="D1492" s="37">
        <v>45900</v>
      </c>
      <c r="E1492" s="31" t="s">
        <v>983</v>
      </c>
      <c r="F1492" s="31" t="s">
        <v>50</v>
      </c>
      <c r="G1492" s="31">
        <v>1938</v>
      </c>
      <c r="H1492" s="31" t="s">
        <v>160</v>
      </c>
      <c r="J1492" s="38">
        <v>0</v>
      </c>
    </row>
    <row r="1493" spans="1:10" x14ac:dyDescent="0.35">
      <c r="A1493" s="31">
        <v>746</v>
      </c>
      <c r="B1493" s="19" t="s">
        <v>17</v>
      </c>
      <c r="C1493" s="19"/>
      <c r="D1493" s="37">
        <v>45900</v>
      </c>
      <c r="E1493" s="31" t="s">
        <v>984</v>
      </c>
      <c r="F1493" s="31" t="s">
        <v>50</v>
      </c>
      <c r="G1493" s="31">
        <v>1938</v>
      </c>
      <c r="H1493" s="31" t="s">
        <v>160</v>
      </c>
      <c r="I1493" s="38">
        <v>0</v>
      </c>
    </row>
    <row r="1494" spans="1:10" x14ac:dyDescent="0.35">
      <c r="A1494" s="31">
        <v>746.5</v>
      </c>
      <c r="B1494" s="19"/>
      <c r="C1494" s="19" t="s">
        <v>22</v>
      </c>
      <c r="D1494" s="37">
        <v>45900</v>
      </c>
      <c r="E1494" s="31" t="s">
        <v>984</v>
      </c>
      <c r="F1494" s="31" t="s">
        <v>50</v>
      </c>
      <c r="G1494" s="31">
        <v>1938</v>
      </c>
      <c r="H1494" s="31" t="s">
        <v>160</v>
      </c>
      <c r="J1494" s="38">
        <v>0</v>
      </c>
    </row>
    <row r="1495" spans="1:10" x14ac:dyDescent="0.35">
      <c r="A1495" s="31">
        <v>747</v>
      </c>
      <c r="B1495" s="19" t="s">
        <v>17</v>
      </c>
      <c r="C1495" s="19"/>
      <c r="D1495" s="37">
        <v>45900</v>
      </c>
      <c r="E1495" s="31" t="s">
        <v>985</v>
      </c>
      <c r="F1495" s="31" t="s">
        <v>50</v>
      </c>
      <c r="G1495" s="31">
        <v>1938</v>
      </c>
      <c r="H1495" s="31" t="s">
        <v>160</v>
      </c>
      <c r="I1495" s="38">
        <v>0</v>
      </c>
    </row>
    <row r="1496" spans="1:10" x14ac:dyDescent="0.35">
      <c r="A1496" s="31">
        <v>747.5</v>
      </c>
      <c r="B1496" s="19"/>
      <c r="C1496" s="19" t="s">
        <v>22</v>
      </c>
      <c r="D1496" s="37">
        <v>45900</v>
      </c>
      <c r="E1496" s="31" t="s">
        <v>985</v>
      </c>
      <c r="F1496" s="31" t="s">
        <v>50</v>
      </c>
      <c r="G1496" s="31">
        <v>1938</v>
      </c>
      <c r="H1496" s="31" t="s">
        <v>160</v>
      </c>
      <c r="J1496" s="38">
        <v>0</v>
      </c>
    </row>
    <row r="1497" spans="1:10" x14ac:dyDescent="0.35">
      <c r="A1497" s="31">
        <v>748</v>
      </c>
      <c r="B1497" s="19" t="s">
        <v>17</v>
      </c>
      <c r="C1497" s="19"/>
      <c r="D1497" s="37">
        <v>45900</v>
      </c>
      <c r="E1497" s="31" t="s">
        <v>986</v>
      </c>
      <c r="F1497" s="31" t="s">
        <v>50</v>
      </c>
      <c r="G1497" s="31">
        <v>1938</v>
      </c>
      <c r="H1497" s="31" t="s">
        <v>160</v>
      </c>
      <c r="I1497" s="38">
        <v>0</v>
      </c>
    </row>
    <row r="1498" spans="1:10" x14ac:dyDescent="0.35">
      <c r="A1498" s="31">
        <v>748.5</v>
      </c>
      <c r="B1498" s="19"/>
      <c r="C1498" s="19" t="s">
        <v>22</v>
      </c>
      <c r="D1498" s="37">
        <v>45900</v>
      </c>
      <c r="E1498" s="31" t="s">
        <v>986</v>
      </c>
      <c r="F1498" s="31" t="s">
        <v>50</v>
      </c>
      <c r="G1498" s="31">
        <v>1938</v>
      </c>
      <c r="H1498" s="31" t="s">
        <v>160</v>
      </c>
      <c r="J1498" s="38">
        <v>0</v>
      </c>
    </row>
    <row r="1499" spans="1:10" x14ac:dyDescent="0.35">
      <c r="A1499" s="31">
        <v>749</v>
      </c>
      <c r="B1499" s="19" t="s">
        <v>17</v>
      </c>
      <c r="C1499" s="19"/>
      <c r="D1499" s="37">
        <v>45900</v>
      </c>
      <c r="E1499" s="31" t="s">
        <v>987</v>
      </c>
      <c r="F1499" s="31" t="s">
        <v>50</v>
      </c>
      <c r="G1499" s="31">
        <v>1938</v>
      </c>
      <c r="H1499" s="31" t="s">
        <v>160</v>
      </c>
      <c r="I1499" s="38">
        <v>0</v>
      </c>
    </row>
    <row r="1500" spans="1:10" x14ac:dyDescent="0.35">
      <c r="A1500" s="31">
        <v>749.5</v>
      </c>
      <c r="B1500" s="19"/>
      <c r="C1500" s="19" t="s">
        <v>22</v>
      </c>
      <c r="D1500" s="37">
        <v>45900</v>
      </c>
      <c r="E1500" s="31" t="s">
        <v>987</v>
      </c>
      <c r="F1500" s="31" t="s">
        <v>50</v>
      </c>
      <c r="G1500" s="31">
        <v>1938</v>
      </c>
      <c r="H1500" s="31" t="s">
        <v>160</v>
      </c>
      <c r="J1500" s="38">
        <v>0</v>
      </c>
    </row>
    <row r="1501" spans="1:10" x14ac:dyDescent="0.35">
      <c r="A1501" s="31">
        <v>750</v>
      </c>
      <c r="B1501" s="19" t="s">
        <v>17</v>
      </c>
      <c r="C1501" s="19"/>
      <c r="D1501" s="37">
        <v>45900</v>
      </c>
      <c r="E1501" s="31" t="s">
        <v>988</v>
      </c>
      <c r="F1501" s="31" t="s">
        <v>727</v>
      </c>
      <c r="G1501" s="31">
        <v>2606</v>
      </c>
      <c r="H1501" s="31" t="s">
        <v>160</v>
      </c>
      <c r="I1501" s="38">
        <v>1106.25</v>
      </c>
    </row>
    <row r="1502" spans="1:10" x14ac:dyDescent="0.35">
      <c r="A1502" s="31">
        <v>750.5</v>
      </c>
      <c r="B1502" s="19"/>
      <c r="C1502" s="19" t="s">
        <v>22</v>
      </c>
      <c r="D1502" s="37">
        <v>45900</v>
      </c>
      <c r="E1502" s="31" t="s">
        <v>988</v>
      </c>
      <c r="F1502" s="31" t="s">
        <v>727</v>
      </c>
      <c r="G1502" s="31">
        <v>2606</v>
      </c>
      <c r="H1502" s="31" t="s">
        <v>160</v>
      </c>
      <c r="J1502" s="38">
        <v>1106.25</v>
      </c>
    </row>
    <row r="1503" spans="1:10" x14ac:dyDescent="0.35">
      <c r="A1503" s="31">
        <v>751</v>
      </c>
      <c r="B1503" s="19" t="s">
        <v>17</v>
      </c>
      <c r="C1503" s="19"/>
      <c r="D1503" s="37">
        <v>45900</v>
      </c>
      <c r="E1503" s="31" t="s">
        <v>989</v>
      </c>
      <c r="F1503" s="31" t="s">
        <v>970</v>
      </c>
      <c r="G1503" s="31">
        <v>3398</v>
      </c>
      <c r="H1503" s="31" t="s">
        <v>160</v>
      </c>
      <c r="I1503" s="38">
        <v>0</v>
      </c>
    </row>
    <row r="1504" spans="1:10" x14ac:dyDescent="0.35">
      <c r="A1504" s="31">
        <v>751.5</v>
      </c>
      <c r="B1504" s="19"/>
      <c r="C1504" s="19" t="s">
        <v>22</v>
      </c>
      <c r="D1504" s="37">
        <v>45900</v>
      </c>
      <c r="E1504" s="31" t="s">
        <v>989</v>
      </c>
      <c r="F1504" s="31" t="s">
        <v>970</v>
      </c>
      <c r="G1504" s="31">
        <v>3398</v>
      </c>
      <c r="H1504" s="31" t="s">
        <v>160</v>
      </c>
      <c r="J1504" s="38">
        <v>0</v>
      </c>
    </row>
    <row r="1505" spans="1:10" x14ac:dyDescent="0.35">
      <c r="A1505" s="31">
        <v>752</v>
      </c>
      <c r="B1505" s="19" t="s">
        <v>17</v>
      </c>
      <c r="C1505" s="19"/>
      <c r="D1505" s="37">
        <v>45900</v>
      </c>
      <c r="E1505" s="31">
        <v>35410</v>
      </c>
      <c r="F1505" s="31" t="s">
        <v>990</v>
      </c>
      <c r="G1505" s="31">
        <v>3560</v>
      </c>
      <c r="H1505" s="31" t="s">
        <v>160</v>
      </c>
      <c r="I1505" s="38">
        <v>0</v>
      </c>
    </row>
    <row r="1506" spans="1:10" x14ac:dyDescent="0.35">
      <c r="A1506" s="31">
        <v>752.5</v>
      </c>
      <c r="B1506" s="19"/>
      <c r="C1506" s="19" t="s">
        <v>22</v>
      </c>
      <c r="D1506" s="37">
        <v>45900</v>
      </c>
      <c r="E1506" s="31">
        <v>35410</v>
      </c>
      <c r="F1506" s="31" t="s">
        <v>990</v>
      </c>
      <c r="G1506" s="31">
        <v>3560</v>
      </c>
      <c r="H1506" s="31" t="s">
        <v>160</v>
      </c>
      <c r="J1506" s="38">
        <v>0</v>
      </c>
    </row>
    <row r="1507" spans="1:10" x14ac:dyDescent="0.35">
      <c r="A1507" s="31">
        <v>753</v>
      </c>
      <c r="B1507" s="19" t="s">
        <v>17</v>
      </c>
      <c r="C1507" s="19"/>
      <c r="D1507" s="37">
        <v>45900</v>
      </c>
      <c r="E1507" s="31">
        <v>35411</v>
      </c>
      <c r="F1507" s="31" t="s">
        <v>990</v>
      </c>
      <c r="G1507" s="31">
        <v>3560</v>
      </c>
      <c r="H1507" s="31" t="s">
        <v>160</v>
      </c>
      <c r="I1507" s="38">
        <v>0</v>
      </c>
    </row>
    <row r="1508" spans="1:10" x14ac:dyDescent="0.35">
      <c r="A1508" s="31">
        <v>753.5</v>
      </c>
      <c r="B1508" s="19"/>
      <c r="C1508" s="19" t="s">
        <v>22</v>
      </c>
      <c r="D1508" s="37">
        <v>45900</v>
      </c>
      <c r="E1508" s="31">
        <v>35411</v>
      </c>
      <c r="F1508" s="31" t="s">
        <v>990</v>
      </c>
      <c r="G1508" s="31">
        <v>3560</v>
      </c>
      <c r="H1508" s="31" t="s">
        <v>160</v>
      </c>
      <c r="J1508" s="38">
        <v>0</v>
      </c>
    </row>
    <row r="1509" spans="1:10" x14ac:dyDescent="0.35">
      <c r="A1509" s="31">
        <v>754</v>
      </c>
      <c r="B1509" s="19" t="s">
        <v>17</v>
      </c>
      <c r="C1509" s="19"/>
      <c r="D1509" s="37">
        <v>45900</v>
      </c>
      <c r="E1509" s="31" t="s">
        <v>991</v>
      </c>
      <c r="F1509" s="31" t="s">
        <v>990</v>
      </c>
      <c r="G1509" s="31">
        <v>3560</v>
      </c>
      <c r="H1509" s="31" t="s">
        <v>160</v>
      </c>
      <c r="I1509" s="38">
        <v>0</v>
      </c>
    </row>
    <row r="1510" spans="1:10" x14ac:dyDescent="0.35">
      <c r="A1510" s="31">
        <v>754.5</v>
      </c>
      <c r="B1510" s="19"/>
      <c r="C1510" s="19" t="s">
        <v>22</v>
      </c>
      <c r="D1510" s="37">
        <v>45900</v>
      </c>
      <c r="E1510" s="31" t="s">
        <v>991</v>
      </c>
      <c r="F1510" s="31" t="s">
        <v>990</v>
      </c>
      <c r="G1510" s="31">
        <v>3560</v>
      </c>
      <c r="H1510" s="31" t="s">
        <v>160</v>
      </c>
      <c r="J1510" s="38">
        <v>0</v>
      </c>
    </row>
    <row r="1511" spans="1:10" x14ac:dyDescent="0.35">
      <c r="A1511" s="31">
        <v>755</v>
      </c>
      <c r="B1511" s="19" t="s">
        <v>17</v>
      </c>
      <c r="C1511" s="19"/>
      <c r="D1511" s="37">
        <v>45900</v>
      </c>
      <c r="E1511" s="31">
        <v>35413</v>
      </c>
      <c r="F1511" s="31" t="s">
        <v>990</v>
      </c>
      <c r="G1511" s="31">
        <v>3560</v>
      </c>
      <c r="H1511" s="31" t="s">
        <v>160</v>
      </c>
      <c r="I1511" s="38">
        <v>0</v>
      </c>
    </row>
    <row r="1512" spans="1:10" x14ac:dyDescent="0.35">
      <c r="A1512" s="31">
        <v>755.5</v>
      </c>
      <c r="B1512" s="19"/>
      <c r="C1512" s="19" t="s">
        <v>22</v>
      </c>
      <c r="D1512" s="37">
        <v>45900</v>
      </c>
      <c r="E1512" s="31">
        <v>35413</v>
      </c>
      <c r="F1512" s="31" t="s">
        <v>990</v>
      </c>
      <c r="G1512" s="31">
        <v>3560</v>
      </c>
      <c r="H1512" s="31" t="s">
        <v>160</v>
      </c>
      <c r="J1512" s="38">
        <v>0</v>
      </c>
    </row>
    <row r="1513" spans="1:10" x14ac:dyDescent="0.35">
      <c r="A1513" s="31">
        <v>756</v>
      </c>
      <c r="B1513" s="19" t="s">
        <v>17</v>
      </c>
      <c r="C1513" s="19"/>
      <c r="D1513" s="37">
        <v>45900</v>
      </c>
      <c r="E1513" s="31">
        <v>35414</v>
      </c>
      <c r="F1513" s="31" t="s">
        <v>990</v>
      </c>
      <c r="G1513" s="31">
        <v>3560</v>
      </c>
      <c r="H1513" s="31" t="s">
        <v>160</v>
      </c>
      <c r="I1513" s="38">
        <v>0</v>
      </c>
    </row>
    <row r="1514" spans="1:10" x14ac:dyDescent="0.35">
      <c r="A1514" s="31">
        <v>756.5</v>
      </c>
      <c r="B1514" s="19"/>
      <c r="C1514" s="19" t="s">
        <v>22</v>
      </c>
      <c r="D1514" s="37">
        <v>45900</v>
      </c>
      <c r="E1514" s="31">
        <v>35414</v>
      </c>
      <c r="F1514" s="31" t="s">
        <v>990</v>
      </c>
      <c r="G1514" s="31">
        <v>3560</v>
      </c>
      <c r="H1514" s="31" t="s">
        <v>160</v>
      </c>
      <c r="J1514" s="38">
        <v>0</v>
      </c>
    </row>
    <row r="1515" spans="1:10" x14ac:dyDescent="0.35">
      <c r="A1515" s="31">
        <v>757</v>
      </c>
      <c r="B1515" s="19" t="s">
        <v>17</v>
      </c>
      <c r="C1515" s="19"/>
      <c r="D1515" s="37">
        <v>45900</v>
      </c>
      <c r="E1515" s="31">
        <v>35415</v>
      </c>
      <c r="F1515" s="31" t="s">
        <v>990</v>
      </c>
      <c r="G1515" s="31">
        <v>3560</v>
      </c>
      <c r="H1515" s="31" t="s">
        <v>160</v>
      </c>
      <c r="I1515" s="38">
        <v>0</v>
      </c>
    </row>
    <row r="1516" spans="1:10" x14ac:dyDescent="0.35">
      <c r="A1516" s="31">
        <v>757.5</v>
      </c>
      <c r="B1516" s="19"/>
      <c r="C1516" s="19" t="s">
        <v>22</v>
      </c>
      <c r="D1516" s="37">
        <v>45900</v>
      </c>
      <c r="E1516" s="31">
        <v>35415</v>
      </c>
      <c r="F1516" s="31" t="s">
        <v>990</v>
      </c>
      <c r="G1516" s="31">
        <v>3560</v>
      </c>
      <c r="H1516" s="31" t="s">
        <v>160</v>
      </c>
      <c r="J1516" s="38">
        <v>0</v>
      </c>
    </row>
    <row r="1517" spans="1:10" x14ac:dyDescent="0.35">
      <c r="A1517" s="31">
        <v>758</v>
      </c>
      <c r="B1517" s="19" t="s">
        <v>17</v>
      </c>
      <c r="C1517" s="19"/>
      <c r="D1517" s="37">
        <v>45900</v>
      </c>
      <c r="E1517" s="31">
        <v>35416</v>
      </c>
      <c r="F1517" s="31" t="s">
        <v>990</v>
      </c>
      <c r="G1517" s="31">
        <v>3560</v>
      </c>
      <c r="H1517" s="31" t="s">
        <v>160</v>
      </c>
      <c r="I1517" s="38">
        <v>0</v>
      </c>
    </row>
    <row r="1518" spans="1:10" x14ac:dyDescent="0.35">
      <c r="A1518" s="31">
        <v>758.5</v>
      </c>
      <c r="B1518" s="19"/>
      <c r="C1518" s="19" t="s">
        <v>22</v>
      </c>
      <c r="D1518" s="37">
        <v>45900</v>
      </c>
      <c r="E1518" s="31">
        <v>35416</v>
      </c>
      <c r="F1518" s="31" t="s">
        <v>990</v>
      </c>
      <c r="G1518" s="31">
        <v>3560</v>
      </c>
      <c r="H1518" s="31" t="s">
        <v>160</v>
      </c>
      <c r="J1518" s="38">
        <v>0</v>
      </c>
    </row>
    <row r="1519" spans="1:10" x14ac:dyDescent="0.35">
      <c r="A1519" s="31">
        <v>759</v>
      </c>
      <c r="B1519" s="19" t="s">
        <v>17</v>
      </c>
      <c r="C1519" s="19"/>
      <c r="D1519" s="37">
        <v>45900</v>
      </c>
      <c r="E1519" s="31">
        <v>35417</v>
      </c>
      <c r="F1519" s="31" t="s">
        <v>990</v>
      </c>
      <c r="G1519" s="31">
        <v>3560</v>
      </c>
      <c r="H1519" s="31" t="s">
        <v>160</v>
      </c>
      <c r="I1519" s="38">
        <v>0</v>
      </c>
    </row>
    <row r="1520" spans="1:10" x14ac:dyDescent="0.35">
      <c r="A1520" s="31">
        <v>759.5</v>
      </c>
      <c r="B1520" s="19"/>
      <c r="C1520" s="19" t="s">
        <v>22</v>
      </c>
      <c r="D1520" s="37">
        <v>45900</v>
      </c>
      <c r="E1520" s="31">
        <v>35417</v>
      </c>
      <c r="F1520" s="31" t="s">
        <v>990</v>
      </c>
      <c r="G1520" s="31">
        <v>3560</v>
      </c>
      <c r="H1520" s="31" t="s">
        <v>160</v>
      </c>
      <c r="J1520" s="38">
        <v>0</v>
      </c>
    </row>
    <row r="1521" spans="1:10" x14ac:dyDescent="0.35">
      <c r="A1521" s="31">
        <v>760</v>
      </c>
      <c r="B1521" s="19" t="s">
        <v>17</v>
      </c>
      <c r="C1521" s="19"/>
      <c r="D1521" s="37">
        <v>45900</v>
      </c>
      <c r="E1521" s="31">
        <v>35418</v>
      </c>
      <c r="F1521" s="31" t="s">
        <v>990</v>
      </c>
      <c r="G1521" s="31">
        <v>3560</v>
      </c>
      <c r="H1521" s="31" t="s">
        <v>160</v>
      </c>
      <c r="I1521" s="38">
        <v>0</v>
      </c>
    </row>
    <row r="1522" spans="1:10" x14ac:dyDescent="0.35">
      <c r="A1522" s="31">
        <v>760.5</v>
      </c>
      <c r="B1522" s="19"/>
      <c r="C1522" s="19" t="s">
        <v>22</v>
      </c>
      <c r="D1522" s="37">
        <v>45900</v>
      </c>
      <c r="E1522" s="31">
        <v>35418</v>
      </c>
      <c r="F1522" s="31" t="s">
        <v>990</v>
      </c>
      <c r="G1522" s="31">
        <v>3560</v>
      </c>
      <c r="H1522" s="31" t="s">
        <v>160</v>
      </c>
      <c r="J1522" s="38">
        <v>0</v>
      </c>
    </row>
    <row r="1523" spans="1:10" x14ac:dyDescent="0.35">
      <c r="A1523" s="31">
        <v>761</v>
      </c>
      <c r="B1523" s="19" t="s">
        <v>17</v>
      </c>
      <c r="C1523" s="19"/>
      <c r="D1523" s="37">
        <v>45900</v>
      </c>
      <c r="E1523" s="31">
        <v>35419</v>
      </c>
      <c r="F1523" s="31" t="s">
        <v>990</v>
      </c>
      <c r="G1523" s="31">
        <v>3560</v>
      </c>
      <c r="H1523" s="31" t="s">
        <v>160</v>
      </c>
      <c r="I1523" s="38">
        <v>0</v>
      </c>
    </row>
    <row r="1524" spans="1:10" x14ac:dyDescent="0.35">
      <c r="A1524" s="31">
        <v>761.5</v>
      </c>
      <c r="B1524" s="19"/>
      <c r="C1524" s="19" t="s">
        <v>22</v>
      </c>
      <c r="D1524" s="37">
        <v>45900</v>
      </c>
      <c r="E1524" s="31">
        <v>35419</v>
      </c>
      <c r="F1524" s="31" t="s">
        <v>990</v>
      </c>
      <c r="G1524" s="31">
        <v>3560</v>
      </c>
      <c r="H1524" s="31" t="s">
        <v>160</v>
      </c>
      <c r="J1524" s="38">
        <v>0</v>
      </c>
    </row>
    <row r="1525" spans="1:10" x14ac:dyDescent="0.35">
      <c r="A1525" s="31">
        <v>762</v>
      </c>
      <c r="B1525" s="19" t="s">
        <v>17</v>
      </c>
      <c r="C1525" s="19"/>
      <c r="D1525" s="37">
        <v>45900</v>
      </c>
      <c r="E1525" s="31">
        <v>35420</v>
      </c>
      <c r="F1525" s="31" t="s">
        <v>990</v>
      </c>
      <c r="G1525" s="31">
        <v>3560</v>
      </c>
      <c r="H1525" s="31" t="s">
        <v>160</v>
      </c>
      <c r="I1525" s="38">
        <v>0</v>
      </c>
    </row>
    <row r="1526" spans="1:10" x14ac:dyDescent="0.35">
      <c r="A1526" s="31">
        <v>762.5</v>
      </c>
      <c r="B1526" s="19"/>
      <c r="C1526" s="19" t="s">
        <v>22</v>
      </c>
      <c r="D1526" s="37">
        <v>45900</v>
      </c>
      <c r="E1526" s="31">
        <v>35420</v>
      </c>
      <c r="F1526" s="31" t="s">
        <v>990</v>
      </c>
      <c r="G1526" s="31">
        <v>3560</v>
      </c>
      <c r="H1526" s="31" t="s">
        <v>160</v>
      </c>
      <c r="J1526" s="38">
        <v>0</v>
      </c>
    </row>
    <row r="1527" spans="1:10" x14ac:dyDescent="0.35">
      <c r="A1527" s="31">
        <v>763</v>
      </c>
      <c r="B1527" s="19" t="s">
        <v>17</v>
      </c>
      <c r="C1527" s="19"/>
      <c r="D1527" s="37">
        <v>45900</v>
      </c>
      <c r="E1527" s="31">
        <v>35421</v>
      </c>
      <c r="F1527" s="31" t="s">
        <v>990</v>
      </c>
      <c r="G1527" s="31">
        <v>3560</v>
      </c>
      <c r="H1527" s="31" t="s">
        <v>160</v>
      </c>
      <c r="I1527" s="38">
        <v>0</v>
      </c>
    </row>
    <row r="1528" spans="1:10" x14ac:dyDescent="0.35">
      <c r="A1528" s="31">
        <v>763.5</v>
      </c>
      <c r="B1528" s="19"/>
      <c r="C1528" s="19" t="s">
        <v>22</v>
      </c>
      <c r="D1528" s="37">
        <v>45900</v>
      </c>
      <c r="E1528" s="31">
        <v>35421</v>
      </c>
      <c r="F1528" s="31" t="s">
        <v>990</v>
      </c>
      <c r="G1528" s="31">
        <v>3560</v>
      </c>
      <c r="H1528" s="31" t="s">
        <v>160</v>
      </c>
      <c r="J1528" s="38">
        <v>0</v>
      </c>
    </row>
    <row r="1529" spans="1:10" x14ac:dyDescent="0.35">
      <c r="A1529" s="31">
        <v>764</v>
      </c>
      <c r="B1529" s="19" t="s">
        <v>17</v>
      </c>
      <c r="C1529" s="19"/>
      <c r="D1529" s="37">
        <v>45900</v>
      </c>
      <c r="E1529" s="31" t="s">
        <v>992</v>
      </c>
      <c r="F1529" s="31" t="s">
        <v>990</v>
      </c>
      <c r="G1529" s="31">
        <v>3560</v>
      </c>
      <c r="H1529" s="31" t="s">
        <v>160</v>
      </c>
      <c r="I1529" s="38">
        <v>0</v>
      </c>
    </row>
    <row r="1530" spans="1:10" x14ac:dyDescent="0.35">
      <c r="A1530" s="31">
        <v>764.5</v>
      </c>
      <c r="B1530" s="19"/>
      <c r="C1530" s="19" t="s">
        <v>22</v>
      </c>
      <c r="D1530" s="37">
        <v>45900</v>
      </c>
      <c r="E1530" s="31" t="s">
        <v>992</v>
      </c>
      <c r="F1530" s="31" t="s">
        <v>990</v>
      </c>
      <c r="G1530" s="31">
        <v>3560</v>
      </c>
      <c r="H1530" s="31" t="s">
        <v>160</v>
      </c>
      <c r="J1530" s="38">
        <v>0</v>
      </c>
    </row>
    <row r="1531" spans="1:10" x14ac:dyDescent="0.35">
      <c r="A1531" s="31">
        <v>765</v>
      </c>
      <c r="B1531" s="19" t="s">
        <v>17</v>
      </c>
      <c r="C1531" s="19"/>
      <c r="D1531" s="37">
        <v>45900</v>
      </c>
      <c r="E1531" s="31" t="s">
        <v>993</v>
      </c>
      <c r="F1531" s="31" t="s">
        <v>80</v>
      </c>
      <c r="G1531" s="31">
        <v>3351</v>
      </c>
      <c r="H1531" s="31" t="s">
        <v>160</v>
      </c>
      <c r="I1531" s="38">
        <v>52357.24</v>
      </c>
    </row>
    <row r="1532" spans="1:10" x14ac:dyDescent="0.35">
      <c r="A1532" s="31">
        <v>765.5</v>
      </c>
      <c r="B1532" s="19"/>
      <c r="C1532" s="19" t="s">
        <v>22</v>
      </c>
      <c r="D1532" s="37">
        <v>45900</v>
      </c>
      <c r="E1532" s="31" t="s">
        <v>993</v>
      </c>
      <c r="F1532" s="31" t="s">
        <v>80</v>
      </c>
      <c r="G1532" s="31">
        <v>3351</v>
      </c>
      <c r="H1532" s="31" t="s">
        <v>160</v>
      </c>
      <c r="J1532" s="38">
        <v>52357.24</v>
      </c>
    </row>
    <row r="1533" spans="1:10" x14ac:dyDescent="0.35">
      <c r="A1533" s="31">
        <v>766</v>
      </c>
      <c r="B1533" s="19" t="s">
        <v>17</v>
      </c>
      <c r="C1533" s="19"/>
      <c r="D1533" s="37">
        <v>45900</v>
      </c>
      <c r="E1533" s="31">
        <v>35434</v>
      </c>
      <c r="F1533" s="31" t="s">
        <v>80</v>
      </c>
      <c r="G1533" s="31">
        <v>3351</v>
      </c>
      <c r="H1533" s="31" t="s">
        <v>160</v>
      </c>
      <c r="I1533" s="38">
        <v>13892.579999999998</v>
      </c>
    </row>
    <row r="1534" spans="1:10" x14ac:dyDescent="0.35">
      <c r="A1534" s="31">
        <v>766.5</v>
      </c>
      <c r="B1534" s="19"/>
      <c r="C1534" s="19" t="s">
        <v>22</v>
      </c>
      <c r="D1534" s="37">
        <v>45900</v>
      </c>
      <c r="E1534" s="31">
        <v>35434</v>
      </c>
      <c r="F1534" s="31" t="s">
        <v>80</v>
      </c>
      <c r="G1534" s="31">
        <v>3351</v>
      </c>
      <c r="H1534" s="31" t="s">
        <v>160</v>
      </c>
      <c r="J1534" s="38">
        <v>13892.579999999998</v>
      </c>
    </row>
    <row r="1535" spans="1:10" x14ac:dyDescent="0.35">
      <c r="A1535" s="31">
        <v>767</v>
      </c>
      <c r="B1535" s="19" t="s">
        <v>17</v>
      </c>
      <c r="C1535" s="19"/>
      <c r="D1535" s="37">
        <v>45900</v>
      </c>
      <c r="E1535" s="31" t="s">
        <v>994</v>
      </c>
      <c r="F1535" s="31" t="s">
        <v>80</v>
      </c>
      <c r="G1535" s="31">
        <v>3351</v>
      </c>
      <c r="H1535" s="31" t="s">
        <v>160</v>
      </c>
      <c r="I1535" s="38">
        <v>946.14</v>
      </c>
    </row>
    <row r="1536" spans="1:10" x14ac:dyDescent="0.35">
      <c r="A1536" s="31">
        <v>767.5</v>
      </c>
      <c r="B1536" s="19"/>
      <c r="C1536" s="19" t="s">
        <v>22</v>
      </c>
      <c r="D1536" s="37">
        <v>45900</v>
      </c>
      <c r="E1536" s="31" t="s">
        <v>994</v>
      </c>
      <c r="F1536" s="31" t="s">
        <v>80</v>
      </c>
      <c r="G1536" s="31">
        <v>3351</v>
      </c>
      <c r="H1536" s="31" t="s">
        <v>160</v>
      </c>
      <c r="J1536" s="38">
        <v>946.14</v>
      </c>
    </row>
    <row r="1537" spans="1:10" x14ac:dyDescent="0.35">
      <c r="A1537" s="31">
        <v>768</v>
      </c>
      <c r="B1537" s="19" t="s">
        <v>17</v>
      </c>
      <c r="C1537" s="19"/>
      <c r="D1537" s="37">
        <v>45900</v>
      </c>
      <c r="E1537" s="31" t="s">
        <v>995</v>
      </c>
      <c r="F1537" s="31" t="s">
        <v>80</v>
      </c>
      <c r="G1537" s="31">
        <v>3351</v>
      </c>
      <c r="H1537" s="31" t="s">
        <v>160</v>
      </c>
      <c r="I1537" s="38">
        <v>332.38</v>
      </c>
    </row>
    <row r="1538" spans="1:10" x14ac:dyDescent="0.35">
      <c r="A1538" s="31">
        <v>768.5</v>
      </c>
      <c r="B1538" s="19"/>
      <c r="C1538" s="19" t="s">
        <v>22</v>
      </c>
      <c r="D1538" s="37">
        <v>45900</v>
      </c>
      <c r="E1538" s="31" t="s">
        <v>995</v>
      </c>
      <c r="F1538" s="31" t="s">
        <v>80</v>
      </c>
      <c r="G1538" s="31">
        <v>3351</v>
      </c>
      <c r="H1538" s="31" t="s">
        <v>160</v>
      </c>
      <c r="J1538" s="38">
        <v>332.38</v>
      </c>
    </row>
    <row r="1539" spans="1:10" x14ac:dyDescent="0.35">
      <c r="A1539" s="31">
        <v>769</v>
      </c>
      <c r="B1539" s="19" t="s">
        <v>17</v>
      </c>
      <c r="C1539" s="19"/>
      <c r="D1539" s="37">
        <v>45900</v>
      </c>
      <c r="E1539" s="31" t="s">
        <v>996</v>
      </c>
      <c r="F1539" s="31" t="s">
        <v>80</v>
      </c>
      <c r="G1539" s="31">
        <v>3351</v>
      </c>
      <c r="H1539" s="31" t="s">
        <v>160</v>
      </c>
      <c r="I1539" s="38">
        <v>0</v>
      </c>
    </row>
    <row r="1540" spans="1:10" x14ac:dyDescent="0.35">
      <c r="A1540" s="31">
        <v>769.5</v>
      </c>
      <c r="B1540" s="19"/>
      <c r="C1540" s="19" t="s">
        <v>22</v>
      </c>
      <c r="D1540" s="37">
        <v>45900</v>
      </c>
      <c r="E1540" s="31" t="s">
        <v>996</v>
      </c>
      <c r="F1540" s="31" t="s">
        <v>80</v>
      </c>
      <c r="G1540" s="31">
        <v>3351</v>
      </c>
      <c r="H1540" s="31" t="s">
        <v>160</v>
      </c>
      <c r="J1540" s="38">
        <v>0</v>
      </c>
    </row>
    <row r="1541" spans="1:10" x14ac:dyDescent="0.35">
      <c r="A1541" s="31">
        <v>770</v>
      </c>
      <c r="B1541" s="19" t="s">
        <v>17</v>
      </c>
      <c r="C1541" s="19"/>
      <c r="D1541" s="37">
        <v>45900</v>
      </c>
      <c r="E1541" s="31" t="s">
        <v>997</v>
      </c>
      <c r="F1541" s="31" t="s">
        <v>80</v>
      </c>
      <c r="G1541" s="31">
        <v>3351</v>
      </c>
      <c r="H1541" s="31" t="s">
        <v>160</v>
      </c>
      <c r="I1541" s="38">
        <v>43962.13</v>
      </c>
    </row>
    <row r="1542" spans="1:10" x14ac:dyDescent="0.35">
      <c r="A1542" s="31">
        <v>770.5</v>
      </c>
      <c r="B1542" s="19"/>
      <c r="C1542" s="19" t="s">
        <v>22</v>
      </c>
      <c r="D1542" s="37">
        <v>45900</v>
      </c>
      <c r="E1542" s="31" t="s">
        <v>997</v>
      </c>
      <c r="F1542" s="31" t="s">
        <v>80</v>
      </c>
      <c r="G1542" s="31">
        <v>3351</v>
      </c>
      <c r="H1542" s="31" t="s">
        <v>160</v>
      </c>
      <c r="J1542" s="38">
        <v>43962.13</v>
      </c>
    </row>
    <row r="1543" spans="1:10" x14ac:dyDescent="0.35">
      <c r="A1543" s="31">
        <v>771</v>
      </c>
      <c r="B1543" s="19" t="s">
        <v>17</v>
      </c>
      <c r="C1543" s="19"/>
      <c r="D1543" s="37">
        <v>45900</v>
      </c>
      <c r="E1543" s="31" t="s">
        <v>998</v>
      </c>
      <c r="F1543" s="31" t="s">
        <v>80</v>
      </c>
      <c r="G1543" s="31">
        <v>3351</v>
      </c>
      <c r="H1543" s="31" t="s">
        <v>160</v>
      </c>
      <c r="I1543" s="38">
        <v>435.65</v>
      </c>
    </row>
    <row r="1544" spans="1:10" x14ac:dyDescent="0.35">
      <c r="A1544" s="31">
        <v>771.5</v>
      </c>
      <c r="B1544" s="19"/>
      <c r="C1544" s="19" t="s">
        <v>22</v>
      </c>
      <c r="D1544" s="37">
        <v>45900</v>
      </c>
      <c r="E1544" s="31" t="s">
        <v>998</v>
      </c>
      <c r="F1544" s="31" t="s">
        <v>80</v>
      </c>
      <c r="G1544" s="31">
        <v>3351</v>
      </c>
      <c r="H1544" s="31" t="s">
        <v>160</v>
      </c>
      <c r="J1544" s="38">
        <v>435.65</v>
      </c>
    </row>
    <row r="1545" spans="1:10" x14ac:dyDescent="0.35">
      <c r="A1545" s="31">
        <v>772</v>
      </c>
      <c r="B1545" s="19" t="s">
        <v>17</v>
      </c>
      <c r="C1545" s="19"/>
      <c r="D1545" s="37">
        <v>45900</v>
      </c>
      <c r="E1545" s="31" t="s">
        <v>999</v>
      </c>
      <c r="F1545" s="31" t="s">
        <v>80</v>
      </c>
      <c r="G1545" s="31">
        <v>3351</v>
      </c>
      <c r="H1545" s="31" t="s">
        <v>160</v>
      </c>
      <c r="I1545" s="38">
        <v>1342.06</v>
      </c>
    </row>
    <row r="1546" spans="1:10" x14ac:dyDescent="0.35">
      <c r="A1546" s="31">
        <v>772.5</v>
      </c>
      <c r="B1546" s="19"/>
      <c r="C1546" s="19" t="s">
        <v>22</v>
      </c>
      <c r="D1546" s="37">
        <v>45900</v>
      </c>
      <c r="E1546" s="31" t="s">
        <v>999</v>
      </c>
      <c r="F1546" s="31" t="s">
        <v>80</v>
      </c>
      <c r="G1546" s="31">
        <v>3351</v>
      </c>
      <c r="H1546" s="31" t="s">
        <v>160</v>
      </c>
      <c r="J1546" s="38">
        <v>1342.06</v>
      </c>
    </row>
    <row r="1547" spans="1:10" x14ac:dyDescent="0.35">
      <c r="A1547" s="31">
        <v>773</v>
      </c>
      <c r="B1547" s="19" t="s">
        <v>17</v>
      </c>
      <c r="C1547" s="19"/>
      <c r="D1547" s="37">
        <v>45900</v>
      </c>
      <c r="E1547" s="31" t="s">
        <v>1000</v>
      </c>
      <c r="F1547" s="31" t="s">
        <v>80</v>
      </c>
      <c r="G1547" s="31">
        <v>3351</v>
      </c>
      <c r="H1547" s="31" t="s">
        <v>160</v>
      </c>
      <c r="I1547" s="38">
        <v>3793.79</v>
      </c>
    </row>
    <row r="1548" spans="1:10" x14ac:dyDescent="0.35">
      <c r="A1548" s="31">
        <v>773.5</v>
      </c>
      <c r="B1548" s="19"/>
      <c r="C1548" s="19" t="s">
        <v>22</v>
      </c>
      <c r="D1548" s="37">
        <v>45900</v>
      </c>
      <c r="E1548" s="31" t="s">
        <v>1000</v>
      </c>
      <c r="F1548" s="31" t="s">
        <v>80</v>
      </c>
      <c r="G1548" s="31">
        <v>3351</v>
      </c>
      <c r="H1548" s="31" t="s">
        <v>160</v>
      </c>
      <c r="J1548" s="38">
        <v>3793.79</v>
      </c>
    </row>
    <row r="1549" spans="1:10" x14ac:dyDescent="0.35">
      <c r="A1549" s="31">
        <v>774</v>
      </c>
      <c r="B1549" s="19" t="s">
        <v>17</v>
      </c>
      <c r="C1549" s="19"/>
      <c r="D1549" s="37">
        <v>45900</v>
      </c>
      <c r="E1549" s="31" t="s">
        <v>1001</v>
      </c>
      <c r="F1549" s="31" t="s">
        <v>80</v>
      </c>
      <c r="G1549" s="31">
        <v>3351</v>
      </c>
      <c r="H1549" s="31" t="s">
        <v>160</v>
      </c>
      <c r="I1549" s="38">
        <v>0</v>
      </c>
    </row>
    <row r="1550" spans="1:10" x14ac:dyDescent="0.35">
      <c r="A1550" s="31">
        <v>774.5</v>
      </c>
      <c r="B1550" s="19"/>
      <c r="C1550" s="19" t="s">
        <v>22</v>
      </c>
      <c r="D1550" s="37">
        <v>45900</v>
      </c>
      <c r="E1550" s="31" t="s">
        <v>1001</v>
      </c>
      <c r="F1550" s="31" t="s">
        <v>80</v>
      </c>
      <c r="G1550" s="31">
        <v>3351</v>
      </c>
      <c r="H1550" s="31" t="s">
        <v>160</v>
      </c>
      <c r="J1550" s="38">
        <v>0</v>
      </c>
    </row>
    <row r="1551" spans="1:10" x14ac:dyDescent="0.35">
      <c r="A1551" s="31">
        <v>775</v>
      </c>
      <c r="B1551" s="19" t="s">
        <v>17</v>
      </c>
      <c r="C1551" s="19"/>
      <c r="D1551" s="37">
        <v>45900</v>
      </c>
      <c r="E1551" s="31" t="s">
        <v>1002</v>
      </c>
      <c r="F1551" s="31" t="s">
        <v>80</v>
      </c>
      <c r="G1551" s="31">
        <v>3351</v>
      </c>
      <c r="H1551" s="31" t="s">
        <v>160</v>
      </c>
      <c r="I1551" s="38">
        <v>9777.1999999999989</v>
      </c>
    </row>
    <row r="1552" spans="1:10" x14ac:dyDescent="0.35">
      <c r="A1552" s="31">
        <v>775.5</v>
      </c>
      <c r="B1552" s="19"/>
      <c r="C1552" s="19" t="s">
        <v>22</v>
      </c>
      <c r="D1552" s="37">
        <v>45900</v>
      </c>
      <c r="E1552" s="31" t="s">
        <v>1002</v>
      </c>
      <c r="F1552" s="31" t="s">
        <v>80</v>
      </c>
      <c r="G1552" s="31">
        <v>3351</v>
      </c>
      <c r="H1552" s="31" t="s">
        <v>160</v>
      </c>
      <c r="J1552" s="38">
        <v>9777.1999999999989</v>
      </c>
    </row>
    <row r="1553" spans="1:10" x14ac:dyDescent="0.35">
      <c r="A1553" s="31">
        <v>776</v>
      </c>
      <c r="B1553" s="19" t="s">
        <v>17</v>
      </c>
      <c r="C1553" s="19"/>
      <c r="D1553" s="37">
        <v>45900</v>
      </c>
      <c r="E1553" s="31" t="s">
        <v>1003</v>
      </c>
      <c r="F1553" s="31" t="s">
        <v>447</v>
      </c>
      <c r="G1553" s="31">
        <v>569</v>
      </c>
      <c r="H1553" s="31" t="s">
        <v>160</v>
      </c>
      <c r="I1553" s="38">
        <v>9000</v>
      </c>
    </row>
    <row r="1554" spans="1:10" x14ac:dyDescent="0.35">
      <c r="A1554" s="31">
        <v>776.5</v>
      </c>
      <c r="B1554" s="19"/>
      <c r="C1554" s="19" t="s">
        <v>22</v>
      </c>
      <c r="D1554" s="37">
        <v>45900</v>
      </c>
      <c r="E1554" s="31" t="s">
        <v>1003</v>
      </c>
      <c r="F1554" s="31" t="s">
        <v>447</v>
      </c>
      <c r="G1554" s="31">
        <v>569</v>
      </c>
      <c r="H1554" s="31" t="s">
        <v>160</v>
      </c>
      <c r="J1554" s="38">
        <v>9000</v>
      </c>
    </row>
    <row r="1555" spans="1:10" x14ac:dyDescent="0.35">
      <c r="A1555" s="31">
        <v>777</v>
      </c>
      <c r="B1555" s="19" t="s">
        <v>17</v>
      </c>
      <c r="C1555" s="19"/>
      <c r="D1555" s="37">
        <v>45900</v>
      </c>
      <c r="E1555" s="31" t="s">
        <v>1004</v>
      </c>
      <c r="F1555" s="31" t="s">
        <v>449</v>
      </c>
      <c r="G1555" s="31">
        <v>3542</v>
      </c>
      <c r="H1555" s="31" t="s">
        <v>160</v>
      </c>
      <c r="I1555" s="38">
        <v>0</v>
      </c>
    </row>
    <row r="1556" spans="1:10" x14ac:dyDescent="0.35">
      <c r="A1556" s="31">
        <v>777.5</v>
      </c>
      <c r="B1556" s="19"/>
      <c r="C1556" s="19" t="s">
        <v>22</v>
      </c>
      <c r="D1556" s="37">
        <v>45900</v>
      </c>
      <c r="E1556" s="31" t="s">
        <v>1004</v>
      </c>
      <c r="F1556" s="31" t="s">
        <v>449</v>
      </c>
      <c r="G1556" s="31">
        <v>3542</v>
      </c>
      <c r="H1556" s="31" t="s">
        <v>160</v>
      </c>
      <c r="J1556" s="38">
        <v>0</v>
      </c>
    </row>
    <row r="1557" spans="1:10" x14ac:dyDescent="0.35">
      <c r="A1557" s="31">
        <v>778</v>
      </c>
      <c r="B1557" s="19" t="s">
        <v>17</v>
      </c>
      <c r="C1557" s="19"/>
      <c r="D1557" s="37">
        <v>45900</v>
      </c>
      <c r="E1557" s="31">
        <v>35494</v>
      </c>
      <c r="F1557" s="31" t="s">
        <v>449</v>
      </c>
      <c r="G1557" s="31">
        <v>3542</v>
      </c>
      <c r="H1557" s="31" t="s">
        <v>160</v>
      </c>
      <c r="I1557" s="38">
        <v>94</v>
      </c>
    </row>
    <row r="1558" spans="1:10" x14ac:dyDescent="0.35">
      <c r="A1558" s="31">
        <v>778.5</v>
      </c>
      <c r="B1558" s="19"/>
      <c r="C1558" s="19" t="s">
        <v>22</v>
      </c>
      <c r="D1558" s="37">
        <v>45900</v>
      </c>
      <c r="E1558" s="31">
        <v>35494</v>
      </c>
      <c r="F1558" s="31" t="s">
        <v>449</v>
      </c>
      <c r="G1558" s="31">
        <v>3542</v>
      </c>
      <c r="H1558" s="31" t="s">
        <v>160</v>
      </c>
      <c r="J1558" s="38">
        <v>94</v>
      </c>
    </row>
    <row r="1559" spans="1:10" x14ac:dyDescent="0.35">
      <c r="A1559" s="31">
        <v>779</v>
      </c>
      <c r="B1559" s="19" t="s">
        <v>17</v>
      </c>
      <c r="C1559" s="19"/>
      <c r="D1559" s="37">
        <v>45900</v>
      </c>
      <c r="E1559" s="31" t="s">
        <v>1005</v>
      </c>
      <c r="F1559" s="31" t="s">
        <v>453</v>
      </c>
      <c r="G1559" s="31">
        <v>3400</v>
      </c>
      <c r="H1559" s="31" t="s">
        <v>160</v>
      </c>
      <c r="I1559" s="38">
        <v>1073.28</v>
      </c>
    </row>
    <row r="1560" spans="1:10" x14ac:dyDescent="0.35">
      <c r="A1560" s="31">
        <v>779.5</v>
      </c>
      <c r="B1560" s="19"/>
      <c r="C1560" s="19" t="s">
        <v>22</v>
      </c>
      <c r="D1560" s="37">
        <v>45900</v>
      </c>
      <c r="E1560" s="31" t="s">
        <v>1005</v>
      </c>
      <c r="F1560" s="31" t="s">
        <v>453</v>
      </c>
      <c r="G1560" s="31">
        <v>3400</v>
      </c>
      <c r="H1560" s="31" t="s">
        <v>160</v>
      </c>
      <c r="J1560" s="38">
        <v>1073.28</v>
      </c>
    </row>
    <row r="1561" spans="1:10" x14ac:dyDescent="0.35">
      <c r="A1561" s="31">
        <v>780</v>
      </c>
      <c r="B1561" s="19" t="s">
        <v>17</v>
      </c>
      <c r="C1561" s="19"/>
      <c r="D1561" s="37">
        <v>45900</v>
      </c>
      <c r="E1561" s="31" t="s">
        <v>1006</v>
      </c>
      <c r="F1561" s="31" t="s">
        <v>453</v>
      </c>
      <c r="G1561" s="31">
        <v>3400</v>
      </c>
      <c r="H1561" s="31" t="s">
        <v>160</v>
      </c>
      <c r="I1561" s="38">
        <v>1505.52</v>
      </c>
    </row>
    <row r="1562" spans="1:10" x14ac:dyDescent="0.35">
      <c r="A1562" s="31">
        <v>780.5</v>
      </c>
      <c r="B1562" s="19"/>
      <c r="C1562" s="19" t="s">
        <v>22</v>
      </c>
      <c r="D1562" s="37">
        <v>45900</v>
      </c>
      <c r="E1562" s="31" t="s">
        <v>1006</v>
      </c>
      <c r="F1562" s="31" t="s">
        <v>453</v>
      </c>
      <c r="G1562" s="31">
        <v>3400</v>
      </c>
      <c r="H1562" s="31" t="s">
        <v>160</v>
      </c>
      <c r="J1562" s="38">
        <v>1505.52</v>
      </c>
    </row>
    <row r="1563" spans="1:10" x14ac:dyDescent="0.35">
      <c r="A1563" s="31">
        <v>781</v>
      </c>
      <c r="B1563" s="19" t="s">
        <v>17</v>
      </c>
      <c r="C1563" s="19"/>
      <c r="D1563" s="37">
        <v>45900</v>
      </c>
      <c r="E1563" s="31" t="s">
        <v>1007</v>
      </c>
      <c r="F1563" s="31" t="s">
        <v>453</v>
      </c>
      <c r="G1563" s="31">
        <v>3400</v>
      </c>
      <c r="H1563" s="31" t="s">
        <v>160</v>
      </c>
      <c r="I1563" s="38">
        <v>20938.5</v>
      </c>
    </row>
    <row r="1564" spans="1:10" x14ac:dyDescent="0.35">
      <c r="A1564" s="31">
        <v>781.5</v>
      </c>
      <c r="B1564" s="19"/>
      <c r="C1564" s="19" t="s">
        <v>22</v>
      </c>
      <c r="D1564" s="37">
        <v>45900</v>
      </c>
      <c r="E1564" s="31" t="s">
        <v>1007</v>
      </c>
      <c r="F1564" s="31" t="s">
        <v>453</v>
      </c>
      <c r="G1564" s="31">
        <v>3400</v>
      </c>
      <c r="H1564" s="31" t="s">
        <v>160</v>
      </c>
      <c r="J1564" s="38">
        <v>20938.5</v>
      </c>
    </row>
    <row r="1565" spans="1:10" x14ac:dyDescent="0.35">
      <c r="A1565" s="31">
        <v>782</v>
      </c>
      <c r="B1565" s="19" t="s">
        <v>17</v>
      </c>
      <c r="C1565" s="19"/>
      <c r="D1565" s="37">
        <v>45900</v>
      </c>
      <c r="E1565" s="31" t="s">
        <v>1008</v>
      </c>
      <c r="F1565" s="31" t="s">
        <v>453</v>
      </c>
      <c r="G1565" s="31">
        <v>3400</v>
      </c>
      <c r="H1565" s="31" t="s">
        <v>160</v>
      </c>
      <c r="I1565" s="38">
        <v>45</v>
      </c>
    </row>
    <row r="1566" spans="1:10" x14ac:dyDescent="0.35">
      <c r="A1566" s="31">
        <v>782.5</v>
      </c>
      <c r="B1566" s="19"/>
      <c r="C1566" s="19" t="s">
        <v>22</v>
      </c>
      <c r="D1566" s="37">
        <v>45900</v>
      </c>
      <c r="E1566" s="31" t="s">
        <v>1008</v>
      </c>
      <c r="F1566" s="31" t="s">
        <v>453</v>
      </c>
      <c r="G1566" s="31">
        <v>3400</v>
      </c>
      <c r="H1566" s="31" t="s">
        <v>160</v>
      </c>
      <c r="J1566" s="38">
        <v>45</v>
      </c>
    </row>
    <row r="1567" spans="1:10" x14ac:dyDescent="0.35">
      <c r="A1567" s="31">
        <v>783</v>
      </c>
      <c r="B1567" s="19" t="s">
        <v>17</v>
      </c>
      <c r="C1567" s="19"/>
      <c r="D1567" s="37">
        <v>45900</v>
      </c>
      <c r="E1567" s="31" t="s">
        <v>1009</v>
      </c>
      <c r="F1567" s="31" t="s">
        <v>453</v>
      </c>
      <c r="G1567" s="31">
        <v>3400</v>
      </c>
      <c r="H1567" s="31" t="s">
        <v>160</v>
      </c>
      <c r="I1567" s="38">
        <v>0</v>
      </c>
    </row>
    <row r="1568" spans="1:10" x14ac:dyDescent="0.35">
      <c r="A1568" s="31">
        <v>783.5</v>
      </c>
      <c r="B1568" s="19"/>
      <c r="C1568" s="19" t="s">
        <v>22</v>
      </c>
      <c r="D1568" s="37">
        <v>45900</v>
      </c>
      <c r="E1568" s="31" t="s">
        <v>1009</v>
      </c>
      <c r="F1568" s="31" t="s">
        <v>453</v>
      </c>
      <c r="G1568" s="31">
        <v>3400</v>
      </c>
      <c r="H1568" s="31" t="s">
        <v>160</v>
      </c>
      <c r="J1568" s="38">
        <v>0</v>
      </c>
    </row>
    <row r="1569" spans="1:10" x14ac:dyDescent="0.35">
      <c r="A1569" s="31">
        <v>784</v>
      </c>
      <c r="B1569" s="19" t="s">
        <v>17</v>
      </c>
      <c r="C1569" s="19"/>
      <c r="D1569" s="37">
        <v>45900</v>
      </c>
      <c r="E1569" s="31" t="s">
        <v>1010</v>
      </c>
      <c r="F1569" s="31" t="s">
        <v>453</v>
      </c>
      <c r="G1569" s="31">
        <v>3400</v>
      </c>
      <c r="H1569" s="31" t="s">
        <v>160</v>
      </c>
      <c r="I1569" s="38">
        <v>2044.7199999999998</v>
      </c>
    </row>
    <row r="1570" spans="1:10" x14ac:dyDescent="0.35">
      <c r="A1570" s="31">
        <v>784.5</v>
      </c>
      <c r="B1570" s="19"/>
      <c r="C1570" s="19" t="s">
        <v>22</v>
      </c>
      <c r="D1570" s="37">
        <v>45900</v>
      </c>
      <c r="E1570" s="31" t="s">
        <v>1010</v>
      </c>
      <c r="F1570" s="31" t="s">
        <v>453</v>
      </c>
      <c r="G1570" s="31">
        <v>3400</v>
      </c>
      <c r="H1570" s="31" t="s">
        <v>160</v>
      </c>
      <c r="J1570" s="38">
        <v>2044.7199999999998</v>
      </c>
    </row>
    <row r="1571" spans="1:10" x14ac:dyDescent="0.35">
      <c r="A1571" s="31">
        <v>785</v>
      </c>
      <c r="B1571" s="19" t="s">
        <v>17</v>
      </c>
      <c r="C1571" s="19"/>
      <c r="D1571" s="37">
        <v>45900</v>
      </c>
      <c r="E1571" s="31" t="s">
        <v>1011</v>
      </c>
      <c r="F1571" s="31" t="s">
        <v>453</v>
      </c>
      <c r="G1571" s="31">
        <v>3400</v>
      </c>
      <c r="H1571" s="31" t="s">
        <v>160</v>
      </c>
      <c r="I1571" s="38">
        <v>7436.4</v>
      </c>
    </row>
    <row r="1572" spans="1:10" x14ac:dyDescent="0.35">
      <c r="A1572" s="31">
        <v>785.5</v>
      </c>
      <c r="B1572" s="19"/>
      <c r="C1572" s="19" t="s">
        <v>22</v>
      </c>
      <c r="D1572" s="37">
        <v>45900</v>
      </c>
      <c r="E1572" s="31" t="s">
        <v>1011</v>
      </c>
      <c r="F1572" s="31" t="s">
        <v>453</v>
      </c>
      <c r="G1572" s="31">
        <v>3400</v>
      </c>
      <c r="H1572" s="31" t="s">
        <v>160</v>
      </c>
      <c r="J1572" s="38">
        <v>7436.4</v>
      </c>
    </row>
    <row r="1573" spans="1:10" x14ac:dyDescent="0.35">
      <c r="A1573" s="31">
        <v>786</v>
      </c>
      <c r="B1573" s="19" t="s">
        <v>17</v>
      </c>
      <c r="C1573" s="19"/>
      <c r="D1573" s="37">
        <v>45900</v>
      </c>
      <c r="E1573" s="31" t="s">
        <v>1012</v>
      </c>
      <c r="F1573" s="31" t="s">
        <v>453</v>
      </c>
      <c r="G1573" s="31">
        <v>3400</v>
      </c>
      <c r="H1573" s="31" t="s">
        <v>160</v>
      </c>
      <c r="I1573" s="38">
        <v>24.28</v>
      </c>
    </row>
    <row r="1574" spans="1:10" x14ac:dyDescent="0.35">
      <c r="A1574" s="31">
        <v>786.5</v>
      </c>
      <c r="B1574" s="19"/>
      <c r="C1574" s="19" t="s">
        <v>22</v>
      </c>
      <c r="D1574" s="37">
        <v>45900</v>
      </c>
      <c r="E1574" s="31" t="s">
        <v>1012</v>
      </c>
      <c r="F1574" s="31" t="s">
        <v>453</v>
      </c>
      <c r="G1574" s="31">
        <v>3400</v>
      </c>
      <c r="H1574" s="31" t="s">
        <v>160</v>
      </c>
      <c r="J1574" s="38">
        <v>24.28</v>
      </c>
    </row>
    <row r="1575" spans="1:10" x14ac:dyDescent="0.35">
      <c r="A1575" s="31">
        <v>787</v>
      </c>
      <c r="B1575" s="19" t="s">
        <v>17</v>
      </c>
      <c r="C1575" s="19"/>
      <c r="D1575" s="37">
        <v>45900</v>
      </c>
      <c r="E1575" s="31" t="s">
        <v>1013</v>
      </c>
      <c r="F1575" s="31" t="s">
        <v>453</v>
      </c>
      <c r="G1575" s="31">
        <v>3400</v>
      </c>
      <c r="H1575" s="31" t="s">
        <v>160</v>
      </c>
      <c r="I1575" s="38">
        <v>2101.1999999999998</v>
      </c>
    </row>
    <row r="1576" spans="1:10" x14ac:dyDescent="0.35">
      <c r="A1576" s="31">
        <v>787.5</v>
      </c>
      <c r="B1576" s="19"/>
      <c r="C1576" s="19" t="s">
        <v>22</v>
      </c>
      <c r="D1576" s="37">
        <v>45900</v>
      </c>
      <c r="E1576" s="31" t="s">
        <v>1013</v>
      </c>
      <c r="F1576" s="31" t="s">
        <v>453</v>
      </c>
      <c r="G1576" s="31">
        <v>3400</v>
      </c>
      <c r="H1576" s="31" t="s">
        <v>160</v>
      </c>
      <c r="J1576" s="38">
        <v>2101.1999999999998</v>
      </c>
    </row>
    <row r="1577" spans="1:10" x14ac:dyDescent="0.35">
      <c r="A1577" s="31">
        <v>788</v>
      </c>
      <c r="B1577" s="19" t="s">
        <v>17</v>
      </c>
      <c r="C1577" s="19"/>
      <c r="D1577" s="37">
        <v>45900</v>
      </c>
      <c r="E1577" s="31" t="s">
        <v>1014</v>
      </c>
      <c r="F1577" s="31" t="s">
        <v>453</v>
      </c>
      <c r="G1577" s="31">
        <v>3400</v>
      </c>
      <c r="H1577" s="31" t="s">
        <v>160</v>
      </c>
      <c r="I1577" s="38">
        <v>727.28</v>
      </c>
    </row>
    <row r="1578" spans="1:10" x14ac:dyDescent="0.35">
      <c r="A1578" s="31">
        <v>788.5</v>
      </c>
      <c r="B1578" s="19"/>
      <c r="C1578" s="19" t="s">
        <v>22</v>
      </c>
      <c r="D1578" s="37">
        <v>45900</v>
      </c>
      <c r="E1578" s="31" t="s">
        <v>1014</v>
      </c>
      <c r="F1578" s="31" t="s">
        <v>453</v>
      </c>
      <c r="G1578" s="31">
        <v>3400</v>
      </c>
      <c r="H1578" s="31" t="s">
        <v>160</v>
      </c>
      <c r="J1578" s="38">
        <v>727.28</v>
      </c>
    </row>
    <row r="1579" spans="1:10" x14ac:dyDescent="0.35">
      <c r="A1579" s="31">
        <v>789</v>
      </c>
      <c r="B1579" s="19" t="s">
        <v>17</v>
      </c>
      <c r="C1579" s="19"/>
      <c r="D1579" s="37">
        <v>45900</v>
      </c>
      <c r="E1579" s="31" t="s">
        <v>1015</v>
      </c>
      <c r="F1579" s="31" t="s">
        <v>453</v>
      </c>
      <c r="G1579" s="31">
        <v>3400</v>
      </c>
      <c r="H1579" s="31" t="s">
        <v>160</v>
      </c>
      <c r="I1579" s="38">
        <v>1873.33</v>
      </c>
    </row>
    <row r="1580" spans="1:10" x14ac:dyDescent="0.35">
      <c r="A1580" s="31">
        <v>789.5</v>
      </c>
      <c r="B1580" s="19"/>
      <c r="C1580" s="19" t="s">
        <v>22</v>
      </c>
      <c r="D1580" s="37">
        <v>45900</v>
      </c>
      <c r="E1580" s="31" t="s">
        <v>1015</v>
      </c>
      <c r="F1580" s="31" t="s">
        <v>453</v>
      </c>
      <c r="G1580" s="31">
        <v>3400</v>
      </c>
      <c r="H1580" s="31" t="s">
        <v>160</v>
      </c>
      <c r="J1580" s="38">
        <v>1873.33</v>
      </c>
    </row>
    <row r="1581" spans="1:10" x14ac:dyDescent="0.35">
      <c r="A1581" s="31">
        <v>790</v>
      </c>
      <c r="B1581" s="19" t="s">
        <v>17</v>
      </c>
      <c r="C1581" s="19"/>
      <c r="D1581" s="37">
        <v>45900</v>
      </c>
      <c r="E1581" s="31" t="s">
        <v>1016</v>
      </c>
      <c r="F1581" s="31" t="s">
        <v>134</v>
      </c>
      <c r="G1581" s="31">
        <v>3314</v>
      </c>
      <c r="H1581" s="31" t="s">
        <v>160</v>
      </c>
      <c r="I1581" s="38">
        <v>2215.38</v>
      </c>
    </row>
    <row r="1582" spans="1:10" x14ac:dyDescent="0.35">
      <c r="A1582" s="31">
        <v>790.5</v>
      </c>
      <c r="B1582" s="19"/>
      <c r="C1582" s="19" t="s">
        <v>22</v>
      </c>
      <c r="D1582" s="37">
        <v>45900</v>
      </c>
      <c r="E1582" s="31" t="s">
        <v>1016</v>
      </c>
      <c r="F1582" s="31" t="s">
        <v>134</v>
      </c>
      <c r="G1582" s="31">
        <v>3314</v>
      </c>
      <c r="H1582" s="31" t="s">
        <v>160</v>
      </c>
      <c r="J1582" s="38">
        <v>2215.38</v>
      </c>
    </row>
    <row r="1583" spans="1:10" x14ac:dyDescent="0.35">
      <c r="A1583" s="31">
        <v>791</v>
      </c>
      <c r="B1583" s="19" t="s">
        <v>17</v>
      </c>
      <c r="C1583" s="19"/>
      <c r="D1583" s="37">
        <v>45900</v>
      </c>
      <c r="E1583" s="31" t="s">
        <v>1017</v>
      </c>
      <c r="F1583" s="31" t="s">
        <v>337</v>
      </c>
      <c r="G1583" s="31">
        <v>3389</v>
      </c>
      <c r="H1583" s="31" t="s">
        <v>160</v>
      </c>
      <c r="I1583" s="38">
        <v>36902.449999999997</v>
      </c>
    </row>
    <row r="1584" spans="1:10" x14ac:dyDescent="0.35">
      <c r="A1584" s="31">
        <v>791.5</v>
      </c>
      <c r="B1584" s="19"/>
      <c r="C1584" s="19" t="s">
        <v>22</v>
      </c>
      <c r="D1584" s="37">
        <v>45900</v>
      </c>
      <c r="E1584" s="31" t="s">
        <v>1017</v>
      </c>
      <c r="F1584" s="31" t="s">
        <v>337</v>
      </c>
      <c r="G1584" s="31">
        <v>3389</v>
      </c>
      <c r="H1584" s="31" t="s">
        <v>160</v>
      </c>
      <c r="J1584" s="38">
        <v>36902.449999999997</v>
      </c>
    </row>
    <row r="1585" spans="1:10" x14ac:dyDescent="0.35">
      <c r="A1585" s="31">
        <v>792</v>
      </c>
      <c r="B1585" s="19" t="s">
        <v>17</v>
      </c>
      <c r="C1585" s="19"/>
      <c r="D1585" s="37">
        <v>45900</v>
      </c>
      <c r="E1585" s="31" t="s">
        <v>1018</v>
      </c>
      <c r="F1585" s="31" t="s">
        <v>55</v>
      </c>
      <c r="G1585" s="31">
        <v>3335</v>
      </c>
      <c r="H1585" s="31" t="s">
        <v>160</v>
      </c>
      <c r="I1585" s="38">
        <v>43790.32</v>
      </c>
    </row>
    <row r="1586" spans="1:10" x14ac:dyDescent="0.35">
      <c r="A1586" s="31">
        <v>792.5</v>
      </c>
      <c r="B1586" s="19"/>
      <c r="C1586" s="19" t="s">
        <v>22</v>
      </c>
      <c r="D1586" s="37">
        <v>45900</v>
      </c>
      <c r="E1586" s="31" t="s">
        <v>1018</v>
      </c>
      <c r="F1586" s="31" t="s">
        <v>55</v>
      </c>
      <c r="G1586" s="31">
        <v>3335</v>
      </c>
      <c r="H1586" s="31" t="s">
        <v>160</v>
      </c>
      <c r="J1586" s="38">
        <v>43790.32</v>
      </c>
    </row>
    <row r="1587" spans="1:10" x14ac:dyDescent="0.35">
      <c r="A1587" s="31">
        <v>793</v>
      </c>
      <c r="B1587" s="19" t="s">
        <v>17</v>
      </c>
      <c r="C1587" s="19"/>
      <c r="D1587" s="37">
        <v>45900</v>
      </c>
      <c r="E1587" s="31" t="s">
        <v>1019</v>
      </c>
      <c r="F1587" s="31" t="s">
        <v>55</v>
      </c>
      <c r="G1587" s="31">
        <v>3335</v>
      </c>
      <c r="H1587" s="31" t="s">
        <v>160</v>
      </c>
      <c r="I1587" s="38">
        <v>302922.93</v>
      </c>
    </row>
    <row r="1588" spans="1:10" x14ac:dyDescent="0.35">
      <c r="A1588" s="31">
        <v>793.5</v>
      </c>
      <c r="B1588" s="19"/>
      <c r="C1588" s="19" t="s">
        <v>22</v>
      </c>
      <c r="D1588" s="37">
        <v>45900</v>
      </c>
      <c r="E1588" s="31" t="s">
        <v>1019</v>
      </c>
      <c r="F1588" s="31" t="s">
        <v>55</v>
      </c>
      <c r="G1588" s="31">
        <v>3335</v>
      </c>
      <c r="H1588" s="31" t="s">
        <v>160</v>
      </c>
      <c r="J1588" s="38">
        <v>302922.93</v>
      </c>
    </row>
    <row r="1589" spans="1:10" x14ac:dyDescent="0.35">
      <c r="A1589" s="31">
        <v>794</v>
      </c>
      <c r="B1589" s="19" t="s">
        <v>17</v>
      </c>
      <c r="C1589" s="19"/>
      <c r="D1589" s="37">
        <v>45900</v>
      </c>
      <c r="E1589" s="31" t="s">
        <v>1020</v>
      </c>
      <c r="F1589" s="31" t="s">
        <v>55</v>
      </c>
      <c r="G1589" s="31">
        <v>3335</v>
      </c>
      <c r="H1589" s="31" t="s">
        <v>160</v>
      </c>
      <c r="I1589" s="38">
        <v>72755.139999999985</v>
      </c>
    </row>
    <row r="1590" spans="1:10" x14ac:dyDescent="0.35">
      <c r="A1590" s="31">
        <v>794.5</v>
      </c>
      <c r="B1590" s="19"/>
      <c r="C1590" s="19" t="s">
        <v>22</v>
      </c>
      <c r="D1590" s="37">
        <v>45900</v>
      </c>
      <c r="E1590" s="31" t="s">
        <v>1020</v>
      </c>
      <c r="F1590" s="31" t="s">
        <v>55</v>
      </c>
      <c r="G1590" s="31">
        <v>3335</v>
      </c>
      <c r="H1590" s="31" t="s">
        <v>160</v>
      </c>
      <c r="J1590" s="38">
        <v>72755.139999999985</v>
      </c>
    </row>
    <row r="1591" spans="1:10" x14ac:dyDescent="0.35">
      <c r="A1591" s="31">
        <v>795</v>
      </c>
      <c r="B1591" s="19" t="s">
        <v>17</v>
      </c>
      <c r="C1591" s="19"/>
      <c r="D1591" s="37">
        <v>45900</v>
      </c>
      <c r="E1591" s="31">
        <v>35797</v>
      </c>
      <c r="F1591" s="31" t="s">
        <v>55</v>
      </c>
      <c r="G1591" s="31">
        <v>3335</v>
      </c>
      <c r="H1591" s="31" t="s">
        <v>160</v>
      </c>
      <c r="I1591" s="38">
        <v>32609.54</v>
      </c>
    </row>
    <row r="1592" spans="1:10" x14ac:dyDescent="0.35">
      <c r="A1592" s="31">
        <v>795.5</v>
      </c>
      <c r="B1592" s="19"/>
      <c r="C1592" s="19" t="s">
        <v>22</v>
      </c>
      <c r="D1592" s="37">
        <v>45900</v>
      </c>
      <c r="E1592" s="31">
        <v>35797</v>
      </c>
      <c r="F1592" s="31" t="s">
        <v>55</v>
      </c>
      <c r="G1592" s="31">
        <v>3335</v>
      </c>
      <c r="H1592" s="31" t="s">
        <v>160</v>
      </c>
      <c r="J1592" s="38">
        <v>32609.54</v>
      </c>
    </row>
    <row r="1593" spans="1:10" x14ac:dyDescent="0.35">
      <c r="A1593" s="31">
        <v>796</v>
      </c>
      <c r="B1593" s="19" t="s">
        <v>17</v>
      </c>
      <c r="C1593" s="19"/>
      <c r="D1593" s="37">
        <v>45900</v>
      </c>
      <c r="E1593" s="31">
        <v>35799</v>
      </c>
      <c r="F1593" s="31" t="s">
        <v>55</v>
      </c>
      <c r="G1593" s="31">
        <v>3335</v>
      </c>
      <c r="H1593" s="31" t="s">
        <v>160</v>
      </c>
      <c r="I1593" s="38">
        <v>0</v>
      </c>
    </row>
    <row r="1594" spans="1:10" x14ac:dyDescent="0.35">
      <c r="A1594" s="31">
        <v>796.5</v>
      </c>
      <c r="B1594" s="19"/>
      <c r="C1594" s="19" t="s">
        <v>22</v>
      </c>
      <c r="D1594" s="37">
        <v>45900</v>
      </c>
      <c r="E1594" s="31">
        <v>35799</v>
      </c>
      <c r="F1594" s="31" t="s">
        <v>55</v>
      </c>
      <c r="G1594" s="31">
        <v>3335</v>
      </c>
      <c r="H1594" s="31" t="s">
        <v>160</v>
      </c>
      <c r="J1594" s="38">
        <v>0</v>
      </c>
    </row>
    <row r="1595" spans="1:10" x14ac:dyDescent="0.35">
      <c r="A1595" s="31">
        <v>797</v>
      </c>
      <c r="B1595" s="19" t="s">
        <v>17</v>
      </c>
      <c r="C1595" s="19"/>
      <c r="D1595" s="37">
        <v>45900</v>
      </c>
      <c r="E1595" s="31" t="s">
        <v>1021</v>
      </c>
      <c r="F1595" s="31" t="s">
        <v>55</v>
      </c>
      <c r="G1595" s="31">
        <v>3335</v>
      </c>
      <c r="H1595" s="31" t="s">
        <v>160</v>
      </c>
      <c r="I1595" s="38">
        <v>43846.5</v>
      </c>
    </row>
    <row r="1596" spans="1:10" x14ac:dyDescent="0.35">
      <c r="A1596" s="31">
        <v>797.5</v>
      </c>
      <c r="B1596" s="19"/>
      <c r="C1596" s="19" t="s">
        <v>22</v>
      </c>
      <c r="D1596" s="37">
        <v>45900</v>
      </c>
      <c r="E1596" s="31" t="s">
        <v>1021</v>
      </c>
      <c r="F1596" s="31" t="s">
        <v>55</v>
      </c>
      <c r="G1596" s="31">
        <v>3335</v>
      </c>
      <c r="H1596" s="31" t="s">
        <v>160</v>
      </c>
      <c r="J1596" s="38">
        <v>43846.5</v>
      </c>
    </row>
    <row r="1597" spans="1:10" x14ac:dyDescent="0.35">
      <c r="A1597" s="31">
        <v>798</v>
      </c>
      <c r="B1597" s="19" t="s">
        <v>17</v>
      </c>
      <c r="C1597" s="19"/>
      <c r="D1597" s="37">
        <v>45900</v>
      </c>
      <c r="E1597" s="31" t="s">
        <v>1022</v>
      </c>
      <c r="F1597" s="31" t="s">
        <v>55</v>
      </c>
      <c r="G1597" s="31">
        <v>3335</v>
      </c>
      <c r="H1597" s="31" t="s">
        <v>160</v>
      </c>
      <c r="I1597" s="38">
        <v>7530.8700000000008</v>
      </c>
    </row>
    <row r="1598" spans="1:10" x14ac:dyDescent="0.35">
      <c r="A1598" s="31">
        <v>798.5</v>
      </c>
      <c r="B1598" s="19"/>
      <c r="C1598" s="19" t="s">
        <v>22</v>
      </c>
      <c r="D1598" s="37">
        <v>45900</v>
      </c>
      <c r="E1598" s="31" t="s">
        <v>1022</v>
      </c>
      <c r="F1598" s="31" t="s">
        <v>55</v>
      </c>
      <c r="G1598" s="31">
        <v>3335</v>
      </c>
      <c r="H1598" s="31" t="s">
        <v>160</v>
      </c>
      <c r="J1598" s="38">
        <v>7530.8700000000008</v>
      </c>
    </row>
    <row r="1599" spans="1:10" x14ac:dyDescent="0.35">
      <c r="A1599" s="31">
        <v>799</v>
      </c>
      <c r="B1599" s="19" t="s">
        <v>17</v>
      </c>
      <c r="C1599" s="19"/>
      <c r="D1599" s="37">
        <v>45900</v>
      </c>
      <c r="E1599" s="31">
        <v>35806</v>
      </c>
      <c r="F1599" s="31" t="s">
        <v>55</v>
      </c>
      <c r="G1599" s="31">
        <v>3335</v>
      </c>
      <c r="H1599" s="31" t="s">
        <v>160</v>
      </c>
      <c r="I1599" s="38">
        <v>9294.6599999999944</v>
      </c>
    </row>
    <row r="1600" spans="1:10" x14ac:dyDescent="0.35">
      <c r="A1600" s="31">
        <v>799.5</v>
      </c>
      <c r="B1600" s="19"/>
      <c r="C1600" s="19" t="s">
        <v>22</v>
      </c>
      <c r="D1600" s="37">
        <v>45900</v>
      </c>
      <c r="E1600" s="31">
        <v>35806</v>
      </c>
      <c r="F1600" s="31" t="s">
        <v>55</v>
      </c>
      <c r="G1600" s="31">
        <v>3335</v>
      </c>
      <c r="H1600" s="31" t="s">
        <v>160</v>
      </c>
      <c r="J1600" s="38">
        <v>9294.6599999999944</v>
      </c>
    </row>
    <row r="1601" spans="1:10" x14ac:dyDescent="0.35">
      <c r="A1601" s="31">
        <v>800</v>
      </c>
      <c r="B1601" s="19" t="s">
        <v>17</v>
      </c>
      <c r="C1601" s="19"/>
      <c r="D1601" s="37">
        <v>45900</v>
      </c>
      <c r="E1601" s="31" t="s">
        <v>1023</v>
      </c>
      <c r="F1601" s="31" t="s">
        <v>55</v>
      </c>
      <c r="G1601" s="31">
        <v>3335</v>
      </c>
      <c r="H1601" s="31" t="s">
        <v>160</v>
      </c>
      <c r="I1601" s="38">
        <v>159237.71</v>
      </c>
    </row>
    <row r="1602" spans="1:10" x14ac:dyDescent="0.35">
      <c r="A1602" s="31">
        <v>800.5</v>
      </c>
      <c r="B1602" s="19"/>
      <c r="C1602" s="19" t="s">
        <v>22</v>
      </c>
      <c r="D1602" s="37">
        <v>45900</v>
      </c>
      <c r="E1602" s="31" t="s">
        <v>1023</v>
      </c>
      <c r="F1602" s="31" t="s">
        <v>55</v>
      </c>
      <c r="G1602" s="31">
        <v>3335</v>
      </c>
      <c r="H1602" s="31" t="s">
        <v>160</v>
      </c>
      <c r="J1602" s="38">
        <v>159237.71</v>
      </c>
    </row>
    <row r="1603" spans="1:10" x14ac:dyDescent="0.35">
      <c r="A1603" s="31">
        <v>801</v>
      </c>
      <c r="B1603" s="19" t="s">
        <v>17</v>
      </c>
      <c r="C1603" s="19"/>
      <c r="D1603" s="37">
        <v>45900</v>
      </c>
      <c r="E1603" s="31" t="s">
        <v>1024</v>
      </c>
      <c r="F1603" s="31" t="s">
        <v>55</v>
      </c>
      <c r="G1603" s="31">
        <v>3335</v>
      </c>
      <c r="H1603" s="31" t="s">
        <v>160</v>
      </c>
      <c r="I1603" s="38">
        <v>32921.159999999996</v>
      </c>
    </row>
    <row r="1604" spans="1:10" x14ac:dyDescent="0.35">
      <c r="A1604" s="31">
        <v>801.5</v>
      </c>
      <c r="B1604" s="19"/>
      <c r="C1604" s="19" t="s">
        <v>22</v>
      </c>
      <c r="D1604" s="37">
        <v>45900</v>
      </c>
      <c r="E1604" s="31" t="s">
        <v>1024</v>
      </c>
      <c r="F1604" s="31" t="s">
        <v>55</v>
      </c>
      <c r="G1604" s="31">
        <v>3335</v>
      </c>
      <c r="H1604" s="31" t="s">
        <v>160</v>
      </c>
      <c r="J1604" s="38">
        <v>32921.159999999996</v>
      </c>
    </row>
    <row r="1605" spans="1:10" x14ac:dyDescent="0.35">
      <c r="A1605" s="31">
        <v>802</v>
      </c>
      <c r="B1605" s="19" t="s">
        <v>17</v>
      </c>
      <c r="C1605" s="19"/>
      <c r="D1605" s="37">
        <v>45900</v>
      </c>
      <c r="E1605" s="31">
        <v>35811</v>
      </c>
      <c r="F1605" s="31" t="s">
        <v>55</v>
      </c>
      <c r="G1605" s="31">
        <v>3335</v>
      </c>
      <c r="H1605" s="31" t="s">
        <v>160</v>
      </c>
      <c r="I1605" s="38">
        <v>80186.399999999994</v>
      </c>
    </row>
    <row r="1606" spans="1:10" x14ac:dyDescent="0.35">
      <c r="A1606" s="31">
        <v>802.5</v>
      </c>
      <c r="B1606" s="19"/>
      <c r="C1606" s="19" t="s">
        <v>22</v>
      </c>
      <c r="D1606" s="37">
        <v>45900</v>
      </c>
      <c r="E1606" s="31">
        <v>35811</v>
      </c>
      <c r="F1606" s="31" t="s">
        <v>55</v>
      </c>
      <c r="G1606" s="31">
        <v>3335</v>
      </c>
      <c r="H1606" s="31" t="s">
        <v>160</v>
      </c>
      <c r="J1606" s="38">
        <v>80186.399999999994</v>
      </c>
    </row>
    <row r="1607" spans="1:10" x14ac:dyDescent="0.35">
      <c r="A1607" s="31">
        <v>803</v>
      </c>
      <c r="B1607" s="19" t="s">
        <v>17</v>
      </c>
      <c r="C1607" s="19"/>
      <c r="D1607" s="37">
        <v>45900</v>
      </c>
      <c r="E1607" s="31" t="s">
        <v>1025</v>
      </c>
      <c r="F1607" s="31" t="s">
        <v>55</v>
      </c>
      <c r="G1607" s="31">
        <v>3335</v>
      </c>
      <c r="H1607" s="31" t="s">
        <v>160</v>
      </c>
      <c r="I1607" s="38">
        <v>10482.630000000001</v>
      </c>
    </row>
    <row r="1608" spans="1:10" x14ac:dyDescent="0.35">
      <c r="A1608" s="31">
        <v>803.5</v>
      </c>
      <c r="B1608" s="19"/>
      <c r="C1608" s="19" t="s">
        <v>22</v>
      </c>
      <c r="D1608" s="37">
        <v>45900</v>
      </c>
      <c r="E1608" s="31" t="s">
        <v>1025</v>
      </c>
      <c r="F1608" s="31" t="s">
        <v>55</v>
      </c>
      <c r="G1608" s="31">
        <v>3335</v>
      </c>
      <c r="H1608" s="31" t="s">
        <v>160</v>
      </c>
      <c r="J1608" s="38">
        <v>10482.630000000001</v>
      </c>
    </row>
    <row r="1609" spans="1:10" x14ac:dyDescent="0.35">
      <c r="A1609" s="31">
        <v>804</v>
      </c>
      <c r="B1609" s="19" t="s">
        <v>17</v>
      </c>
      <c r="C1609" s="19"/>
      <c r="D1609" s="37">
        <v>45900</v>
      </c>
      <c r="E1609" s="31" t="s">
        <v>1026</v>
      </c>
      <c r="F1609" s="31" t="s">
        <v>1027</v>
      </c>
      <c r="G1609" s="31">
        <v>3397</v>
      </c>
      <c r="H1609" s="31" t="s">
        <v>160</v>
      </c>
      <c r="I1609" s="38">
        <v>106.95</v>
      </c>
    </row>
    <row r="1610" spans="1:10" x14ac:dyDescent="0.35">
      <c r="A1610" s="31">
        <v>804.5</v>
      </c>
      <c r="B1610" s="19"/>
      <c r="C1610" s="19" t="s">
        <v>22</v>
      </c>
      <c r="D1610" s="37">
        <v>45900</v>
      </c>
      <c r="E1610" s="31" t="s">
        <v>1026</v>
      </c>
      <c r="F1610" s="31" t="s">
        <v>1027</v>
      </c>
      <c r="G1610" s="31">
        <v>3397</v>
      </c>
      <c r="H1610" s="31" t="s">
        <v>160</v>
      </c>
      <c r="J1610" s="38">
        <v>106.95</v>
      </c>
    </row>
    <row r="1611" spans="1:10" x14ac:dyDescent="0.35">
      <c r="A1611" s="31">
        <v>805</v>
      </c>
      <c r="B1611" s="19" t="s">
        <v>17</v>
      </c>
      <c r="C1611" s="19"/>
      <c r="D1611" s="37">
        <v>45900</v>
      </c>
      <c r="E1611" s="31" t="s">
        <v>1028</v>
      </c>
      <c r="F1611" s="31" t="s">
        <v>242</v>
      </c>
      <c r="G1611" s="31">
        <v>714</v>
      </c>
      <c r="H1611" s="31" t="s">
        <v>160</v>
      </c>
      <c r="I1611" s="38">
        <v>195091.02999999997</v>
      </c>
    </row>
    <row r="1612" spans="1:10" x14ac:dyDescent="0.35">
      <c r="A1612" s="31">
        <v>805.5</v>
      </c>
      <c r="B1612" s="19"/>
      <c r="C1612" s="19" t="s">
        <v>22</v>
      </c>
      <c r="D1612" s="37">
        <v>45900</v>
      </c>
      <c r="E1612" s="31" t="s">
        <v>1028</v>
      </c>
      <c r="F1612" s="31" t="s">
        <v>242</v>
      </c>
      <c r="G1612" s="31">
        <v>714</v>
      </c>
      <c r="H1612" s="31" t="s">
        <v>160</v>
      </c>
      <c r="J1612" s="38">
        <v>195091.02999999997</v>
      </c>
    </row>
    <row r="1613" spans="1:10" x14ac:dyDescent="0.35">
      <c r="A1613" s="31">
        <v>806</v>
      </c>
      <c r="B1613" s="19" t="s">
        <v>17</v>
      </c>
      <c r="C1613" s="19"/>
      <c r="D1613" s="37">
        <v>45900</v>
      </c>
      <c r="E1613" s="31" t="s">
        <v>1029</v>
      </c>
      <c r="F1613" s="31" t="s">
        <v>536</v>
      </c>
      <c r="G1613" s="31">
        <v>3545</v>
      </c>
      <c r="H1613" s="31" t="s">
        <v>160</v>
      </c>
      <c r="I1613" s="38">
        <v>0</v>
      </c>
    </row>
    <row r="1614" spans="1:10" x14ac:dyDescent="0.35">
      <c r="A1614" s="31">
        <v>806.5</v>
      </c>
      <c r="B1614" s="19"/>
      <c r="C1614" s="19" t="s">
        <v>22</v>
      </c>
      <c r="D1614" s="37">
        <v>45900</v>
      </c>
      <c r="E1614" s="31" t="s">
        <v>1029</v>
      </c>
      <c r="F1614" s="31" t="s">
        <v>536</v>
      </c>
      <c r="G1614" s="31">
        <v>3545</v>
      </c>
      <c r="H1614" s="31" t="s">
        <v>160</v>
      </c>
      <c r="J1614" s="38">
        <v>0</v>
      </c>
    </row>
    <row r="1615" spans="1:10" x14ac:dyDescent="0.35">
      <c r="A1615" s="31">
        <v>807</v>
      </c>
      <c r="B1615" s="19" t="s">
        <v>17</v>
      </c>
      <c r="C1615" s="19"/>
      <c r="D1615" s="37">
        <v>45900</v>
      </c>
      <c r="E1615" s="31" t="s">
        <v>1030</v>
      </c>
      <c r="F1615" s="31" t="s">
        <v>50</v>
      </c>
      <c r="G1615" s="31">
        <v>1938</v>
      </c>
      <c r="H1615" s="31" t="s">
        <v>160</v>
      </c>
      <c r="I1615" s="38">
        <v>0</v>
      </c>
    </row>
    <row r="1616" spans="1:10" x14ac:dyDescent="0.35">
      <c r="A1616" s="31">
        <v>807.5</v>
      </c>
      <c r="B1616" s="19"/>
      <c r="C1616" s="19" t="s">
        <v>22</v>
      </c>
      <c r="D1616" s="37">
        <v>45900</v>
      </c>
      <c r="E1616" s="31" t="s">
        <v>1030</v>
      </c>
      <c r="F1616" s="31" t="s">
        <v>50</v>
      </c>
      <c r="G1616" s="31">
        <v>1938</v>
      </c>
      <c r="H1616" s="31" t="s">
        <v>160</v>
      </c>
      <c r="J1616" s="38">
        <v>0</v>
      </c>
    </row>
    <row r="1617" spans="1:10" x14ac:dyDescent="0.35">
      <c r="A1617" s="31">
        <v>808</v>
      </c>
      <c r="B1617" s="19" t="s">
        <v>17</v>
      </c>
      <c r="C1617" s="19"/>
      <c r="D1617" s="37">
        <v>45900</v>
      </c>
      <c r="E1617" s="31" t="s">
        <v>1031</v>
      </c>
      <c r="F1617" s="31" t="s">
        <v>50</v>
      </c>
      <c r="G1617" s="31">
        <v>1938</v>
      </c>
      <c r="H1617" s="31" t="s">
        <v>160</v>
      </c>
      <c r="I1617" s="38">
        <v>0</v>
      </c>
    </row>
    <row r="1618" spans="1:10" x14ac:dyDescent="0.35">
      <c r="A1618" s="31">
        <v>808.5</v>
      </c>
      <c r="B1618" s="19"/>
      <c r="C1618" s="19" t="s">
        <v>22</v>
      </c>
      <c r="D1618" s="37">
        <v>45900</v>
      </c>
      <c r="E1618" s="31" t="s">
        <v>1031</v>
      </c>
      <c r="F1618" s="31" t="s">
        <v>50</v>
      </c>
      <c r="G1618" s="31">
        <v>1938</v>
      </c>
      <c r="H1618" s="31" t="s">
        <v>160</v>
      </c>
      <c r="J1618" s="38">
        <v>0</v>
      </c>
    </row>
    <row r="1619" spans="1:10" x14ac:dyDescent="0.35">
      <c r="A1619" s="31">
        <v>809</v>
      </c>
      <c r="B1619" s="19" t="s">
        <v>17</v>
      </c>
      <c r="C1619" s="19"/>
      <c r="D1619" s="37">
        <v>45900</v>
      </c>
      <c r="E1619" s="31" t="s">
        <v>1032</v>
      </c>
      <c r="F1619" s="31" t="s">
        <v>50</v>
      </c>
      <c r="G1619" s="31">
        <v>1938</v>
      </c>
      <c r="H1619" s="31" t="s">
        <v>160</v>
      </c>
      <c r="I1619" s="38">
        <v>0</v>
      </c>
    </row>
    <row r="1620" spans="1:10" x14ac:dyDescent="0.35">
      <c r="A1620" s="31">
        <v>809.5</v>
      </c>
      <c r="B1620" s="19"/>
      <c r="C1620" s="19" t="s">
        <v>22</v>
      </c>
      <c r="D1620" s="37">
        <v>45900</v>
      </c>
      <c r="E1620" s="31" t="s">
        <v>1032</v>
      </c>
      <c r="F1620" s="31" t="s">
        <v>50</v>
      </c>
      <c r="G1620" s="31">
        <v>1938</v>
      </c>
      <c r="H1620" s="31" t="s">
        <v>160</v>
      </c>
      <c r="J1620" s="38">
        <v>0</v>
      </c>
    </row>
    <row r="1621" spans="1:10" x14ac:dyDescent="0.35">
      <c r="A1621" s="31">
        <v>810</v>
      </c>
      <c r="B1621" s="19" t="s">
        <v>17</v>
      </c>
      <c r="C1621" s="19"/>
      <c r="D1621" s="37">
        <v>45900</v>
      </c>
      <c r="E1621" s="31" t="s">
        <v>1033</v>
      </c>
      <c r="F1621" s="31" t="s">
        <v>50</v>
      </c>
      <c r="G1621" s="31">
        <v>1938</v>
      </c>
      <c r="H1621" s="31" t="s">
        <v>160</v>
      </c>
      <c r="I1621" s="38">
        <v>0</v>
      </c>
    </row>
    <row r="1622" spans="1:10" x14ac:dyDescent="0.35">
      <c r="A1622" s="31">
        <v>810.5</v>
      </c>
      <c r="B1622" s="19"/>
      <c r="C1622" s="19" t="s">
        <v>22</v>
      </c>
      <c r="D1622" s="37">
        <v>45900</v>
      </c>
      <c r="E1622" s="31" t="s">
        <v>1033</v>
      </c>
      <c r="F1622" s="31" t="s">
        <v>50</v>
      </c>
      <c r="G1622" s="31">
        <v>1938</v>
      </c>
      <c r="H1622" s="31" t="s">
        <v>160</v>
      </c>
      <c r="J1622" s="38">
        <v>0</v>
      </c>
    </row>
    <row r="1623" spans="1:10" x14ac:dyDescent="0.35">
      <c r="A1623" s="31">
        <v>811</v>
      </c>
      <c r="B1623" s="19" t="s">
        <v>17</v>
      </c>
      <c r="C1623" s="19"/>
      <c r="D1623" s="37">
        <v>45900</v>
      </c>
      <c r="E1623" s="31" t="s">
        <v>1034</v>
      </c>
      <c r="F1623" s="31" t="s">
        <v>547</v>
      </c>
      <c r="G1623" s="31">
        <v>3546</v>
      </c>
      <c r="H1623" s="31" t="s">
        <v>160</v>
      </c>
      <c r="I1623" s="38">
        <v>340</v>
      </c>
    </row>
    <row r="1624" spans="1:10" x14ac:dyDescent="0.35">
      <c r="A1624" s="31">
        <v>811.5</v>
      </c>
      <c r="B1624" s="19"/>
      <c r="C1624" s="19" t="s">
        <v>22</v>
      </c>
      <c r="D1624" s="37">
        <v>45900</v>
      </c>
      <c r="E1624" s="31" t="s">
        <v>1034</v>
      </c>
      <c r="F1624" s="31" t="s">
        <v>547</v>
      </c>
      <c r="G1624" s="31">
        <v>3546</v>
      </c>
      <c r="H1624" s="31" t="s">
        <v>160</v>
      </c>
      <c r="J1624" s="38">
        <v>340</v>
      </c>
    </row>
    <row r="1625" spans="1:10" x14ac:dyDescent="0.35">
      <c r="A1625" s="31">
        <v>812</v>
      </c>
      <c r="B1625" s="19" t="s">
        <v>17</v>
      </c>
      <c r="C1625" s="19"/>
      <c r="D1625" s="37">
        <v>45900</v>
      </c>
      <c r="E1625" s="31">
        <v>36196</v>
      </c>
      <c r="F1625" s="31" t="s">
        <v>50</v>
      </c>
      <c r="G1625" s="31">
        <v>1938</v>
      </c>
      <c r="H1625" s="31" t="s">
        <v>160</v>
      </c>
      <c r="I1625" s="38">
        <v>0</v>
      </c>
    </row>
    <row r="1626" spans="1:10" x14ac:dyDescent="0.35">
      <c r="A1626" s="31">
        <v>812.5</v>
      </c>
      <c r="B1626" s="19"/>
      <c r="C1626" s="19" t="s">
        <v>22</v>
      </c>
      <c r="D1626" s="37">
        <v>45900</v>
      </c>
      <c r="E1626" s="31">
        <v>36196</v>
      </c>
      <c r="F1626" s="31" t="s">
        <v>50</v>
      </c>
      <c r="G1626" s="31">
        <v>1938</v>
      </c>
      <c r="H1626" s="31" t="s">
        <v>160</v>
      </c>
      <c r="J1626" s="38">
        <v>0</v>
      </c>
    </row>
    <row r="1627" spans="1:10" x14ac:dyDescent="0.35">
      <c r="A1627" s="31">
        <v>813</v>
      </c>
      <c r="B1627" s="19" t="s">
        <v>17</v>
      </c>
      <c r="C1627" s="19"/>
      <c r="D1627" s="37">
        <v>45900</v>
      </c>
      <c r="E1627" s="31" t="s">
        <v>1035</v>
      </c>
      <c r="F1627" s="31" t="s">
        <v>549</v>
      </c>
      <c r="G1627" s="31">
        <v>3547</v>
      </c>
      <c r="H1627" s="31" t="s">
        <v>160</v>
      </c>
      <c r="I1627" s="38">
        <v>4260</v>
      </c>
    </row>
    <row r="1628" spans="1:10" x14ac:dyDescent="0.35">
      <c r="A1628" s="31">
        <v>813.5</v>
      </c>
      <c r="B1628" s="19"/>
      <c r="C1628" s="19" t="s">
        <v>22</v>
      </c>
      <c r="D1628" s="37">
        <v>45900</v>
      </c>
      <c r="E1628" s="31" t="s">
        <v>1035</v>
      </c>
      <c r="F1628" s="31" t="s">
        <v>549</v>
      </c>
      <c r="G1628" s="31">
        <v>3547</v>
      </c>
      <c r="H1628" s="31" t="s">
        <v>160</v>
      </c>
      <c r="J1628" s="38">
        <v>4260</v>
      </c>
    </row>
    <row r="1629" spans="1:10" x14ac:dyDescent="0.35">
      <c r="A1629" s="31">
        <v>814</v>
      </c>
      <c r="B1629" s="19" t="s">
        <v>17</v>
      </c>
      <c r="C1629" s="19"/>
      <c r="D1629" s="37">
        <v>45900</v>
      </c>
      <c r="E1629" s="31">
        <v>36303</v>
      </c>
      <c r="F1629" s="31" t="s">
        <v>50</v>
      </c>
      <c r="G1629" s="31">
        <v>1938</v>
      </c>
      <c r="H1629" s="31" t="s">
        <v>160</v>
      </c>
      <c r="I1629" s="38">
        <v>0</v>
      </c>
    </row>
    <row r="1630" spans="1:10" x14ac:dyDescent="0.35">
      <c r="A1630" s="31">
        <v>814.5</v>
      </c>
      <c r="B1630" s="19"/>
      <c r="C1630" s="19" t="s">
        <v>22</v>
      </c>
      <c r="D1630" s="37">
        <v>45900</v>
      </c>
      <c r="E1630" s="31">
        <v>36303</v>
      </c>
      <c r="F1630" s="31" t="s">
        <v>50</v>
      </c>
      <c r="G1630" s="31">
        <v>1938</v>
      </c>
      <c r="H1630" s="31" t="s">
        <v>160</v>
      </c>
      <c r="J1630" s="38">
        <v>0</v>
      </c>
    </row>
    <row r="1631" spans="1:10" x14ac:dyDescent="0.35">
      <c r="A1631" s="31">
        <v>815</v>
      </c>
      <c r="B1631" s="19" t="s">
        <v>17</v>
      </c>
      <c r="C1631" s="19"/>
      <c r="D1631" s="37">
        <v>45900</v>
      </c>
      <c r="E1631" s="31" t="s">
        <v>1036</v>
      </c>
      <c r="F1631" s="31" t="s">
        <v>559</v>
      </c>
      <c r="G1631" s="31">
        <v>3360</v>
      </c>
      <c r="H1631" s="31" t="s">
        <v>160</v>
      </c>
      <c r="I1631" s="38">
        <v>0</v>
      </c>
    </row>
    <row r="1632" spans="1:10" x14ac:dyDescent="0.35">
      <c r="A1632" s="31">
        <v>815.5</v>
      </c>
      <c r="B1632" s="19"/>
      <c r="C1632" s="19" t="s">
        <v>22</v>
      </c>
      <c r="D1632" s="37">
        <v>45900</v>
      </c>
      <c r="E1632" s="31" t="s">
        <v>1036</v>
      </c>
      <c r="F1632" s="31" t="s">
        <v>559</v>
      </c>
      <c r="G1632" s="31">
        <v>3360</v>
      </c>
      <c r="H1632" s="31" t="s">
        <v>160</v>
      </c>
      <c r="J1632" s="38">
        <v>0</v>
      </c>
    </row>
    <row r="1633" spans="1:10" x14ac:dyDescent="0.35">
      <c r="A1633" s="31">
        <v>816</v>
      </c>
      <c r="B1633" s="19" t="s">
        <v>17</v>
      </c>
      <c r="C1633" s="19"/>
      <c r="D1633" s="37">
        <v>45900</v>
      </c>
      <c r="E1633" s="31" t="s">
        <v>1037</v>
      </c>
      <c r="F1633" s="31" t="s">
        <v>50</v>
      </c>
      <c r="G1633" s="31">
        <v>1938</v>
      </c>
      <c r="H1633" s="31" t="s">
        <v>160</v>
      </c>
      <c r="I1633" s="38">
        <v>0</v>
      </c>
    </row>
    <row r="1634" spans="1:10" x14ac:dyDescent="0.35">
      <c r="A1634" s="31">
        <v>816.5</v>
      </c>
      <c r="B1634" s="19"/>
      <c r="C1634" s="19" t="s">
        <v>22</v>
      </c>
      <c r="D1634" s="37">
        <v>45900</v>
      </c>
      <c r="E1634" s="31" t="s">
        <v>1037</v>
      </c>
      <c r="F1634" s="31" t="s">
        <v>50</v>
      </c>
      <c r="G1634" s="31">
        <v>1938</v>
      </c>
      <c r="H1634" s="31" t="s">
        <v>160</v>
      </c>
      <c r="J1634" s="38">
        <v>0</v>
      </c>
    </row>
    <row r="1635" spans="1:10" x14ac:dyDescent="0.35">
      <c r="A1635" s="31">
        <v>817</v>
      </c>
      <c r="B1635" s="19" t="s">
        <v>17</v>
      </c>
      <c r="C1635" s="19"/>
      <c r="D1635" s="37">
        <v>45900</v>
      </c>
      <c r="E1635" s="31">
        <v>36477</v>
      </c>
      <c r="F1635" s="31" t="s">
        <v>50</v>
      </c>
      <c r="G1635" s="31">
        <v>1938</v>
      </c>
      <c r="H1635" s="31" t="s">
        <v>160</v>
      </c>
      <c r="I1635" s="38">
        <v>0</v>
      </c>
    </row>
    <row r="1636" spans="1:10" x14ac:dyDescent="0.35">
      <c r="A1636" s="31">
        <v>817.5</v>
      </c>
      <c r="B1636" s="19"/>
      <c r="C1636" s="19" t="s">
        <v>22</v>
      </c>
      <c r="D1636" s="37">
        <v>45900</v>
      </c>
      <c r="E1636" s="31">
        <v>36477</v>
      </c>
      <c r="F1636" s="31" t="s">
        <v>50</v>
      </c>
      <c r="G1636" s="31">
        <v>1938</v>
      </c>
      <c r="H1636" s="31" t="s">
        <v>160</v>
      </c>
      <c r="J1636" s="38">
        <v>0</v>
      </c>
    </row>
    <row r="1637" spans="1:10" x14ac:dyDescent="0.35">
      <c r="A1637" s="31">
        <v>818</v>
      </c>
      <c r="B1637" s="19" t="s">
        <v>17</v>
      </c>
      <c r="C1637" s="19"/>
      <c r="D1637" s="37">
        <v>45900</v>
      </c>
      <c r="E1637" s="31">
        <v>36478</v>
      </c>
      <c r="F1637" s="31" t="s">
        <v>50</v>
      </c>
      <c r="G1637" s="31">
        <v>1938</v>
      </c>
      <c r="H1637" s="31" t="s">
        <v>160</v>
      </c>
      <c r="I1637" s="38">
        <v>0</v>
      </c>
    </row>
    <row r="1638" spans="1:10" x14ac:dyDescent="0.35">
      <c r="A1638" s="31">
        <v>818.5</v>
      </c>
      <c r="B1638" s="19"/>
      <c r="C1638" s="19" t="s">
        <v>22</v>
      </c>
      <c r="D1638" s="37">
        <v>45900</v>
      </c>
      <c r="E1638" s="31">
        <v>36478</v>
      </c>
      <c r="F1638" s="31" t="s">
        <v>50</v>
      </c>
      <c r="G1638" s="31">
        <v>1938</v>
      </c>
      <c r="H1638" s="31" t="s">
        <v>160</v>
      </c>
      <c r="J1638" s="38">
        <v>0</v>
      </c>
    </row>
    <row r="1639" spans="1:10" x14ac:dyDescent="0.35">
      <c r="A1639" s="31">
        <v>819</v>
      </c>
      <c r="B1639" s="19" t="s">
        <v>17</v>
      </c>
      <c r="C1639" s="19"/>
      <c r="D1639" s="37">
        <v>45900</v>
      </c>
      <c r="E1639" s="31">
        <v>36479</v>
      </c>
      <c r="F1639" s="31" t="s">
        <v>50</v>
      </c>
      <c r="G1639" s="31">
        <v>1938</v>
      </c>
      <c r="H1639" s="31" t="s">
        <v>160</v>
      </c>
      <c r="I1639" s="38">
        <v>0</v>
      </c>
    </row>
    <row r="1640" spans="1:10" x14ac:dyDescent="0.35">
      <c r="A1640" s="31">
        <v>819.5</v>
      </c>
      <c r="B1640" s="19"/>
      <c r="C1640" s="19" t="s">
        <v>22</v>
      </c>
      <c r="D1640" s="37">
        <v>45900</v>
      </c>
      <c r="E1640" s="31">
        <v>36479</v>
      </c>
      <c r="F1640" s="31" t="s">
        <v>50</v>
      </c>
      <c r="G1640" s="31">
        <v>1938</v>
      </c>
      <c r="H1640" s="31" t="s">
        <v>160</v>
      </c>
      <c r="J1640" s="38">
        <v>0</v>
      </c>
    </row>
    <row r="1641" spans="1:10" x14ac:dyDescent="0.35">
      <c r="A1641" s="31">
        <v>820</v>
      </c>
      <c r="B1641" s="19" t="s">
        <v>17</v>
      </c>
      <c r="C1641" s="19"/>
      <c r="D1641" s="37">
        <v>45900</v>
      </c>
      <c r="E1641" s="31">
        <v>36509</v>
      </c>
      <c r="F1641" s="31" t="s">
        <v>50</v>
      </c>
      <c r="G1641" s="31">
        <v>1938</v>
      </c>
      <c r="H1641" s="31" t="s">
        <v>160</v>
      </c>
      <c r="I1641" s="38">
        <v>0</v>
      </c>
    </row>
    <row r="1642" spans="1:10" x14ac:dyDescent="0.35">
      <c r="A1642" s="31">
        <v>820.5</v>
      </c>
      <c r="B1642" s="19"/>
      <c r="C1642" s="19" t="s">
        <v>22</v>
      </c>
      <c r="D1642" s="37">
        <v>45900</v>
      </c>
      <c r="E1642" s="31">
        <v>36509</v>
      </c>
      <c r="F1642" s="31" t="s">
        <v>50</v>
      </c>
      <c r="G1642" s="31">
        <v>1938</v>
      </c>
      <c r="H1642" s="31" t="s">
        <v>160</v>
      </c>
      <c r="J1642" s="38">
        <v>0</v>
      </c>
    </row>
    <row r="1643" spans="1:10" x14ac:dyDescent="0.35">
      <c r="A1643" s="31">
        <v>821</v>
      </c>
      <c r="B1643" s="19" t="s">
        <v>17</v>
      </c>
      <c r="C1643" s="19"/>
      <c r="D1643" s="37">
        <v>45900</v>
      </c>
      <c r="E1643" s="31">
        <v>36628</v>
      </c>
      <c r="F1643" s="31" t="s">
        <v>50</v>
      </c>
      <c r="G1643" s="31">
        <v>1938</v>
      </c>
      <c r="H1643" s="31" t="s">
        <v>160</v>
      </c>
      <c r="I1643" s="38">
        <v>0</v>
      </c>
    </row>
    <row r="1644" spans="1:10" x14ac:dyDescent="0.35">
      <c r="A1644" s="31">
        <v>821.5</v>
      </c>
      <c r="B1644" s="19"/>
      <c r="C1644" s="19" t="s">
        <v>22</v>
      </c>
      <c r="D1644" s="37">
        <v>45900</v>
      </c>
      <c r="E1644" s="31">
        <v>36628</v>
      </c>
      <c r="F1644" s="31" t="s">
        <v>50</v>
      </c>
      <c r="G1644" s="31">
        <v>1938</v>
      </c>
      <c r="H1644" s="31" t="s">
        <v>160</v>
      </c>
      <c r="J1644" s="38">
        <v>0</v>
      </c>
    </row>
    <row r="1645" spans="1:10" x14ac:dyDescent="0.35">
      <c r="A1645" s="31">
        <v>822</v>
      </c>
      <c r="B1645" s="19" t="s">
        <v>17</v>
      </c>
      <c r="C1645" s="19"/>
      <c r="D1645" s="37">
        <v>45900</v>
      </c>
      <c r="E1645" s="31">
        <v>36643</v>
      </c>
      <c r="F1645" s="31" t="s">
        <v>80</v>
      </c>
      <c r="G1645" s="31">
        <v>3351</v>
      </c>
      <c r="H1645" s="31" t="s">
        <v>160</v>
      </c>
      <c r="I1645" s="38">
        <v>346.5</v>
      </c>
    </row>
    <row r="1646" spans="1:10" x14ac:dyDescent="0.35">
      <c r="A1646" s="31">
        <v>822.5</v>
      </c>
      <c r="B1646" s="19"/>
      <c r="C1646" s="19" t="s">
        <v>22</v>
      </c>
      <c r="D1646" s="37">
        <v>45900</v>
      </c>
      <c r="E1646" s="31">
        <v>36643</v>
      </c>
      <c r="F1646" s="31" t="s">
        <v>80</v>
      </c>
      <c r="G1646" s="31">
        <v>3351</v>
      </c>
      <c r="H1646" s="31" t="s">
        <v>160</v>
      </c>
      <c r="J1646" s="38">
        <v>346.5</v>
      </c>
    </row>
    <row r="1647" spans="1:10" x14ac:dyDescent="0.35">
      <c r="A1647" s="31">
        <v>823</v>
      </c>
      <c r="B1647" s="19" t="s">
        <v>17</v>
      </c>
      <c r="C1647" s="19"/>
      <c r="D1647" s="37">
        <v>45900</v>
      </c>
      <c r="E1647" s="31" t="s">
        <v>1038</v>
      </c>
      <c r="F1647" s="31" t="s">
        <v>597</v>
      </c>
      <c r="G1647" s="31">
        <v>3393</v>
      </c>
      <c r="H1647" s="31" t="s">
        <v>160</v>
      </c>
      <c r="I1647" s="38">
        <v>1271.3599999999999</v>
      </c>
    </row>
    <row r="1648" spans="1:10" x14ac:dyDescent="0.35">
      <c r="A1648" s="31">
        <v>823.5</v>
      </c>
      <c r="B1648" s="19"/>
      <c r="C1648" s="19" t="s">
        <v>22</v>
      </c>
      <c r="D1648" s="37">
        <v>45900</v>
      </c>
      <c r="E1648" s="31" t="s">
        <v>1038</v>
      </c>
      <c r="F1648" s="31" t="s">
        <v>597</v>
      </c>
      <c r="G1648" s="31">
        <v>3393</v>
      </c>
      <c r="H1648" s="31" t="s">
        <v>160</v>
      </c>
      <c r="J1648" s="38">
        <v>1271.3599999999999</v>
      </c>
    </row>
    <row r="1649" spans="1:10" x14ac:dyDescent="0.35">
      <c r="A1649" s="31">
        <v>824</v>
      </c>
      <c r="B1649" s="19" t="s">
        <v>17</v>
      </c>
      <c r="C1649" s="19"/>
      <c r="D1649" s="37">
        <v>45900</v>
      </c>
      <c r="E1649" s="31" t="s">
        <v>1039</v>
      </c>
      <c r="F1649" s="31" t="s">
        <v>597</v>
      </c>
      <c r="G1649" s="31">
        <v>3393</v>
      </c>
      <c r="H1649" s="31" t="s">
        <v>160</v>
      </c>
      <c r="I1649" s="38">
        <v>54.3</v>
      </c>
    </row>
    <row r="1650" spans="1:10" x14ac:dyDescent="0.35">
      <c r="A1650" s="31">
        <v>824.5</v>
      </c>
      <c r="B1650" s="19"/>
      <c r="C1650" s="19" t="s">
        <v>22</v>
      </c>
      <c r="D1650" s="37">
        <v>45900</v>
      </c>
      <c r="E1650" s="31" t="s">
        <v>1039</v>
      </c>
      <c r="F1650" s="31" t="s">
        <v>597</v>
      </c>
      <c r="G1650" s="31">
        <v>3393</v>
      </c>
      <c r="H1650" s="31" t="s">
        <v>160</v>
      </c>
      <c r="J1650" s="38">
        <v>54.3</v>
      </c>
    </row>
    <row r="1651" spans="1:10" x14ac:dyDescent="0.35">
      <c r="A1651" s="31">
        <v>825</v>
      </c>
      <c r="B1651" s="19" t="s">
        <v>17</v>
      </c>
      <c r="C1651" s="19"/>
      <c r="D1651" s="37">
        <v>45900</v>
      </c>
      <c r="E1651" s="31" t="s">
        <v>1040</v>
      </c>
      <c r="F1651" s="31" t="s">
        <v>57</v>
      </c>
      <c r="G1651" s="31">
        <v>3330</v>
      </c>
      <c r="H1651" s="31" t="s">
        <v>160</v>
      </c>
      <c r="I1651" s="38">
        <v>16476.370000000003</v>
      </c>
    </row>
    <row r="1652" spans="1:10" x14ac:dyDescent="0.35">
      <c r="A1652" s="31">
        <v>825.5</v>
      </c>
      <c r="B1652" s="19"/>
      <c r="C1652" s="19" t="s">
        <v>22</v>
      </c>
      <c r="D1652" s="37">
        <v>45900</v>
      </c>
      <c r="E1652" s="31" t="s">
        <v>1040</v>
      </c>
      <c r="F1652" s="31" t="s">
        <v>57</v>
      </c>
      <c r="G1652" s="31">
        <v>3330</v>
      </c>
      <c r="H1652" s="31" t="s">
        <v>160</v>
      </c>
      <c r="J1652" s="38">
        <v>16476.370000000003</v>
      </c>
    </row>
    <row r="1653" spans="1:10" x14ac:dyDescent="0.35">
      <c r="A1653" s="31">
        <v>826</v>
      </c>
      <c r="B1653" s="19" t="s">
        <v>17</v>
      </c>
      <c r="C1653" s="19"/>
      <c r="D1653" s="37">
        <v>45900</v>
      </c>
      <c r="E1653" s="31" t="s">
        <v>1041</v>
      </c>
      <c r="F1653" s="31" t="s">
        <v>101</v>
      </c>
      <c r="G1653" s="31">
        <v>567</v>
      </c>
      <c r="H1653" s="31" t="s">
        <v>160</v>
      </c>
      <c r="I1653" s="38">
        <v>5445</v>
      </c>
    </row>
    <row r="1654" spans="1:10" x14ac:dyDescent="0.35">
      <c r="A1654" s="31">
        <v>826.5</v>
      </c>
      <c r="B1654" s="19"/>
      <c r="C1654" s="19" t="s">
        <v>22</v>
      </c>
      <c r="D1654" s="37">
        <v>45900</v>
      </c>
      <c r="E1654" s="31" t="s">
        <v>1041</v>
      </c>
      <c r="F1654" s="31" t="s">
        <v>101</v>
      </c>
      <c r="G1654" s="31">
        <v>567</v>
      </c>
      <c r="H1654" s="31" t="s">
        <v>160</v>
      </c>
      <c r="J1654" s="38">
        <v>5445</v>
      </c>
    </row>
    <row r="1655" spans="1:10" x14ac:dyDescent="0.35">
      <c r="A1655" s="31">
        <v>827</v>
      </c>
      <c r="B1655" s="19" t="s">
        <v>17</v>
      </c>
      <c r="C1655" s="19"/>
      <c r="D1655" s="37">
        <v>45900</v>
      </c>
      <c r="E1655" s="31">
        <v>36928</v>
      </c>
      <c r="F1655" s="31" t="s">
        <v>50</v>
      </c>
      <c r="G1655" s="31">
        <v>1938</v>
      </c>
      <c r="H1655" s="31" t="s">
        <v>160</v>
      </c>
      <c r="I1655" s="38">
        <v>0</v>
      </c>
    </row>
    <row r="1656" spans="1:10" x14ac:dyDescent="0.35">
      <c r="A1656" s="31">
        <v>827.5</v>
      </c>
      <c r="B1656" s="19"/>
      <c r="C1656" s="19" t="s">
        <v>22</v>
      </c>
      <c r="D1656" s="37">
        <v>45900</v>
      </c>
      <c r="E1656" s="31">
        <v>36928</v>
      </c>
      <c r="F1656" s="31" t="s">
        <v>50</v>
      </c>
      <c r="G1656" s="31">
        <v>1938</v>
      </c>
      <c r="H1656" s="31" t="s">
        <v>160</v>
      </c>
      <c r="J1656" s="38">
        <v>0</v>
      </c>
    </row>
    <row r="1657" spans="1:10" x14ac:dyDescent="0.35">
      <c r="A1657" s="31">
        <v>828</v>
      </c>
      <c r="B1657" s="19" t="s">
        <v>17</v>
      </c>
      <c r="C1657" s="19"/>
      <c r="D1657" s="37">
        <v>45900</v>
      </c>
      <c r="E1657" s="31" t="s">
        <v>1042</v>
      </c>
      <c r="F1657" s="31" t="s">
        <v>1043</v>
      </c>
      <c r="G1657" s="31">
        <v>3561</v>
      </c>
      <c r="H1657" s="31" t="s">
        <v>160</v>
      </c>
      <c r="I1657" s="38">
        <v>191.36</v>
      </c>
    </row>
    <row r="1658" spans="1:10" x14ac:dyDescent="0.35">
      <c r="A1658" s="31">
        <v>828.5</v>
      </c>
      <c r="B1658" s="19"/>
      <c r="C1658" s="19" t="s">
        <v>22</v>
      </c>
      <c r="D1658" s="37">
        <v>45900</v>
      </c>
      <c r="E1658" s="31" t="s">
        <v>1042</v>
      </c>
      <c r="F1658" s="31" t="s">
        <v>1043</v>
      </c>
      <c r="G1658" s="31">
        <v>3561</v>
      </c>
      <c r="H1658" s="31" t="s">
        <v>160</v>
      </c>
      <c r="J1658" s="38">
        <v>191.36</v>
      </c>
    </row>
    <row r="1659" spans="1:10" x14ac:dyDescent="0.35">
      <c r="A1659" s="31">
        <v>829</v>
      </c>
      <c r="B1659" s="19" t="s">
        <v>17</v>
      </c>
      <c r="C1659" s="19"/>
      <c r="D1659" s="37">
        <v>45900</v>
      </c>
      <c r="E1659" s="31" t="s">
        <v>1044</v>
      </c>
      <c r="F1659" s="31" t="s">
        <v>132</v>
      </c>
      <c r="G1659" s="31">
        <v>2601</v>
      </c>
      <c r="H1659" s="31" t="s">
        <v>160</v>
      </c>
      <c r="I1659" s="38">
        <v>1014.75</v>
      </c>
    </row>
    <row r="1660" spans="1:10" x14ac:dyDescent="0.35">
      <c r="A1660" s="31">
        <v>829.5</v>
      </c>
      <c r="B1660" s="19"/>
      <c r="C1660" s="19" t="s">
        <v>22</v>
      </c>
      <c r="D1660" s="37">
        <v>45900</v>
      </c>
      <c r="E1660" s="31" t="s">
        <v>1044</v>
      </c>
      <c r="F1660" s="31" t="s">
        <v>132</v>
      </c>
      <c r="G1660" s="31">
        <v>2601</v>
      </c>
      <c r="H1660" s="31" t="s">
        <v>160</v>
      </c>
      <c r="J1660" s="38">
        <v>1014.75</v>
      </c>
    </row>
    <row r="1661" spans="1:10" x14ac:dyDescent="0.35">
      <c r="A1661" s="31">
        <v>830</v>
      </c>
      <c r="B1661" s="19" t="s">
        <v>17</v>
      </c>
      <c r="C1661" s="19"/>
      <c r="D1661" s="37">
        <v>45900</v>
      </c>
      <c r="E1661" s="31" t="s">
        <v>1045</v>
      </c>
      <c r="F1661" s="31" t="s">
        <v>148</v>
      </c>
      <c r="G1661" s="31">
        <v>3358</v>
      </c>
      <c r="H1661" s="31" t="s">
        <v>160</v>
      </c>
      <c r="I1661" s="38">
        <v>64142.18</v>
      </c>
    </row>
    <row r="1662" spans="1:10" x14ac:dyDescent="0.35">
      <c r="A1662" s="31">
        <v>830.5</v>
      </c>
      <c r="B1662" s="19"/>
      <c r="C1662" s="19" t="s">
        <v>22</v>
      </c>
      <c r="D1662" s="37">
        <v>45900</v>
      </c>
      <c r="E1662" s="31" t="s">
        <v>1045</v>
      </c>
      <c r="F1662" s="31" t="s">
        <v>148</v>
      </c>
      <c r="G1662" s="31">
        <v>3358</v>
      </c>
      <c r="H1662" s="31" t="s">
        <v>160</v>
      </c>
      <c r="J1662" s="38">
        <v>64142.18</v>
      </c>
    </row>
    <row r="1663" spans="1:10" x14ac:dyDescent="0.35">
      <c r="A1663" s="31">
        <v>831</v>
      </c>
      <c r="B1663" s="19" t="s">
        <v>17</v>
      </c>
      <c r="C1663" s="19"/>
      <c r="D1663" s="37">
        <v>45900</v>
      </c>
      <c r="E1663" s="31" t="s">
        <v>1046</v>
      </c>
      <c r="F1663" s="31" t="s">
        <v>50</v>
      </c>
      <c r="G1663" s="31">
        <v>1938</v>
      </c>
      <c r="H1663" s="31" t="s">
        <v>160</v>
      </c>
      <c r="I1663" s="38">
        <v>0</v>
      </c>
    </row>
    <row r="1664" spans="1:10" x14ac:dyDescent="0.35">
      <c r="A1664" s="31">
        <v>831.5</v>
      </c>
      <c r="B1664" s="19"/>
      <c r="C1664" s="19" t="s">
        <v>22</v>
      </c>
      <c r="D1664" s="37">
        <v>45900</v>
      </c>
      <c r="E1664" s="31" t="s">
        <v>1046</v>
      </c>
      <c r="F1664" s="31" t="s">
        <v>50</v>
      </c>
      <c r="G1664" s="31">
        <v>1938</v>
      </c>
      <c r="H1664" s="31" t="s">
        <v>160</v>
      </c>
      <c r="J1664" s="38">
        <v>0</v>
      </c>
    </row>
    <row r="1665" spans="1:10" x14ac:dyDescent="0.35">
      <c r="A1665" s="31">
        <v>832</v>
      </c>
      <c r="B1665" s="19" t="s">
        <v>17</v>
      </c>
      <c r="C1665" s="19"/>
      <c r="D1665" s="37">
        <v>45900</v>
      </c>
      <c r="E1665" s="31" t="s">
        <v>1047</v>
      </c>
      <c r="F1665" s="31" t="s">
        <v>50</v>
      </c>
      <c r="G1665" s="31">
        <v>1938</v>
      </c>
      <c r="H1665" s="31" t="s">
        <v>160</v>
      </c>
      <c r="I1665" s="38">
        <v>0</v>
      </c>
    </row>
    <row r="1666" spans="1:10" x14ac:dyDescent="0.35">
      <c r="A1666" s="31">
        <v>832.5</v>
      </c>
      <c r="B1666" s="19"/>
      <c r="C1666" s="19" t="s">
        <v>22</v>
      </c>
      <c r="D1666" s="37">
        <v>45900</v>
      </c>
      <c r="E1666" s="31" t="s">
        <v>1047</v>
      </c>
      <c r="F1666" s="31" t="s">
        <v>50</v>
      </c>
      <c r="G1666" s="31">
        <v>1938</v>
      </c>
      <c r="H1666" s="31" t="s">
        <v>160</v>
      </c>
      <c r="J1666" s="38">
        <v>0</v>
      </c>
    </row>
    <row r="1667" spans="1:10" x14ac:dyDescent="0.35">
      <c r="A1667" s="31">
        <v>833</v>
      </c>
      <c r="B1667" s="19" t="s">
        <v>17</v>
      </c>
      <c r="C1667" s="19"/>
      <c r="D1667" s="37">
        <v>45900</v>
      </c>
      <c r="E1667" s="31" t="s">
        <v>1048</v>
      </c>
      <c r="F1667" s="31" t="s">
        <v>50</v>
      </c>
      <c r="G1667" s="31">
        <v>1938</v>
      </c>
      <c r="H1667" s="31" t="s">
        <v>160</v>
      </c>
      <c r="I1667" s="38">
        <v>0</v>
      </c>
    </row>
    <row r="1668" spans="1:10" x14ac:dyDescent="0.35">
      <c r="A1668" s="31">
        <v>833.5</v>
      </c>
      <c r="B1668" s="19"/>
      <c r="C1668" s="19" t="s">
        <v>22</v>
      </c>
      <c r="D1668" s="37">
        <v>45900</v>
      </c>
      <c r="E1668" s="31" t="s">
        <v>1048</v>
      </c>
      <c r="F1668" s="31" t="s">
        <v>50</v>
      </c>
      <c r="G1668" s="31">
        <v>1938</v>
      </c>
      <c r="H1668" s="31" t="s">
        <v>160</v>
      </c>
      <c r="J1668" s="38">
        <v>0</v>
      </c>
    </row>
    <row r="1669" spans="1:10" x14ac:dyDescent="0.35">
      <c r="A1669" s="31">
        <v>834</v>
      </c>
      <c r="B1669" s="19" t="s">
        <v>17</v>
      </c>
      <c r="C1669" s="19"/>
      <c r="D1669" s="37">
        <v>45900</v>
      </c>
      <c r="E1669" s="31" t="s">
        <v>1049</v>
      </c>
      <c r="F1669" s="31" t="s">
        <v>50</v>
      </c>
      <c r="G1669" s="31">
        <v>1938</v>
      </c>
      <c r="H1669" s="31" t="s">
        <v>160</v>
      </c>
      <c r="I1669" s="38">
        <v>0</v>
      </c>
    </row>
    <row r="1670" spans="1:10" x14ac:dyDescent="0.35">
      <c r="A1670" s="31">
        <v>834.5</v>
      </c>
      <c r="B1670" s="19"/>
      <c r="C1670" s="19" t="s">
        <v>22</v>
      </c>
      <c r="D1670" s="37">
        <v>45900</v>
      </c>
      <c r="E1670" s="31" t="s">
        <v>1049</v>
      </c>
      <c r="F1670" s="31" t="s">
        <v>50</v>
      </c>
      <c r="G1670" s="31">
        <v>1938</v>
      </c>
      <c r="H1670" s="31" t="s">
        <v>160</v>
      </c>
      <c r="J1670" s="38">
        <v>0</v>
      </c>
    </row>
    <row r="1671" spans="1:10" x14ac:dyDescent="0.35">
      <c r="A1671" s="31">
        <v>835</v>
      </c>
      <c r="B1671" s="19" t="s">
        <v>17</v>
      </c>
      <c r="C1671" s="19"/>
      <c r="D1671" s="37">
        <v>45900</v>
      </c>
      <c r="E1671" s="31">
        <v>37354</v>
      </c>
      <c r="F1671" s="31" t="s">
        <v>1050</v>
      </c>
      <c r="G1671" s="31">
        <v>544</v>
      </c>
      <c r="H1671" s="31" t="s">
        <v>160</v>
      </c>
      <c r="I1671" s="38">
        <v>6882</v>
      </c>
    </row>
    <row r="1672" spans="1:10" x14ac:dyDescent="0.35">
      <c r="A1672" s="31">
        <v>835.5</v>
      </c>
      <c r="B1672" s="19"/>
      <c r="C1672" s="19" t="s">
        <v>22</v>
      </c>
      <c r="D1672" s="37">
        <v>45900</v>
      </c>
      <c r="E1672" s="31">
        <v>37354</v>
      </c>
      <c r="F1672" s="31" t="s">
        <v>1050</v>
      </c>
      <c r="G1672" s="31">
        <v>544</v>
      </c>
      <c r="H1672" s="31" t="s">
        <v>160</v>
      </c>
      <c r="J1672" s="38">
        <v>6882</v>
      </c>
    </row>
    <row r="1673" spans="1:10" x14ac:dyDescent="0.35">
      <c r="A1673" s="31">
        <v>836</v>
      </c>
      <c r="B1673" s="19" t="s">
        <v>17</v>
      </c>
      <c r="C1673" s="19"/>
      <c r="D1673" s="37">
        <v>45900</v>
      </c>
      <c r="E1673" s="31" t="s">
        <v>1051</v>
      </c>
      <c r="F1673" s="31" t="s">
        <v>337</v>
      </c>
      <c r="G1673" s="31">
        <v>3389</v>
      </c>
      <c r="H1673" s="31" t="s">
        <v>160</v>
      </c>
      <c r="I1673" s="38">
        <v>0</v>
      </c>
    </row>
    <row r="1674" spans="1:10" x14ac:dyDescent="0.35">
      <c r="A1674" s="31">
        <v>836.5</v>
      </c>
      <c r="B1674" s="19"/>
      <c r="C1674" s="19" t="s">
        <v>22</v>
      </c>
      <c r="D1674" s="37">
        <v>45900</v>
      </c>
      <c r="E1674" s="31" t="s">
        <v>1051</v>
      </c>
      <c r="F1674" s="31" t="s">
        <v>337</v>
      </c>
      <c r="G1674" s="31">
        <v>3389</v>
      </c>
      <c r="H1674" s="31" t="s">
        <v>160</v>
      </c>
      <c r="J1674" s="38">
        <v>0</v>
      </c>
    </row>
    <row r="1675" spans="1:10" x14ac:dyDescent="0.35">
      <c r="A1675" s="31">
        <v>837</v>
      </c>
      <c r="B1675" s="19" t="s">
        <v>17</v>
      </c>
      <c r="C1675" s="19"/>
      <c r="D1675" s="37">
        <v>45900</v>
      </c>
      <c r="E1675" s="31" t="s">
        <v>1052</v>
      </c>
      <c r="F1675" s="31" t="s">
        <v>80</v>
      </c>
      <c r="G1675" s="31">
        <v>3351</v>
      </c>
      <c r="H1675" s="31" t="s">
        <v>160</v>
      </c>
      <c r="I1675" s="38">
        <v>2085.5700000000002</v>
      </c>
    </row>
    <row r="1676" spans="1:10" x14ac:dyDescent="0.35">
      <c r="A1676" s="31">
        <v>837.5</v>
      </c>
      <c r="B1676" s="19"/>
      <c r="C1676" s="19" t="s">
        <v>22</v>
      </c>
      <c r="D1676" s="37">
        <v>45900</v>
      </c>
      <c r="E1676" s="31" t="s">
        <v>1052</v>
      </c>
      <c r="F1676" s="31" t="s">
        <v>80</v>
      </c>
      <c r="G1676" s="31">
        <v>3351</v>
      </c>
      <c r="H1676" s="31" t="s">
        <v>160</v>
      </c>
      <c r="J1676" s="38">
        <v>2085.5700000000002</v>
      </c>
    </row>
    <row r="1677" spans="1:10" x14ac:dyDescent="0.35">
      <c r="A1677" s="31">
        <v>838</v>
      </c>
      <c r="B1677" s="19" t="s">
        <v>17</v>
      </c>
      <c r="C1677" s="19"/>
      <c r="D1677" s="37">
        <v>45900</v>
      </c>
      <c r="E1677" s="31">
        <v>37625</v>
      </c>
      <c r="F1677" s="31" t="s">
        <v>725</v>
      </c>
      <c r="G1677" s="31">
        <v>3321</v>
      </c>
      <c r="H1677" s="31" t="s">
        <v>160</v>
      </c>
      <c r="I1677" s="38">
        <v>2450.48</v>
      </c>
    </row>
    <row r="1678" spans="1:10" x14ac:dyDescent="0.35">
      <c r="A1678" s="31">
        <v>838.5</v>
      </c>
      <c r="B1678" s="19"/>
      <c r="C1678" s="19" t="s">
        <v>22</v>
      </c>
      <c r="D1678" s="37">
        <v>45900</v>
      </c>
      <c r="E1678" s="31">
        <v>37625</v>
      </c>
      <c r="F1678" s="31" t="s">
        <v>725</v>
      </c>
      <c r="G1678" s="31">
        <v>3321</v>
      </c>
      <c r="H1678" s="31" t="s">
        <v>160</v>
      </c>
      <c r="J1678" s="38">
        <v>2450.48</v>
      </c>
    </row>
    <row r="1679" spans="1:10" x14ac:dyDescent="0.35">
      <c r="A1679" s="31">
        <v>839</v>
      </c>
      <c r="B1679" s="19" t="s">
        <v>17</v>
      </c>
      <c r="C1679" s="19"/>
      <c r="D1679" s="37">
        <v>45900</v>
      </c>
      <c r="E1679" s="31" t="s">
        <v>1053</v>
      </c>
      <c r="F1679" s="31" t="s">
        <v>725</v>
      </c>
      <c r="G1679" s="31">
        <v>3321</v>
      </c>
      <c r="H1679" s="31" t="s">
        <v>160</v>
      </c>
      <c r="I1679" s="38">
        <v>2989.9700000000003</v>
      </c>
    </row>
    <row r="1680" spans="1:10" x14ac:dyDescent="0.35">
      <c r="A1680" s="31">
        <v>839.5</v>
      </c>
      <c r="B1680" s="19"/>
      <c r="C1680" s="19" t="s">
        <v>22</v>
      </c>
      <c r="D1680" s="37">
        <v>45900</v>
      </c>
      <c r="E1680" s="31" t="s">
        <v>1053</v>
      </c>
      <c r="F1680" s="31" t="s">
        <v>725</v>
      </c>
      <c r="G1680" s="31">
        <v>3321</v>
      </c>
      <c r="H1680" s="31" t="s">
        <v>160</v>
      </c>
      <c r="J1680" s="38">
        <v>2989.9700000000003</v>
      </c>
    </row>
    <row r="1681" spans="1:10" x14ac:dyDescent="0.35">
      <c r="A1681" s="31">
        <v>840</v>
      </c>
      <c r="B1681" s="19" t="s">
        <v>17</v>
      </c>
      <c r="C1681" s="19"/>
      <c r="D1681" s="37">
        <v>45900</v>
      </c>
      <c r="E1681" s="31">
        <v>37644</v>
      </c>
      <c r="F1681" s="31" t="s">
        <v>725</v>
      </c>
      <c r="G1681" s="31">
        <v>3321</v>
      </c>
      <c r="H1681" s="31" t="s">
        <v>160</v>
      </c>
      <c r="I1681" s="38">
        <v>17455.420000000002</v>
      </c>
    </row>
    <row r="1682" spans="1:10" x14ac:dyDescent="0.35">
      <c r="A1682" s="31">
        <v>840.5</v>
      </c>
      <c r="B1682" s="19"/>
      <c r="C1682" s="19" t="s">
        <v>22</v>
      </c>
      <c r="D1682" s="37">
        <v>45900</v>
      </c>
      <c r="E1682" s="31">
        <v>37644</v>
      </c>
      <c r="F1682" s="31" t="s">
        <v>725</v>
      </c>
      <c r="G1682" s="31">
        <v>3321</v>
      </c>
      <c r="H1682" s="31" t="s">
        <v>160</v>
      </c>
      <c r="J1682" s="38">
        <v>17455.420000000002</v>
      </c>
    </row>
    <row r="1683" spans="1:10" x14ac:dyDescent="0.35">
      <c r="A1683" s="31">
        <v>841</v>
      </c>
      <c r="B1683" s="19" t="s">
        <v>17</v>
      </c>
      <c r="C1683" s="19"/>
      <c r="D1683" s="37">
        <v>45900</v>
      </c>
      <c r="E1683" s="31" t="s">
        <v>1054</v>
      </c>
      <c r="F1683" s="31" t="s">
        <v>725</v>
      </c>
      <c r="G1683" s="31">
        <v>3321</v>
      </c>
      <c r="H1683" s="31" t="s">
        <v>160</v>
      </c>
      <c r="I1683" s="38">
        <v>1963.93</v>
      </c>
    </row>
    <row r="1684" spans="1:10" x14ac:dyDescent="0.35">
      <c r="A1684" s="31">
        <v>841.5</v>
      </c>
      <c r="B1684" s="19"/>
      <c r="C1684" s="19" t="s">
        <v>22</v>
      </c>
      <c r="D1684" s="37">
        <v>45900</v>
      </c>
      <c r="E1684" s="31" t="s">
        <v>1054</v>
      </c>
      <c r="F1684" s="31" t="s">
        <v>725</v>
      </c>
      <c r="G1684" s="31">
        <v>3321</v>
      </c>
      <c r="H1684" s="31" t="s">
        <v>160</v>
      </c>
      <c r="J1684" s="38">
        <v>1963.93</v>
      </c>
    </row>
    <row r="1685" spans="1:10" x14ac:dyDescent="0.35">
      <c r="A1685" s="31">
        <v>842</v>
      </c>
      <c r="B1685" s="19" t="s">
        <v>17</v>
      </c>
      <c r="C1685" s="19"/>
      <c r="D1685" s="37">
        <v>45900</v>
      </c>
      <c r="E1685" s="31" t="s">
        <v>1055</v>
      </c>
      <c r="F1685" s="31" t="s">
        <v>725</v>
      </c>
      <c r="G1685" s="31">
        <v>3321</v>
      </c>
      <c r="H1685" s="31" t="s">
        <v>160</v>
      </c>
      <c r="I1685" s="38">
        <v>2638.99</v>
      </c>
    </row>
    <row r="1686" spans="1:10" x14ac:dyDescent="0.35">
      <c r="A1686" s="31">
        <v>842.5</v>
      </c>
      <c r="B1686" s="19"/>
      <c r="C1686" s="19" t="s">
        <v>22</v>
      </c>
      <c r="D1686" s="37">
        <v>45900</v>
      </c>
      <c r="E1686" s="31" t="s">
        <v>1055</v>
      </c>
      <c r="F1686" s="31" t="s">
        <v>725</v>
      </c>
      <c r="G1686" s="31">
        <v>3321</v>
      </c>
      <c r="H1686" s="31" t="s">
        <v>160</v>
      </c>
      <c r="J1686" s="38">
        <v>2638.99</v>
      </c>
    </row>
    <row r="1687" spans="1:10" x14ac:dyDescent="0.35">
      <c r="A1687" s="31">
        <v>843</v>
      </c>
      <c r="B1687" s="19" t="s">
        <v>17</v>
      </c>
      <c r="C1687" s="19"/>
      <c r="D1687" s="37">
        <v>45900</v>
      </c>
      <c r="E1687" s="31" t="s">
        <v>1056</v>
      </c>
      <c r="F1687" s="31" t="s">
        <v>883</v>
      </c>
      <c r="G1687" s="31">
        <v>2399</v>
      </c>
      <c r="H1687" s="31" t="s">
        <v>160</v>
      </c>
      <c r="I1687" s="38">
        <v>0</v>
      </c>
    </row>
    <row r="1688" spans="1:10" x14ac:dyDescent="0.35">
      <c r="A1688" s="31">
        <v>843.5</v>
      </c>
      <c r="B1688" s="19"/>
      <c r="C1688" s="19" t="s">
        <v>22</v>
      </c>
      <c r="D1688" s="37">
        <v>45900</v>
      </c>
      <c r="E1688" s="31" t="s">
        <v>1056</v>
      </c>
      <c r="F1688" s="31" t="s">
        <v>883</v>
      </c>
      <c r="G1688" s="31">
        <v>2399</v>
      </c>
      <c r="H1688" s="31" t="s">
        <v>160</v>
      </c>
      <c r="J1688" s="38">
        <v>0</v>
      </c>
    </row>
    <row r="1689" spans="1:10" x14ac:dyDescent="0.35">
      <c r="A1689" s="31">
        <v>844</v>
      </c>
      <c r="B1689" s="19" t="s">
        <v>17</v>
      </c>
      <c r="C1689" s="19"/>
      <c r="D1689" s="37">
        <v>45900</v>
      </c>
      <c r="E1689" s="31" t="s">
        <v>1057</v>
      </c>
      <c r="F1689" s="31" t="s">
        <v>883</v>
      </c>
      <c r="G1689" s="31">
        <v>2399</v>
      </c>
      <c r="H1689" s="31" t="s">
        <v>160</v>
      </c>
      <c r="I1689" s="38">
        <v>0</v>
      </c>
    </row>
    <row r="1690" spans="1:10" x14ac:dyDescent="0.35">
      <c r="A1690" s="31">
        <v>844.5</v>
      </c>
      <c r="B1690" s="19"/>
      <c r="C1690" s="19" t="s">
        <v>22</v>
      </c>
      <c r="D1690" s="37">
        <v>45900</v>
      </c>
      <c r="E1690" s="31" t="s">
        <v>1057</v>
      </c>
      <c r="F1690" s="31" t="s">
        <v>883</v>
      </c>
      <c r="G1690" s="31">
        <v>2399</v>
      </c>
      <c r="H1690" s="31" t="s">
        <v>160</v>
      </c>
      <c r="J1690" s="38">
        <v>0</v>
      </c>
    </row>
    <row r="1691" spans="1:10" x14ac:dyDescent="0.35">
      <c r="A1691" s="31">
        <v>845</v>
      </c>
      <c r="B1691" s="19" t="s">
        <v>17</v>
      </c>
      <c r="C1691" s="19"/>
      <c r="D1691" s="37">
        <v>45900</v>
      </c>
      <c r="E1691" s="31" t="s">
        <v>1058</v>
      </c>
      <c r="F1691" s="31" t="s">
        <v>741</v>
      </c>
      <c r="G1691" s="31">
        <v>2609</v>
      </c>
      <c r="H1691" s="31" t="s">
        <v>160</v>
      </c>
      <c r="I1691" s="38">
        <v>19528.2</v>
      </c>
    </row>
    <row r="1692" spans="1:10" x14ac:dyDescent="0.35">
      <c r="A1692" s="31">
        <v>845.5</v>
      </c>
      <c r="B1692" s="19"/>
      <c r="C1692" s="19" t="s">
        <v>22</v>
      </c>
      <c r="D1692" s="37">
        <v>45900</v>
      </c>
      <c r="E1692" s="31" t="s">
        <v>1058</v>
      </c>
      <c r="F1692" s="31" t="s">
        <v>741</v>
      </c>
      <c r="G1692" s="31">
        <v>2609</v>
      </c>
      <c r="H1692" s="31" t="s">
        <v>160</v>
      </c>
      <c r="J1692" s="38">
        <v>19528.2</v>
      </c>
    </row>
    <row r="1693" spans="1:10" x14ac:dyDescent="0.35">
      <c r="A1693" s="31">
        <v>846</v>
      </c>
      <c r="B1693" s="19" t="s">
        <v>17</v>
      </c>
      <c r="C1693" s="19"/>
      <c r="D1693" s="37">
        <v>45900</v>
      </c>
      <c r="E1693" s="31" t="s">
        <v>1059</v>
      </c>
      <c r="F1693" s="31" t="s">
        <v>741</v>
      </c>
      <c r="G1693" s="31">
        <v>2609</v>
      </c>
      <c r="H1693" s="31" t="s">
        <v>160</v>
      </c>
      <c r="I1693" s="38">
        <v>6266.52</v>
      </c>
    </row>
    <row r="1694" spans="1:10" x14ac:dyDescent="0.35">
      <c r="A1694" s="31">
        <v>846.5</v>
      </c>
      <c r="B1694" s="19"/>
      <c r="C1694" s="19" t="s">
        <v>22</v>
      </c>
      <c r="D1694" s="37">
        <v>45900</v>
      </c>
      <c r="E1694" s="31" t="s">
        <v>1059</v>
      </c>
      <c r="F1694" s="31" t="s">
        <v>741</v>
      </c>
      <c r="G1694" s="31">
        <v>2609</v>
      </c>
      <c r="H1694" s="31" t="s">
        <v>160</v>
      </c>
      <c r="J1694" s="38">
        <v>6266.52</v>
      </c>
    </row>
    <row r="1695" spans="1:10" x14ac:dyDescent="0.35">
      <c r="A1695" s="31">
        <v>847</v>
      </c>
      <c r="B1695" s="19" t="s">
        <v>17</v>
      </c>
      <c r="C1695" s="19"/>
      <c r="D1695" s="37">
        <v>45900</v>
      </c>
      <c r="E1695" s="31" t="s">
        <v>1060</v>
      </c>
      <c r="F1695" s="31" t="s">
        <v>741</v>
      </c>
      <c r="G1695" s="31">
        <v>2609</v>
      </c>
      <c r="H1695" s="31" t="s">
        <v>160</v>
      </c>
      <c r="I1695" s="38">
        <v>645.04999999999995</v>
      </c>
    </row>
    <row r="1696" spans="1:10" x14ac:dyDescent="0.35">
      <c r="A1696" s="31">
        <v>847.5</v>
      </c>
      <c r="B1696" s="19"/>
      <c r="C1696" s="19" t="s">
        <v>22</v>
      </c>
      <c r="D1696" s="37">
        <v>45900</v>
      </c>
      <c r="E1696" s="31" t="s">
        <v>1060</v>
      </c>
      <c r="F1696" s="31" t="s">
        <v>741</v>
      </c>
      <c r="G1696" s="31">
        <v>2609</v>
      </c>
      <c r="H1696" s="31" t="s">
        <v>160</v>
      </c>
      <c r="J1696" s="38">
        <v>645.04999999999995</v>
      </c>
    </row>
    <row r="1697" spans="1:10" x14ac:dyDescent="0.35">
      <c r="A1697" s="31">
        <v>848</v>
      </c>
      <c r="B1697" s="19" t="s">
        <v>17</v>
      </c>
      <c r="C1697" s="19"/>
      <c r="D1697" s="37">
        <v>45900</v>
      </c>
      <c r="E1697" s="31" t="s">
        <v>1061</v>
      </c>
      <c r="F1697" s="31" t="s">
        <v>741</v>
      </c>
      <c r="G1697" s="31">
        <v>2609</v>
      </c>
      <c r="H1697" s="31" t="s">
        <v>160</v>
      </c>
      <c r="I1697" s="38">
        <v>500</v>
      </c>
    </row>
    <row r="1698" spans="1:10" x14ac:dyDescent="0.35">
      <c r="A1698" s="31">
        <v>848.5</v>
      </c>
      <c r="B1698" s="19"/>
      <c r="C1698" s="19" t="s">
        <v>22</v>
      </c>
      <c r="D1698" s="37">
        <v>45900</v>
      </c>
      <c r="E1698" s="31" t="s">
        <v>1061</v>
      </c>
      <c r="F1698" s="31" t="s">
        <v>741</v>
      </c>
      <c r="G1698" s="31">
        <v>2609</v>
      </c>
      <c r="H1698" s="31" t="s">
        <v>160</v>
      </c>
      <c r="J1698" s="38">
        <v>500</v>
      </c>
    </row>
    <row r="1699" spans="1:10" x14ac:dyDescent="0.35">
      <c r="A1699" s="31">
        <v>849</v>
      </c>
      <c r="B1699" s="19" t="s">
        <v>17</v>
      </c>
      <c r="C1699" s="19"/>
      <c r="D1699" s="37">
        <v>45900</v>
      </c>
      <c r="E1699" s="31">
        <v>37776</v>
      </c>
      <c r="F1699" s="31" t="s">
        <v>741</v>
      </c>
      <c r="G1699" s="31">
        <v>2609</v>
      </c>
      <c r="H1699" s="31" t="s">
        <v>160</v>
      </c>
      <c r="I1699" s="38">
        <v>288</v>
      </c>
    </row>
    <row r="1700" spans="1:10" x14ac:dyDescent="0.35">
      <c r="A1700" s="31">
        <v>849.5</v>
      </c>
      <c r="B1700" s="19"/>
      <c r="C1700" s="19" t="s">
        <v>22</v>
      </c>
      <c r="D1700" s="37">
        <v>45900</v>
      </c>
      <c r="E1700" s="31">
        <v>37776</v>
      </c>
      <c r="F1700" s="31" t="s">
        <v>741</v>
      </c>
      <c r="G1700" s="31">
        <v>2609</v>
      </c>
      <c r="H1700" s="31" t="s">
        <v>160</v>
      </c>
      <c r="J1700" s="38">
        <v>288</v>
      </c>
    </row>
    <row r="1701" spans="1:10" x14ac:dyDescent="0.35">
      <c r="A1701" s="31">
        <v>850</v>
      </c>
      <c r="B1701" s="19" t="s">
        <v>17</v>
      </c>
      <c r="C1701" s="19"/>
      <c r="D1701" s="37">
        <v>45900</v>
      </c>
      <c r="E1701" s="31" t="s">
        <v>1062</v>
      </c>
      <c r="F1701" s="31" t="s">
        <v>741</v>
      </c>
      <c r="G1701" s="31">
        <v>2609</v>
      </c>
      <c r="H1701" s="31" t="s">
        <v>160</v>
      </c>
      <c r="I1701" s="38">
        <v>54.54</v>
      </c>
    </row>
    <row r="1702" spans="1:10" x14ac:dyDescent="0.35">
      <c r="A1702" s="31">
        <v>850.5</v>
      </c>
      <c r="B1702" s="19"/>
      <c r="C1702" s="19" t="s">
        <v>22</v>
      </c>
      <c r="D1702" s="37">
        <v>45900</v>
      </c>
      <c r="E1702" s="31" t="s">
        <v>1062</v>
      </c>
      <c r="F1702" s="31" t="s">
        <v>741</v>
      </c>
      <c r="G1702" s="31">
        <v>2609</v>
      </c>
      <c r="H1702" s="31" t="s">
        <v>160</v>
      </c>
      <c r="J1702" s="38">
        <v>54.54</v>
      </c>
    </row>
    <row r="1703" spans="1:10" x14ac:dyDescent="0.35">
      <c r="A1703" s="31">
        <v>851</v>
      </c>
      <c r="B1703" s="19" t="s">
        <v>17</v>
      </c>
      <c r="C1703" s="19"/>
      <c r="D1703" s="37">
        <v>45900</v>
      </c>
      <c r="E1703" s="31">
        <v>37903</v>
      </c>
      <c r="F1703" s="31" t="s">
        <v>284</v>
      </c>
      <c r="G1703" s="31">
        <v>3368</v>
      </c>
      <c r="H1703" s="31" t="s">
        <v>160</v>
      </c>
      <c r="I1703" s="38">
        <v>945</v>
      </c>
    </row>
    <row r="1704" spans="1:10" x14ac:dyDescent="0.35">
      <c r="A1704" s="31">
        <v>851.5</v>
      </c>
      <c r="B1704" s="19"/>
      <c r="C1704" s="19" t="s">
        <v>22</v>
      </c>
      <c r="D1704" s="37">
        <v>45900</v>
      </c>
      <c r="E1704" s="31">
        <v>37903</v>
      </c>
      <c r="F1704" s="31" t="s">
        <v>284</v>
      </c>
      <c r="G1704" s="31">
        <v>3368</v>
      </c>
      <c r="H1704" s="31" t="s">
        <v>160</v>
      </c>
      <c r="J1704" s="38">
        <v>945</v>
      </c>
    </row>
    <row r="1705" spans="1:10" x14ac:dyDescent="0.35">
      <c r="A1705" s="31">
        <v>852</v>
      </c>
      <c r="B1705" s="19" t="s">
        <v>17</v>
      </c>
      <c r="C1705" s="19"/>
      <c r="D1705" s="37">
        <v>45900</v>
      </c>
      <c r="E1705" s="31" t="s">
        <v>1063</v>
      </c>
      <c r="F1705" s="31" t="s">
        <v>284</v>
      </c>
      <c r="G1705" s="31">
        <v>3368</v>
      </c>
      <c r="H1705" s="31" t="s">
        <v>160</v>
      </c>
      <c r="I1705" s="38">
        <v>153267.85999999999</v>
      </c>
    </row>
    <row r="1706" spans="1:10" x14ac:dyDescent="0.35">
      <c r="A1706" s="31">
        <v>852.5</v>
      </c>
      <c r="B1706" s="19"/>
      <c r="C1706" s="19" t="s">
        <v>22</v>
      </c>
      <c r="D1706" s="37">
        <v>45900</v>
      </c>
      <c r="E1706" s="31" t="s">
        <v>1063</v>
      </c>
      <c r="F1706" s="31" t="s">
        <v>284</v>
      </c>
      <c r="G1706" s="31">
        <v>3368</v>
      </c>
      <c r="H1706" s="31" t="s">
        <v>160</v>
      </c>
      <c r="J1706" s="38">
        <v>153267.85999999999</v>
      </c>
    </row>
    <row r="1707" spans="1:10" x14ac:dyDescent="0.35">
      <c r="A1707" s="31">
        <v>853</v>
      </c>
      <c r="B1707" s="19" t="s">
        <v>17</v>
      </c>
      <c r="C1707" s="19"/>
      <c r="D1707" s="37">
        <v>45900</v>
      </c>
      <c r="E1707" s="31" t="s">
        <v>1064</v>
      </c>
      <c r="F1707" s="31" t="s">
        <v>59</v>
      </c>
      <c r="G1707" s="31">
        <v>1720</v>
      </c>
      <c r="H1707" s="31" t="s">
        <v>160</v>
      </c>
      <c r="I1707" s="38">
        <v>32292</v>
      </c>
    </row>
    <row r="1708" spans="1:10" x14ac:dyDescent="0.35">
      <c r="A1708" s="31">
        <v>853.5</v>
      </c>
      <c r="B1708" s="19"/>
      <c r="C1708" s="19" t="s">
        <v>22</v>
      </c>
      <c r="D1708" s="37">
        <v>45900</v>
      </c>
      <c r="E1708" s="31" t="s">
        <v>1064</v>
      </c>
      <c r="F1708" s="31" t="s">
        <v>59</v>
      </c>
      <c r="G1708" s="31">
        <v>1720</v>
      </c>
      <c r="H1708" s="31" t="s">
        <v>160</v>
      </c>
      <c r="J1708" s="38">
        <v>32292</v>
      </c>
    </row>
    <row r="1709" spans="1:10" x14ac:dyDescent="0.35">
      <c r="A1709" s="31">
        <v>854</v>
      </c>
      <c r="B1709" s="19" t="s">
        <v>17</v>
      </c>
      <c r="C1709" s="19"/>
      <c r="D1709" s="37">
        <v>45900</v>
      </c>
      <c r="E1709" s="31" t="s">
        <v>1065</v>
      </c>
      <c r="F1709" s="31" t="s">
        <v>59</v>
      </c>
      <c r="G1709" s="31">
        <v>1720</v>
      </c>
      <c r="H1709" s="31" t="s">
        <v>160</v>
      </c>
      <c r="I1709" s="38">
        <v>0</v>
      </c>
    </row>
    <row r="1710" spans="1:10" x14ac:dyDescent="0.35">
      <c r="A1710" s="31">
        <v>854.5</v>
      </c>
      <c r="B1710" s="19"/>
      <c r="C1710" s="19" t="s">
        <v>22</v>
      </c>
      <c r="D1710" s="37">
        <v>45900</v>
      </c>
      <c r="E1710" s="31" t="s">
        <v>1065</v>
      </c>
      <c r="F1710" s="31" t="s">
        <v>59</v>
      </c>
      <c r="G1710" s="31">
        <v>1720</v>
      </c>
      <c r="H1710" s="31" t="s">
        <v>160</v>
      </c>
      <c r="J1710" s="38">
        <v>0</v>
      </c>
    </row>
    <row r="1711" spans="1:10" x14ac:dyDescent="0.35">
      <c r="A1711" s="31">
        <v>855</v>
      </c>
      <c r="B1711" s="19" t="s">
        <v>17</v>
      </c>
      <c r="C1711" s="19"/>
      <c r="D1711" s="37">
        <v>45900</v>
      </c>
      <c r="E1711" s="31" t="s">
        <v>1066</v>
      </c>
      <c r="F1711" s="31" t="s">
        <v>59</v>
      </c>
      <c r="G1711" s="31">
        <v>1720</v>
      </c>
      <c r="H1711" s="31" t="s">
        <v>160</v>
      </c>
      <c r="I1711" s="38">
        <v>6113.98</v>
      </c>
    </row>
    <row r="1712" spans="1:10" x14ac:dyDescent="0.35">
      <c r="A1712" s="31">
        <v>855.5</v>
      </c>
      <c r="B1712" s="19"/>
      <c r="C1712" s="19" t="s">
        <v>22</v>
      </c>
      <c r="D1712" s="37">
        <v>45900</v>
      </c>
      <c r="E1712" s="31" t="s">
        <v>1066</v>
      </c>
      <c r="F1712" s="31" t="s">
        <v>59</v>
      </c>
      <c r="G1712" s="31">
        <v>1720</v>
      </c>
      <c r="H1712" s="31" t="s">
        <v>160</v>
      </c>
      <c r="J1712" s="38">
        <v>6113.98</v>
      </c>
    </row>
    <row r="1713" spans="1:10" x14ac:dyDescent="0.35">
      <c r="A1713" s="31">
        <v>856</v>
      </c>
      <c r="B1713" s="19" t="s">
        <v>17</v>
      </c>
      <c r="C1713" s="19"/>
      <c r="D1713" s="37">
        <v>45900</v>
      </c>
      <c r="E1713" s="31" t="s">
        <v>1067</v>
      </c>
      <c r="F1713" s="31" t="s">
        <v>59</v>
      </c>
      <c r="G1713" s="31">
        <v>1720</v>
      </c>
      <c r="H1713" s="31" t="s">
        <v>160</v>
      </c>
      <c r="I1713" s="38">
        <v>29035.5</v>
      </c>
    </row>
    <row r="1714" spans="1:10" x14ac:dyDescent="0.35">
      <c r="A1714" s="31">
        <v>856.5</v>
      </c>
      <c r="B1714" s="19"/>
      <c r="C1714" s="19" t="s">
        <v>22</v>
      </c>
      <c r="D1714" s="37">
        <v>45900</v>
      </c>
      <c r="E1714" s="31" t="s">
        <v>1067</v>
      </c>
      <c r="F1714" s="31" t="s">
        <v>59</v>
      </c>
      <c r="G1714" s="31">
        <v>1720</v>
      </c>
      <c r="H1714" s="31" t="s">
        <v>160</v>
      </c>
      <c r="J1714" s="38">
        <v>29035.5</v>
      </c>
    </row>
    <row r="1715" spans="1:10" x14ac:dyDescent="0.35">
      <c r="A1715" s="31">
        <v>857</v>
      </c>
      <c r="B1715" s="19" t="s">
        <v>17</v>
      </c>
      <c r="C1715" s="19"/>
      <c r="D1715" s="37">
        <v>45900</v>
      </c>
      <c r="E1715" s="31" t="s">
        <v>1068</v>
      </c>
      <c r="F1715" s="31" t="s">
        <v>59</v>
      </c>
      <c r="G1715" s="31">
        <v>1720</v>
      </c>
      <c r="H1715" s="31" t="s">
        <v>160</v>
      </c>
      <c r="I1715" s="38">
        <v>0</v>
      </c>
    </row>
    <row r="1716" spans="1:10" x14ac:dyDescent="0.35">
      <c r="A1716" s="31">
        <v>857.5</v>
      </c>
      <c r="B1716" s="19"/>
      <c r="C1716" s="19" t="s">
        <v>22</v>
      </c>
      <c r="D1716" s="37">
        <v>45900</v>
      </c>
      <c r="E1716" s="31" t="s">
        <v>1068</v>
      </c>
      <c r="F1716" s="31" t="s">
        <v>59</v>
      </c>
      <c r="G1716" s="31">
        <v>1720</v>
      </c>
      <c r="H1716" s="31" t="s">
        <v>160</v>
      </c>
      <c r="J1716" s="38">
        <v>0</v>
      </c>
    </row>
    <row r="1717" spans="1:10" x14ac:dyDescent="0.35">
      <c r="A1717" s="31">
        <v>858</v>
      </c>
      <c r="B1717" s="19" t="s">
        <v>17</v>
      </c>
      <c r="C1717" s="19"/>
      <c r="D1717" s="37">
        <v>45900</v>
      </c>
      <c r="E1717" s="31" t="s">
        <v>1069</v>
      </c>
      <c r="F1717" s="31" t="s">
        <v>59</v>
      </c>
      <c r="G1717" s="31">
        <v>1720</v>
      </c>
      <c r="H1717" s="31" t="s">
        <v>160</v>
      </c>
      <c r="I1717" s="38">
        <v>70297.64</v>
      </c>
    </row>
    <row r="1718" spans="1:10" x14ac:dyDescent="0.35">
      <c r="A1718" s="31">
        <v>858.5</v>
      </c>
      <c r="B1718" s="19"/>
      <c r="C1718" s="19" t="s">
        <v>22</v>
      </c>
      <c r="D1718" s="37">
        <v>45900</v>
      </c>
      <c r="E1718" s="31" t="s">
        <v>1069</v>
      </c>
      <c r="F1718" s="31" t="s">
        <v>59</v>
      </c>
      <c r="G1718" s="31">
        <v>1720</v>
      </c>
      <c r="H1718" s="31" t="s">
        <v>160</v>
      </c>
      <c r="J1718" s="38">
        <v>70297.64</v>
      </c>
    </row>
    <row r="1719" spans="1:10" x14ac:dyDescent="0.35">
      <c r="A1719" s="31">
        <v>859</v>
      </c>
      <c r="B1719" s="19" t="s">
        <v>17</v>
      </c>
      <c r="C1719" s="19"/>
      <c r="D1719" s="37">
        <v>45900</v>
      </c>
      <c r="E1719" s="31" t="s">
        <v>1070</v>
      </c>
      <c r="F1719" s="31" t="s">
        <v>59</v>
      </c>
      <c r="G1719" s="31">
        <v>1720</v>
      </c>
      <c r="H1719" s="31" t="s">
        <v>160</v>
      </c>
      <c r="I1719" s="38">
        <v>0</v>
      </c>
    </row>
    <row r="1720" spans="1:10" x14ac:dyDescent="0.35">
      <c r="A1720" s="31">
        <v>859.5</v>
      </c>
      <c r="B1720" s="19"/>
      <c r="C1720" s="19" t="s">
        <v>22</v>
      </c>
      <c r="D1720" s="37">
        <v>45900</v>
      </c>
      <c r="E1720" s="31" t="s">
        <v>1070</v>
      </c>
      <c r="F1720" s="31" t="s">
        <v>59</v>
      </c>
      <c r="G1720" s="31">
        <v>1720</v>
      </c>
      <c r="H1720" s="31" t="s">
        <v>160</v>
      </c>
      <c r="J1720" s="38">
        <v>0</v>
      </c>
    </row>
    <row r="1721" spans="1:10" x14ac:dyDescent="0.35">
      <c r="A1721" s="31">
        <v>860</v>
      </c>
      <c r="B1721" s="19" t="s">
        <v>17</v>
      </c>
      <c r="C1721" s="19"/>
      <c r="D1721" s="37">
        <v>45900</v>
      </c>
      <c r="E1721" s="31" t="s">
        <v>1071</v>
      </c>
      <c r="F1721" s="31" t="s">
        <v>59</v>
      </c>
      <c r="G1721" s="31">
        <v>1720</v>
      </c>
      <c r="H1721" s="31" t="s">
        <v>160</v>
      </c>
      <c r="I1721" s="38">
        <v>1199.97</v>
      </c>
    </row>
    <row r="1722" spans="1:10" x14ac:dyDescent="0.35">
      <c r="A1722" s="31">
        <v>860.5</v>
      </c>
      <c r="B1722" s="19"/>
      <c r="C1722" s="19" t="s">
        <v>22</v>
      </c>
      <c r="D1722" s="37">
        <v>45900</v>
      </c>
      <c r="E1722" s="31" t="s">
        <v>1071</v>
      </c>
      <c r="F1722" s="31" t="s">
        <v>59</v>
      </c>
      <c r="G1722" s="31">
        <v>1720</v>
      </c>
      <c r="H1722" s="31" t="s">
        <v>160</v>
      </c>
      <c r="J1722" s="38">
        <v>1199.97</v>
      </c>
    </row>
    <row r="1723" spans="1:10" x14ac:dyDescent="0.35">
      <c r="A1723" s="31">
        <v>861</v>
      </c>
      <c r="B1723" s="19" t="s">
        <v>17</v>
      </c>
      <c r="C1723" s="19"/>
      <c r="D1723" s="37">
        <v>45900</v>
      </c>
      <c r="E1723" s="31" t="s">
        <v>1072</v>
      </c>
      <c r="F1723" s="31" t="s">
        <v>59</v>
      </c>
      <c r="G1723" s="31">
        <v>1720</v>
      </c>
      <c r="H1723" s="31" t="s">
        <v>160</v>
      </c>
      <c r="I1723" s="38">
        <v>4182.88</v>
      </c>
    </row>
    <row r="1724" spans="1:10" x14ac:dyDescent="0.35">
      <c r="A1724" s="31">
        <v>861.5</v>
      </c>
      <c r="B1724" s="19"/>
      <c r="C1724" s="19" t="s">
        <v>22</v>
      </c>
      <c r="D1724" s="37">
        <v>45900</v>
      </c>
      <c r="E1724" s="31" t="s">
        <v>1072</v>
      </c>
      <c r="F1724" s="31" t="s">
        <v>59</v>
      </c>
      <c r="G1724" s="31">
        <v>1720</v>
      </c>
      <c r="H1724" s="31" t="s">
        <v>160</v>
      </c>
      <c r="J1724" s="38">
        <v>4182.88</v>
      </c>
    </row>
    <row r="1725" spans="1:10" x14ac:dyDescent="0.35">
      <c r="A1725" s="31">
        <v>862</v>
      </c>
      <c r="B1725" s="19" t="s">
        <v>17</v>
      </c>
      <c r="C1725" s="19"/>
      <c r="D1725" s="37">
        <v>45900</v>
      </c>
      <c r="E1725" s="31" t="s">
        <v>1073</v>
      </c>
      <c r="F1725" s="31" t="s">
        <v>1074</v>
      </c>
      <c r="G1725" s="31">
        <v>3562</v>
      </c>
      <c r="H1725" s="31" t="s">
        <v>160</v>
      </c>
      <c r="I1725" s="38">
        <v>250</v>
      </c>
    </row>
    <row r="1726" spans="1:10" x14ac:dyDescent="0.35">
      <c r="A1726" s="31">
        <v>862.5</v>
      </c>
      <c r="B1726" s="19"/>
      <c r="C1726" s="19" t="s">
        <v>22</v>
      </c>
      <c r="D1726" s="37">
        <v>45900</v>
      </c>
      <c r="E1726" s="31" t="s">
        <v>1073</v>
      </c>
      <c r="F1726" s="31" t="s">
        <v>1074</v>
      </c>
      <c r="G1726" s="31">
        <v>3562</v>
      </c>
      <c r="H1726" s="31" t="s">
        <v>160</v>
      </c>
      <c r="J1726" s="38">
        <v>250</v>
      </c>
    </row>
    <row r="1727" spans="1:10" x14ac:dyDescent="0.35">
      <c r="A1727" s="31">
        <v>863</v>
      </c>
      <c r="B1727" s="19" t="s">
        <v>17</v>
      </c>
      <c r="C1727" s="19"/>
      <c r="D1727" s="37">
        <v>45900</v>
      </c>
      <c r="E1727" s="31">
        <v>38055</v>
      </c>
      <c r="F1727" s="31" t="s">
        <v>50</v>
      </c>
      <c r="G1727" s="31">
        <v>1938</v>
      </c>
      <c r="H1727" s="31" t="s">
        <v>160</v>
      </c>
      <c r="I1727" s="38">
        <v>0</v>
      </c>
    </row>
    <row r="1728" spans="1:10" x14ac:dyDescent="0.35">
      <c r="A1728" s="31">
        <v>863.5</v>
      </c>
      <c r="B1728" s="19"/>
      <c r="C1728" s="19" t="s">
        <v>22</v>
      </c>
      <c r="D1728" s="37">
        <v>45900</v>
      </c>
      <c r="E1728" s="31">
        <v>38055</v>
      </c>
      <c r="F1728" s="31" t="s">
        <v>50</v>
      </c>
      <c r="G1728" s="31">
        <v>1938</v>
      </c>
      <c r="H1728" s="31" t="s">
        <v>160</v>
      </c>
      <c r="J1728" s="38">
        <v>0</v>
      </c>
    </row>
    <row r="1729" spans="1:10" x14ac:dyDescent="0.35">
      <c r="A1729" s="31">
        <v>864</v>
      </c>
      <c r="B1729" s="19" t="s">
        <v>17</v>
      </c>
      <c r="C1729" s="19"/>
      <c r="D1729" s="37">
        <v>45900</v>
      </c>
      <c r="E1729" s="31" t="s">
        <v>1075</v>
      </c>
      <c r="F1729" s="31" t="s">
        <v>60</v>
      </c>
      <c r="G1729" s="31">
        <v>3377</v>
      </c>
      <c r="H1729" s="31" t="s">
        <v>160</v>
      </c>
      <c r="I1729" s="38">
        <v>4610.8999999999996</v>
      </c>
    </row>
    <row r="1730" spans="1:10" x14ac:dyDescent="0.35">
      <c r="A1730" s="31">
        <v>864.5</v>
      </c>
      <c r="B1730" s="19"/>
      <c r="C1730" s="19" t="s">
        <v>22</v>
      </c>
      <c r="D1730" s="37">
        <v>45900</v>
      </c>
      <c r="E1730" s="31" t="s">
        <v>1075</v>
      </c>
      <c r="F1730" s="31" t="s">
        <v>60</v>
      </c>
      <c r="G1730" s="31">
        <v>3377</v>
      </c>
      <c r="H1730" s="31" t="s">
        <v>160</v>
      </c>
      <c r="J1730" s="38">
        <v>4610.8999999999996</v>
      </c>
    </row>
    <row r="1731" spans="1:10" x14ac:dyDescent="0.35">
      <c r="A1731" s="31">
        <v>865</v>
      </c>
      <c r="B1731" s="19" t="s">
        <v>17</v>
      </c>
      <c r="C1731" s="19"/>
      <c r="D1731" s="37">
        <v>45900</v>
      </c>
      <c r="E1731" s="31">
        <v>38172</v>
      </c>
      <c r="F1731" s="31" t="s">
        <v>50</v>
      </c>
      <c r="G1731" s="31">
        <v>1938</v>
      </c>
      <c r="H1731" s="31" t="s">
        <v>160</v>
      </c>
      <c r="I1731" s="38">
        <v>0</v>
      </c>
    </row>
    <row r="1732" spans="1:10" x14ac:dyDescent="0.35">
      <c r="A1732" s="31">
        <v>865.5</v>
      </c>
      <c r="B1732" s="19"/>
      <c r="C1732" s="19" t="s">
        <v>22</v>
      </c>
      <c r="D1732" s="37">
        <v>45900</v>
      </c>
      <c r="E1732" s="31">
        <v>38172</v>
      </c>
      <c r="F1732" s="31" t="s">
        <v>50</v>
      </c>
      <c r="G1732" s="31">
        <v>1938</v>
      </c>
      <c r="H1732" s="31" t="s">
        <v>160</v>
      </c>
      <c r="J1732" s="38">
        <v>0</v>
      </c>
    </row>
    <row r="1733" spans="1:10" x14ac:dyDescent="0.35">
      <c r="A1733" s="31">
        <v>866</v>
      </c>
      <c r="B1733" s="19" t="s">
        <v>17</v>
      </c>
      <c r="C1733" s="19"/>
      <c r="D1733" s="37">
        <v>45900</v>
      </c>
      <c r="E1733" s="31" t="s">
        <v>1076</v>
      </c>
      <c r="F1733" s="31" t="s">
        <v>50</v>
      </c>
      <c r="G1733" s="31">
        <v>1938</v>
      </c>
      <c r="H1733" s="31" t="s">
        <v>160</v>
      </c>
      <c r="I1733" s="38">
        <v>0</v>
      </c>
    </row>
    <row r="1734" spans="1:10" x14ac:dyDescent="0.35">
      <c r="A1734" s="31">
        <v>866.5</v>
      </c>
      <c r="B1734" s="19"/>
      <c r="C1734" s="19" t="s">
        <v>22</v>
      </c>
      <c r="D1734" s="37">
        <v>45900</v>
      </c>
      <c r="E1734" s="31" t="s">
        <v>1076</v>
      </c>
      <c r="F1734" s="31" t="s">
        <v>50</v>
      </c>
      <c r="G1734" s="31">
        <v>1938</v>
      </c>
      <c r="H1734" s="31" t="s">
        <v>160</v>
      </c>
      <c r="J1734" s="38">
        <v>0</v>
      </c>
    </row>
    <row r="1735" spans="1:10" x14ac:dyDescent="0.35">
      <c r="A1735" s="31">
        <v>867</v>
      </c>
      <c r="B1735" s="19" t="s">
        <v>17</v>
      </c>
      <c r="C1735" s="19"/>
      <c r="D1735" s="37">
        <v>45900</v>
      </c>
      <c r="E1735" s="31" t="s">
        <v>1077</v>
      </c>
      <c r="F1735" s="31" t="s">
        <v>50</v>
      </c>
      <c r="G1735" s="31">
        <v>1938</v>
      </c>
      <c r="H1735" s="31" t="s">
        <v>160</v>
      </c>
      <c r="I1735" s="38">
        <v>0</v>
      </c>
    </row>
    <row r="1736" spans="1:10" x14ac:dyDescent="0.35">
      <c r="A1736" s="31">
        <v>867.5</v>
      </c>
      <c r="B1736" s="19"/>
      <c r="C1736" s="19" t="s">
        <v>22</v>
      </c>
      <c r="D1736" s="37">
        <v>45900</v>
      </c>
      <c r="E1736" s="31" t="s">
        <v>1077</v>
      </c>
      <c r="F1736" s="31" t="s">
        <v>50</v>
      </c>
      <c r="G1736" s="31">
        <v>1938</v>
      </c>
      <c r="H1736" s="31" t="s">
        <v>160</v>
      </c>
      <c r="J1736" s="38">
        <v>0</v>
      </c>
    </row>
    <row r="1737" spans="1:10" x14ac:dyDescent="0.35">
      <c r="A1737" s="31">
        <v>868</v>
      </c>
      <c r="B1737" s="19" t="s">
        <v>17</v>
      </c>
      <c r="C1737" s="19"/>
      <c r="D1737" s="37">
        <v>45900</v>
      </c>
      <c r="E1737" s="31" t="s">
        <v>1078</v>
      </c>
      <c r="F1737" s="31" t="s">
        <v>50</v>
      </c>
      <c r="G1737" s="31">
        <v>1938</v>
      </c>
      <c r="H1737" s="31" t="s">
        <v>160</v>
      </c>
      <c r="I1737" s="38">
        <v>0</v>
      </c>
    </row>
    <row r="1738" spans="1:10" x14ac:dyDescent="0.35">
      <c r="A1738" s="31">
        <v>868.5</v>
      </c>
      <c r="B1738" s="19"/>
      <c r="C1738" s="19" t="s">
        <v>22</v>
      </c>
      <c r="D1738" s="37">
        <v>45900</v>
      </c>
      <c r="E1738" s="31" t="s">
        <v>1078</v>
      </c>
      <c r="F1738" s="31" t="s">
        <v>50</v>
      </c>
      <c r="G1738" s="31">
        <v>1938</v>
      </c>
      <c r="H1738" s="31" t="s">
        <v>160</v>
      </c>
      <c r="J1738" s="38">
        <v>0</v>
      </c>
    </row>
    <row r="1739" spans="1:10" x14ac:dyDescent="0.35">
      <c r="A1739" s="31">
        <v>869</v>
      </c>
      <c r="B1739" s="19" t="s">
        <v>17</v>
      </c>
      <c r="C1739" s="19"/>
      <c r="D1739" s="37">
        <v>45900</v>
      </c>
      <c r="E1739" s="31" t="s">
        <v>1079</v>
      </c>
      <c r="F1739" s="31" t="s">
        <v>50</v>
      </c>
      <c r="G1739" s="31">
        <v>1938</v>
      </c>
      <c r="H1739" s="31" t="s">
        <v>160</v>
      </c>
      <c r="I1739" s="38">
        <v>0</v>
      </c>
    </row>
    <row r="1740" spans="1:10" x14ac:dyDescent="0.35">
      <c r="A1740" s="31">
        <v>869.5</v>
      </c>
      <c r="B1740" s="19"/>
      <c r="C1740" s="19" t="s">
        <v>22</v>
      </c>
      <c r="D1740" s="37">
        <v>45900</v>
      </c>
      <c r="E1740" s="31" t="s">
        <v>1079</v>
      </c>
      <c r="F1740" s="31" t="s">
        <v>50</v>
      </c>
      <c r="G1740" s="31">
        <v>1938</v>
      </c>
      <c r="H1740" s="31" t="s">
        <v>160</v>
      </c>
      <c r="J1740" s="38">
        <v>0</v>
      </c>
    </row>
    <row r="1741" spans="1:10" x14ac:dyDescent="0.35">
      <c r="A1741" s="31">
        <v>870</v>
      </c>
      <c r="B1741" s="19" t="s">
        <v>17</v>
      </c>
      <c r="C1741" s="19"/>
      <c r="D1741" s="37">
        <v>45900</v>
      </c>
      <c r="E1741" s="31">
        <v>38215</v>
      </c>
      <c r="F1741" s="31" t="s">
        <v>1080</v>
      </c>
      <c r="G1741" s="31">
        <v>1555</v>
      </c>
      <c r="H1741" s="31" t="s">
        <v>160</v>
      </c>
      <c r="I1741" s="38">
        <v>7903.98</v>
      </c>
    </row>
    <row r="1742" spans="1:10" x14ac:dyDescent="0.35">
      <c r="A1742" s="31">
        <v>870.5</v>
      </c>
      <c r="B1742" s="19"/>
      <c r="C1742" s="19" t="s">
        <v>22</v>
      </c>
      <c r="D1742" s="37">
        <v>45900</v>
      </c>
      <c r="E1742" s="31">
        <v>38215</v>
      </c>
      <c r="F1742" s="31" t="s">
        <v>1080</v>
      </c>
      <c r="G1742" s="31">
        <v>1555</v>
      </c>
      <c r="H1742" s="31" t="s">
        <v>160</v>
      </c>
      <c r="J1742" s="38">
        <v>7903.98</v>
      </c>
    </row>
    <row r="1743" spans="1:10" x14ac:dyDescent="0.35">
      <c r="A1743" s="31">
        <v>871</v>
      </c>
      <c r="B1743" s="19" t="s">
        <v>17</v>
      </c>
      <c r="C1743" s="19"/>
      <c r="D1743" s="37">
        <v>45900</v>
      </c>
      <c r="E1743" s="31" t="s">
        <v>1081</v>
      </c>
      <c r="F1743" s="31" t="s">
        <v>50</v>
      </c>
      <c r="G1743" s="31">
        <v>1938</v>
      </c>
      <c r="H1743" s="31" t="s">
        <v>160</v>
      </c>
      <c r="I1743" s="38">
        <v>0</v>
      </c>
    </row>
    <row r="1744" spans="1:10" x14ac:dyDescent="0.35">
      <c r="A1744" s="31">
        <v>871.5</v>
      </c>
      <c r="B1744" s="19"/>
      <c r="C1744" s="19" t="s">
        <v>22</v>
      </c>
      <c r="D1744" s="37">
        <v>45900</v>
      </c>
      <c r="E1744" s="31" t="s">
        <v>1081</v>
      </c>
      <c r="F1744" s="31" t="s">
        <v>50</v>
      </c>
      <c r="G1744" s="31">
        <v>1938</v>
      </c>
      <c r="H1744" s="31" t="s">
        <v>160</v>
      </c>
      <c r="J1744" s="38">
        <v>0</v>
      </c>
    </row>
    <row r="1745" spans="1:10" x14ac:dyDescent="0.35">
      <c r="A1745" s="31">
        <v>872</v>
      </c>
      <c r="B1745" s="19" t="s">
        <v>17</v>
      </c>
      <c r="C1745" s="19"/>
      <c r="D1745" s="37">
        <v>45900</v>
      </c>
      <c r="E1745" s="31" t="s">
        <v>1082</v>
      </c>
      <c r="F1745" s="31" t="s">
        <v>50</v>
      </c>
      <c r="G1745" s="31">
        <v>1938</v>
      </c>
      <c r="H1745" s="31" t="s">
        <v>160</v>
      </c>
      <c r="I1745" s="38">
        <v>0</v>
      </c>
    </row>
    <row r="1746" spans="1:10" x14ac:dyDescent="0.35">
      <c r="A1746" s="31">
        <v>872.5</v>
      </c>
      <c r="B1746" s="19"/>
      <c r="C1746" s="19" t="s">
        <v>22</v>
      </c>
      <c r="D1746" s="37">
        <v>45900</v>
      </c>
      <c r="E1746" s="31" t="s">
        <v>1082</v>
      </c>
      <c r="F1746" s="31" t="s">
        <v>50</v>
      </c>
      <c r="G1746" s="31">
        <v>1938</v>
      </c>
      <c r="H1746" s="31" t="s">
        <v>160</v>
      </c>
      <c r="J1746" s="38">
        <v>0</v>
      </c>
    </row>
    <row r="1747" spans="1:10" x14ac:dyDescent="0.35">
      <c r="A1747" s="31">
        <v>873</v>
      </c>
      <c r="B1747" s="19" t="s">
        <v>17</v>
      </c>
      <c r="C1747" s="19"/>
      <c r="D1747" s="37">
        <v>45900</v>
      </c>
      <c r="E1747" s="31" t="s">
        <v>1083</v>
      </c>
      <c r="F1747" s="31" t="s">
        <v>50</v>
      </c>
      <c r="G1747" s="31">
        <v>1938</v>
      </c>
      <c r="H1747" s="31" t="s">
        <v>160</v>
      </c>
      <c r="I1747" s="38">
        <v>0</v>
      </c>
    </row>
    <row r="1748" spans="1:10" x14ac:dyDescent="0.35">
      <c r="A1748" s="31">
        <v>873.5</v>
      </c>
      <c r="B1748" s="19"/>
      <c r="C1748" s="19" t="s">
        <v>22</v>
      </c>
      <c r="D1748" s="37">
        <v>45900</v>
      </c>
      <c r="E1748" s="31" t="s">
        <v>1083</v>
      </c>
      <c r="F1748" s="31" t="s">
        <v>50</v>
      </c>
      <c r="G1748" s="31">
        <v>1938</v>
      </c>
      <c r="H1748" s="31" t="s">
        <v>160</v>
      </c>
      <c r="J1748" s="38">
        <v>0</v>
      </c>
    </row>
    <row r="1749" spans="1:10" x14ac:dyDescent="0.35">
      <c r="A1749" s="31">
        <v>874</v>
      </c>
      <c r="B1749" s="19" t="s">
        <v>17</v>
      </c>
      <c r="C1749" s="19"/>
      <c r="D1749" s="37">
        <v>45900</v>
      </c>
      <c r="E1749" s="31" t="s">
        <v>1084</v>
      </c>
      <c r="F1749" s="31" t="s">
        <v>50</v>
      </c>
      <c r="G1749" s="31">
        <v>1938</v>
      </c>
      <c r="H1749" s="31" t="s">
        <v>160</v>
      </c>
      <c r="I1749" s="38">
        <v>0</v>
      </c>
    </row>
    <row r="1750" spans="1:10" x14ac:dyDescent="0.35">
      <c r="A1750" s="31">
        <v>874.5</v>
      </c>
      <c r="B1750" s="19"/>
      <c r="C1750" s="19" t="s">
        <v>22</v>
      </c>
      <c r="D1750" s="37">
        <v>45900</v>
      </c>
      <c r="E1750" s="31" t="s">
        <v>1084</v>
      </c>
      <c r="F1750" s="31" t="s">
        <v>50</v>
      </c>
      <c r="G1750" s="31">
        <v>1938</v>
      </c>
      <c r="H1750" s="31" t="s">
        <v>160</v>
      </c>
      <c r="J1750" s="38">
        <v>0</v>
      </c>
    </row>
    <row r="1751" spans="1:10" x14ac:dyDescent="0.35">
      <c r="A1751" s="31">
        <v>875</v>
      </c>
      <c r="B1751" s="19" t="s">
        <v>17</v>
      </c>
      <c r="C1751" s="19"/>
      <c r="D1751" s="37">
        <v>45900</v>
      </c>
      <c r="E1751" s="31" t="s">
        <v>1085</v>
      </c>
      <c r="F1751" s="31" t="s">
        <v>50</v>
      </c>
      <c r="G1751" s="31">
        <v>1938</v>
      </c>
      <c r="H1751" s="31" t="s">
        <v>160</v>
      </c>
      <c r="I1751" s="38">
        <v>0</v>
      </c>
    </row>
    <row r="1752" spans="1:10" x14ac:dyDescent="0.35">
      <c r="A1752" s="31">
        <v>875.5</v>
      </c>
      <c r="B1752" s="19"/>
      <c r="C1752" s="19" t="s">
        <v>22</v>
      </c>
      <c r="D1752" s="37">
        <v>45900</v>
      </c>
      <c r="E1752" s="31" t="s">
        <v>1085</v>
      </c>
      <c r="F1752" s="31" t="s">
        <v>50</v>
      </c>
      <c r="G1752" s="31">
        <v>1938</v>
      </c>
      <c r="H1752" s="31" t="s">
        <v>160</v>
      </c>
      <c r="J1752" s="38">
        <v>0</v>
      </c>
    </row>
    <row r="1753" spans="1:10" x14ac:dyDescent="0.35">
      <c r="A1753" s="31">
        <v>876</v>
      </c>
      <c r="B1753" s="19" t="s">
        <v>17</v>
      </c>
      <c r="C1753" s="19"/>
      <c r="D1753" s="37">
        <v>45900</v>
      </c>
      <c r="E1753" s="31">
        <v>38262</v>
      </c>
      <c r="F1753" s="31" t="s">
        <v>177</v>
      </c>
      <c r="G1753" s="31">
        <v>3526</v>
      </c>
      <c r="H1753" s="31" t="s">
        <v>160</v>
      </c>
      <c r="I1753" s="38">
        <v>2800.02</v>
      </c>
    </row>
    <row r="1754" spans="1:10" x14ac:dyDescent="0.35">
      <c r="A1754" s="31">
        <v>876.5</v>
      </c>
      <c r="B1754" s="19"/>
      <c r="C1754" s="19" t="s">
        <v>22</v>
      </c>
      <c r="D1754" s="37">
        <v>45900</v>
      </c>
      <c r="E1754" s="31">
        <v>38262</v>
      </c>
      <c r="F1754" s="31" t="s">
        <v>177</v>
      </c>
      <c r="G1754" s="31">
        <v>3526</v>
      </c>
      <c r="H1754" s="31" t="s">
        <v>160</v>
      </c>
      <c r="J1754" s="38">
        <v>2800.02</v>
      </c>
    </row>
    <row r="1755" spans="1:10" x14ac:dyDescent="0.35">
      <c r="A1755" s="31">
        <v>877</v>
      </c>
      <c r="B1755" s="19" t="s">
        <v>17</v>
      </c>
      <c r="C1755" s="19"/>
      <c r="D1755" s="37">
        <v>45900</v>
      </c>
      <c r="E1755" s="31" t="s">
        <v>1086</v>
      </c>
      <c r="F1755" s="31" t="s">
        <v>177</v>
      </c>
      <c r="G1755" s="31">
        <v>3526</v>
      </c>
      <c r="H1755" s="31" t="s">
        <v>160</v>
      </c>
      <c r="I1755" s="38">
        <v>19600.199999999997</v>
      </c>
    </row>
    <row r="1756" spans="1:10" x14ac:dyDescent="0.35">
      <c r="A1756" s="31">
        <v>877.5</v>
      </c>
      <c r="B1756" s="19"/>
      <c r="C1756" s="19" t="s">
        <v>22</v>
      </c>
      <c r="D1756" s="37">
        <v>45900</v>
      </c>
      <c r="E1756" s="31" t="s">
        <v>1086</v>
      </c>
      <c r="F1756" s="31" t="s">
        <v>177</v>
      </c>
      <c r="G1756" s="31">
        <v>3526</v>
      </c>
      <c r="H1756" s="31" t="s">
        <v>160</v>
      </c>
      <c r="J1756" s="38">
        <v>19600.199999999997</v>
      </c>
    </row>
    <row r="1757" spans="1:10" x14ac:dyDescent="0.35">
      <c r="A1757" s="31">
        <v>878</v>
      </c>
      <c r="B1757" s="19" t="s">
        <v>17</v>
      </c>
      <c r="C1757" s="19"/>
      <c r="D1757" s="37">
        <v>45900</v>
      </c>
      <c r="E1757" s="31">
        <v>38267</v>
      </c>
      <c r="F1757" s="31" t="s">
        <v>177</v>
      </c>
      <c r="G1757" s="31">
        <v>3526</v>
      </c>
      <c r="H1757" s="31" t="s">
        <v>160</v>
      </c>
      <c r="I1757" s="38">
        <v>7385.8899999999994</v>
      </c>
    </row>
    <row r="1758" spans="1:10" x14ac:dyDescent="0.35">
      <c r="A1758" s="31">
        <v>878.5</v>
      </c>
      <c r="B1758" s="19"/>
      <c r="C1758" s="19" t="s">
        <v>22</v>
      </c>
      <c r="D1758" s="37">
        <v>45900</v>
      </c>
      <c r="E1758" s="31">
        <v>38267</v>
      </c>
      <c r="F1758" s="31" t="s">
        <v>177</v>
      </c>
      <c r="G1758" s="31">
        <v>3526</v>
      </c>
      <c r="H1758" s="31" t="s">
        <v>160</v>
      </c>
      <c r="J1758" s="38">
        <v>7385.8899999999994</v>
      </c>
    </row>
    <row r="1759" spans="1:10" x14ac:dyDescent="0.35">
      <c r="A1759" s="31">
        <v>879</v>
      </c>
      <c r="B1759" s="19" t="s">
        <v>17</v>
      </c>
      <c r="C1759" s="19"/>
      <c r="D1759" s="37">
        <v>45900</v>
      </c>
      <c r="E1759" s="31">
        <v>38317</v>
      </c>
      <c r="F1759" s="31" t="s">
        <v>1087</v>
      </c>
      <c r="G1759" s="31">
        <v>1553</v>
      </c>
      <c r="H1759" s="31" t="s">
        <v>160</v>
      </c>
      <c r="I1759" s="38">
        <v>43245.59</v>
      </c>
    </row>
    <row r="1760" spans="1:10" x14ac:dyDescent="0.35">
      <c r="A1760" s="31">
        <v>879.5</v>
      </c>
      <c r="B1760" s="19"/>
      <c r="C1760" s="19" t="s">
        <v>22</v>
      </c>
      <c r="D1760" s="37">
        <v>45900</v>
      </c>
      <c r="E1760" s="31">
        <v>38317</v>
      </c>
      <c r="F1760" s="31" t="s">
        <v>1087</v>
      </c>
      <c r="G1760" s="31">
        <v>1553</v>
      </c>
      <c r="H1760" s="31" t="s">
        <v>160</v>
      </c>
      <c r="J1760" s="38">
        <v>43245.59</v>
      </c>
    </row>
    <row r="1761" spans="1:10" x14ac:dyDescent="0.35">
      <c r="A1761" s="31">
        <v>880</v>
      </c>
      <c r="B1761" s="19" t="s">
        <v>17</v>
      </c>
      <c r="C1761" s="19"/>
      <c r="D1761" s="37">
        <v>45900</v>
      </c>
      <c r="E1761" s="31" t="s">
        <v>1088</v>
      </c>
      <c r="F1761" s="31" t="s">
        <v>48</v>
      </c>
      <c r="G1761" s="31">
        <v>2752</v>
      </c>
      <c r="H1761" s="31" t="s">
        <v>160</v>
      </c>
      <c r="I1761" s="38">
        <v>747.5</v>
      </c>
    </row>
    <row r="1762" spans="1:10" x14ac:dyDescent="0.35">
      <c r="A1762" s="31">
        <v>880.5</v>
      </c>
      <c r="B1762" s="19"/>
      <c r="C1762" s="19" t="s">
        <v>22</v>
      </c>
      <c r="D1762" s="37">
        <v>45900</v>
      </c>
      <c r="E1762" s="31" t="s">
        <v>1088</v>
      </c>
      <c r="F1762" s="31" t="s">
        <v>48</v>
      </c>
      <c r="G1762" s="31">
        <v>2752</v>
      </c>
      <c r="H1762" s="31" t="s">
        <v>160</v>
      </c>
      <c r="J1762" s="38">
        <v>747.5</v>
      </c>
    </row>
    <row r="1763" spans="1:10" x14ac:dyDescent="0.35">
      <c r="A1763" s="31">
        <v>881</v>
      </c>
      <c r="B1763" s="19" t="s">
        <v>17</v>
      </c>
      <c r="C1763" s="19"/>
      <c r="D1763" s="37">
        <v>45900</v>
      </c>
      <c r="E1763" s="31" t="s">
        <v>1089</v>
      </c>
      <c r="F1763" s="31" t="s">
        <v>48</v>
      </c>
      <c r="G1763" s="31">
        <v>2752</v>
      </c>
      <c r="H1763" s="31" t="s">
        <v>160</v>
      </c>
      <c r="I1763" s="38">
        <v>813.28</v>
      </c>
    </row>
    <row r="1764" spans="1:10" x14ac:dyDescent="0.35">
      <c r="A1764" s="31">
        <v>881.5</v>
      </c>
      <c r="B1764" s="19"/>
      <c r="C1764" s="19" t="s">
        <v>22</v>
      </c>
      <c r="D1764" s="37">
        <v>45900</v>
      </c>
      <c r="E1764" s="31" t="s">
        <v>1089</v>
      </c>
      <c r="F1764" s="31" t="s">
        <v>48</v>
      </c>
      <c r="G1764" s="31">
        <v>2752</v>
      </c>
      <c r="H1764" s="31" t="s">
        <v>160</v>
      </c>
      <c r="J1764" s="38">
        <v>813.28</v>
      </c>
    </row>
    <row r="1765" spans="1:10" x14ac:dyDescent="0.35">
      <c r="A1765" s="31">
        <v>882</v>
      </c>
      <c r="B1765" s="19" t="s">
        <v>17</v>
      </c>
      <c r="C1765" s="19"/>
      <c r="D1765" s="37">
        <v>45900</v>
      </c>
      <c r="E1765" s="31">
        <v>38407</v>
      </c>
      <c r="F1765" s="31" t="s">
        <v>59</v>
      </c>
      <c r="G1765" s="31">
        <v>1720</v>
      </c>
      <c r="H1765" s="31" t="s">
        <v>160</v>
      </c>
      <c r="I1765" s="38">
        <v>0</v>
      </c>
    </row>
    <row r="1766" spans="1:10" x14ac:dyDescent="0.35">
      <c r="A1766" s="31">
        <v>882.5</v>
      </c>
      <c r="B1766" s="19"/>
      <c r="C1766" s="19" t="s">
        <v>22</v>
      </c>
      <c r="D1766" s="37">
        <v>45900</v>
      </c>
      <c r="E1766" s="31">
        <v>38407</v>
      </c>
      <c r="F1766" s="31" t="s">
        <v>59</v>
      </c>
      <c r="G1766" s="31">
        <v>1720</v>
      </c>
      <c r="H1766" s="31" t="s">
        <v>160</v>
      </c>
      <c r="J1766" s="38">
        <v>0</v>
      </c>
    </row>
    <row r="1767" spans="1:10" x14ac:dyDescent="0.35">
      <c r="A1767" s="31">
        <v>883</v>
      </c>
      <c r="B1767" s="19" t="s">
        <v>17</v>
      </c>
      <c r="C1767" s="19"/>
      <c r="D1767" s="37">
        <v>45900</v>
      </c>
      <c r="E1767" s="31">
        <v>38473</v>
      </c>
      <c r="F1767" s="31" t="s">
        <v>1090</v>
      </c>
      <c r="G1767" s="31">
        <v>2519</v>
      </c>
      <c r="H1767" s="31" t="s">
        <v>160</v>
      </c>
      <c r="I1767" s="38">
        <v>17076.490000000002</v>
      </c>
    </row>
    <row r="1768" spans="1:10" x14ac:dyDescent="0.35">
      <c r="A1768" s="31">
        <v>883.5</v>
      </c>
      <c r="B1768" s="19"/>
      <c r="C1768" s="19" t="s">
        <v>22</v>
      </c>
      <c r="D1768" s="37">
        <v>45900</v>
      </c>
      <c r="E1768" s="31">
        <v>38473</v>
      </c>
      <c r="F1768" s="31" t="s">
        <v>1090</v>
      </c>
      <c r="G1768" s="31">
        <v>2519</v>
      </c>
      <c r="H1768" s="31" t="s">
        <v>160</v>
      </c>
      <c r="J1768" s="38">
        <v>17076.490000000002</v>
      </c>
    </row>
    <row r="1769" spans="1:10" x14ac:dyDescent="0.35">
      <c r="A1769" s="31">
        <v>884</v>
      </c>
      <c r="B1769" s="19" t="s">
        <v>17</v>
      </c>
      <c r="C1769" s="19"/>
      <c r="D1769" s="37">
        <v>45900</v>
      </c>
      <c r="E1769" s="31" t="s">
        <v>1091</v>
      </c>
      <c r="F1769" s="31" t="s">
        <v>50</v>
      </c>
      <c r="G1769" s="31">
        <v>1938</v>
      </c>
      <c r="H1769" s="31" t="s">
        <v>160</v>
      </c>
      <c r="I1769" s="38">
        <v>0</v>
      </c>
    </row>
    <row r="1770" spans="1:10" x14ac:dyDescent="0.35">
      <c r="A1770" s="31">
        <v>884.5</v>
      </c>
      <c r="B1770" s="19"/>
      <c r="C1770" s="19" t="s">
        <v>22</v>
      </c>
      <c r="D1770" s="37">
        <v>45900</v>
      </c>
      <c r="E1770" s="31" t="s">
        <v>1091</v>
      </c>
      <c r="F1770" s="31" t="s">
        <v>50</v>
      </c>
      <c r="G1770" s="31">
        <v>1938</v>
      </c>
      <c r="H1770" s="31" t="s">
        <v>160</v>
      </c>
      <c r="J1770" s="38">
        <v>0</v>
      </c>
    </row>
    <row r="1771" spans="1:10" x14ac:dyDescent="0.35">
      <c r="A1771" s="31">
        <v>885</v>
      </c>
      <c r="B1771" s="19" t="s">
        <v>17</v>
      </c>
      <c r="C1771" s="19"/>
      <c r="D1771" s="37">
        <v>45900</v>
      </c>
      <c r="E1771" s="31" t="s">
        <v>1092</v>
      </c>
      <c r="F1771" s="31" t="s">
        <v>1093</v>
      </c>
      <c r="G1771" s="31">
        <v>2484</v>
      </c>
      <c r="H1771" s="31" t="s">
        <v>160</v>
      </c>
      <c r="I1771" s="38">
        <v>0</v>
      </c>
    </row>
    <row r="1772" spans="1:10" x14ac:dyDescent="0.35">
      <c r="A1772" s="31">
        <v>885.5</v>
      </c>
      <c r="B1772" s="19"/>
      <c r="C1772" s="19" t="s">
        <v>22</v>
      </c>
      <c r="D1772" s="37">
        <v>45900</v>
      </c>
      <c r="E1772" s="31" t="s">
        <v>1092</v>
      </c>
      <c r="F1772" s="31" t="s">
        <v>1093</v>
      </c>
      <c r="G1772" s="31">
        <v>2484</v>
      </c>
      <c r="H1772" s="31" t="s">
        <v>160</v>
      </c>
      <c r="J1772" s="38">
        <v>0</v>
      </c>
    </row>
    <row r="1773" spans="1:10" x14ac:dyDescent="0.35">
      <c r="A1773" s="31">
        <v>886</v>
      </c>
      <c r="B1773" s="19" t="s">
        <v>17</v>
      </c>
      <c r="C1773" s="19"/>
      <c r="D1773" s="37">
        <v>45900</v>
      </c>
      <c r="E1773" s="31" t="s">
        <v>1094</v>
      </c>
      <c r="F1773" s="31" t="s">
        <v>1095</v>
      </c>
      <c r="G1773" s="31">
        <v>3563</v>
      </c>
      <c r="H1773" s="31" t="s">
        <v>160</v>
      </c>
      <c r="I1773" s="38">
        <v>523.35</v>
      </c>
    </row>
    <row r="1774" spans="1:10" x14ac:dyDescent="0.35">
      <c r="A1774" s="31">
        <v>886.5</v>
      </c>
      <c r="B1774" s="19"/>
      <c r="C1774" s="19" t="s">
        <v>22</v>
      </c>
      <c r="D1774" s="37">
        <v>45900</v>
      </c>
      <c r="E1774" s="31" t="s">
        <v>1094</v>
      </c>
      <c r="F1774" s="31" t="s">
        <v>1095</v>
      </c>
      <c r="G1774" s="31">
        <v>3563</v>
      </c>
      <c r="H1774" s="31" t="s">
        <v>160</v>
      </c>
      <c r="J1774" s="38">
        <v>523.35</v>
      </c>
    </row>
    <row r="1775" spans="1:10" x14ac:dyDescent="0.35">
      <c r="A1775" s="31">
        <v>887</v>
      </c>
      <c r="B1775" s="19" t="s">
        <v>17</v>
      </c>
      <c r="C1775" s="19"/>
      <c r="D1775" s="37">
        <v>45900</v>
      </c>
      <c r="E1775" s="31" t="s">
        <v>1096</v>
      </c>
      <c r="F1775" s="31" t="s">
        <v>1097</v>
      </c>
      <c r="G1775" s="31">
        <v>3564</v>
      </c>
      <c r="H1775" s="31" t="s">
        <v>160</v>
      </c>
      <c r="I1775" s="38">
        <v>14924.64</v>
      </c>
    </row>
    <row r="1776" spans="1:10" x14ac:dyDescent="0.35">
      <c r="A1776" s="31">
        <v>887.5</v>
      </c>
      <c r="B1776" s="19"/>
      <c r="C1776" s="19" t="s">
        <v>22</v>
      </c>
      <c r="D1776" s="37">
        <v>45900</v>
      </c>
      <c r="E1776" s="31" t="s">
        <v>1096</v>
      </c>
      <c r="F1776" s="31" t="s">
        <v>1097</v>
      </c>
      <c r="G1776" s="31">
        <v>3564</v>
      </c>
      <c r="H1776" s="31" t="s">
        <v>160</v>
      </c>
      <c r="J1776" s="38">
        <v>14924.64</v>
      </c>
    </row>
    <row r="1777" spans="1:10" x14ac:dyDescent="0.35">
      <c r="A1777" s="31">
        <v>888</v>
      </c>
      <c r="B1777" s="19" t="s">
        <v>17</v>
      </c>
      <c r="C1777" s="19"/>
      <c r="D1777" s="37">
        <v>45900</v>
      </c>
      <c r="E1777" s="31">
        <v>38527</v>
      </c>
      <c r="F1777" s="31" t="s">
        <v>1098</v>
      </c>
      <c r="G1777" s="31">
        <v>540</v>
      </c>
      <c r="H1777" s="31" t="s">
        <v>160</v>
      </c>
      <c r="I1777" s="38">
        <v>2040</v>
      </c>
    </row>
    <row r="1778" spans="1:10" x14ac:dyDescent="0.35">
      <c r="A1778" s="31">
        <v>888.5</v>
      </c>
      <c r="B1778" s="19"/>
      <c r="C1778" s="19" t="s">
        <v>22</v>
      </c>
      <c r="D1778" s="37">
        <v>45900</v>
      </c>
      <c r="E1778" s="31">
        <v>38527</v>
      </c>
      <c r="F1778" s="31" t="s">
        <v>1098</v>
      </c>
      <c r="G1778" s="31">
        <v>540</v>
      </c>
      <c r="H1778" s="31" t="s">
        <v>160</v>
      </c>
      <c r="J1778" s="38">
        <v>2040</v>
      </c>
    </row>
    <row r="1779" spans="1:10" x14ac:dyDescent="0.35">
      <c r="A1779" s="31">
        <v>889</v>
      </c>
      <c r="B1779" s="19" t="s">
        <v>17</v>
      </c>
      <c r="C1779" s="19"/>
      <c r="D1779" s="37">
        <v>45900</v>
      </c>
      <c r="E1779" s="31" t="s">
        <v>1099</v>
      </c>
      <c r="F1779" s="31" t="s">
        <v>125</v>
      </c>
      <c r="G1779" s="31">
        <v>3355</v>
      </c>
      <c r="H1779" s="31" t="s">
        <v>160</v>
      </c>
      <c r="I1779" s="38">
        <v>0</v>
      </c>
    </row>
    <row r="1780" spans="1:10" x14ac:dyDescent="0.35">
      <c r="A1780" s="31">
        <v>889.5</v>
      </c>
      <c r="B1780" s="19"/>
      <c r="C1780" s="19" t="s">
        <v>22</v>
      </c>
      <c r="D1780" s="37">
        <v>45900</v>
      </c>
      <c r="E1780" s="31" t="s">
        <v>1099</v>
      </c>
      <c r="F1780" s="31" t="s">
        <v>125</v>
      </c>
      <c r="G1780" s="31">
        <v>3355</v>
      </c>
      <c r="H1780" s="31" t="s">
        <v>160</v>
      </c>
      <c r="J1780" s="38">
        <v>0</v>
      </c>
    </row>
    <row r="1781" spans="1:10" x14ac:dyDescent="0.35">
      <c r="A1781" s="31">
        <v>890</v>
      </c>
      <c r="B1781" s="19" t="s">
        <v>17</v>
      </c>
      <c r="C1781" s="19"/>
      <c r="D1781" s="37">
        <v>45900</v>
      </c>
      <c r="E1781" s="31" t="s">
        <v>1100</v>
      </c>
      <c r="F1781" s="31" t="s">
        <v>125</v>
      </c>
      <c r="G1781" s="31">
        <v>3355</v>
      </c>
      <c r="H1781" s="31" t="s">
        <v>160</v>
      </c>
      <c r="I1781" s="38">
        <v>0</v>
      </c>
    </row>
    <row r="1782" spans="1:10" x14ac:dyDescent="0.35">
      <c r="A1782" s="31">
        <v>890.5</v>
      </c>
      <c r="B1782" s="19"/>
      <c r="C1782" s="19" t="s">
        <v>22</v>
      </c>
      <c r="D1782" s="37">
        <v>45900</v>
      </c>
      <c r="E1782" s="31" t="s">
        <v>1100</v>
      </c>
      <c r="F1782" s="31" t="s">
        <v>125</v>
      </c>
      <c r="G1782" s="31">
        <v>3355</v>
      </c>
      <c r="H1782" s="31" t="s">
        <v>160</v>
      </c>
      <c r="J1782" s="38">
        <v>0</v>
      </c>
    </row>
    <row r="1783" spans="1:10" x14ac:dyDescent="0.35">
      <c r="A1783" s="31">
        <v>891</v>
      </c>
      <c r="B1783" s="19" t="s">
        <v>17</v>
      </c>
      <c r="C1783" s="19"/>
      <c r="D1783" s="37">
        <v>45900</v>
      </c>
      <c r="E1783" s="31" t="s">
        <v>1101</v>
      </c>
      <c r="F1783" s="31" t="s">
        <v>125</v>
      </c>
      <c r="G1783" s="31">
        <v>3355</v>
      </c>
      <c r="H1783" s="31" t="s">
        <v>160</v>
      </c>
      <c r="I1783" s="38">
        <v>0</v>
      </c>
    </row>
    <row r="1784" spans="1:10" x14ac:dyDescent="0.35">
      <c r="A1784" s="31">
        <v>891.5</v>
      </c>
      <c r="B1784" s="19"/>
      <c r="C1784" s="19" t="s">
        <v>22</v>
      </c>
      <c r="D1784" s="37">
        <v>45900</v>
      </c>
      <c r="E1784" s="31" t="s">
        <v>1101</v>
      </c>
      <c r="F1784" s="31" t="s">
        <v>125</v>
      </c>
      <c r="G1784" s="31">
        <v>3355</v>
      </c>
      <c r="H1784" s="31" t="s">
        <v>160</v>
      </c>
      <c r="J1784" s="38">
        <v>0</v>
      </c>
    </row>
    <row r="1785" spans="1:10" x14ac:dyDescent="0.35">
      <c r="A1785" s="31">
        <v>892</v>
      </c>
      <c r="B1785" s="19" t="s">
        <v>17</v>
      </c>
      <c r="C1785" s="19"/>
      <c r="D1785" s="37">
        <v>45900</v>
      </c>
      <c r="E1785" s="31">
        <v>38553</v>
      </c>
      <c r="F1785" s="31" t="s">
        <v>50</v>
      </c>
      <c r="G1785" s="31">
        <v>1938</v>
      </c>
      <c r="H1785" s="31" t="s">
        <v>160</v>
      </c>
      <c r="I1785" s="38">
        <v>0</v>
      </c>
    </row>
    <row r="1786" spans="1:10" x14ac:dyDescent="0.35">
      <c r="A1786" s="31">
        <v>892.5</v>
      </c>
      <c r="B1786" s="19"/>
      <c r="C1786" s="19" t="s">
        <v>22</v>
      </c>
      <c r="D1786" s="37">
        <v>45900</v>
      </c>
      <c r="E1786" s="31">
        <v>38553</v>
      </c>
      <c r="F1786" s="31" t="s">
        <v>50</v>
      </c>
      <c r="G1786" s="31">
        <v>1938</v>
      </c>
      <c r="H1786" s="31" t="s">
        <v>160</v>
      </c>
      <c r="J1786" s="38">
        <v>0</v>
      </c>
    </row>
    <row r="1787" spans="1:10" x14ac:dyDescent="0.35">
      <c r="A1787" s="31">
        <v>893</v>
      </c>
      <c r="B1787" s="19" t="s">
        <v>17</v>
      </c>
      <c r="C1787" s="19"/>
      <c r="D1787" s="37">
        <v>45900</v>
      </c>
      <c r="E1787" s="31" t="s">
        <v>1102</v>
      </c>
      <c r="F1787" s="31" t="s">
        <v>50</v>
      </c>
      <c r="G1787" s="31">
        <v>1938</v>
      </c>
      <c r="H1787" s="31" t="s">
        <v>160</v>
      </c>
      <c r="I1787" s="38">
        <v>0</v>
      </c>
    </row>
    <row r="1788" spans="1:10" x14ac:dyDescent="0.35">
      <c r="A1788" s="31">
        <v>893.5</v>
      </c>
      <c r="B1788" s="19"/>
      <c r="C1788" s="19" t="s">
        <v>22</v>
      </c>
      <c r="D1788" s="37">
        <v>45900</v>
      </c>
      <c r="E1788" s="31" t="s">
        <v>1102</v>
      </c>
      <c r="F1788" s="31" t="s">
        <v>50</v>
      </c>
      <c r="G1788" s="31">
        <v>1938</v>
      </c>
      <c r="H1788" s="31" t="s">
        <v>160</v>
      </c>
      <c r="J1788" s="38">
        <v>0</v>
      </c>
    </row>
    <row r="1789" spans="1:10" x14ac:dyDescent="0.35">
      <c r="A1789" s="31">
        <v>894</v>
      </c>
      <c r="B1789" s="19" t="s">
        <v>17</v>
      </c>
      <c r="C1789" s="19"/>
      <c r="D1789" s="37">
        <v>45900</v>
      </c>
      <c r="E1789" s="31">
        <v>38557</v>
      </c>
      <c r="F1789" s="31" t="s">
        <v>50</v>
      </c>
      <c r="G1789" s="31">
        <v>1938</v>
      </c>
      <c r="H1789" s="31" t="s">
        <v>160</v>
      </c>
      <c r="I1789" s="38">
        <v>1981.1000000000001</v>
      </c>
    </row>
    <row r="1790" spans="1:10" x14ac:dyDescent="0.35">
      <c r="A1790" s="31">
        <v>894.5</v>
      </c>
      <c r="B1790" s="19"/>
      <c r="C1790" s="19" t="s">
        <v>22</v>
      </c>
      <c r="D1790" s="37">
        <v>45900</v>
      </c>
      <c r="E1790" s="31">
        <v>38557</v>
      </c>
      <c r="F1790" s="31" t="s">
        <v>50</v>
      </c>
      <c r="G1790" s="31">
        <v>1938</v>
      </c>
      <c r="H1790" s="31" t="s">
        <v>160</v>
      </c>
      <c r="J1790" s="38">
        <v>1981.1000000000001</v>
      </c>
    </row>
    <row r="1791" spans="1:10" x14ac:dyDescent="0.35">
      <c r="A1791" s="31">
        <v>895</v>
      </c>
      <c r="B1791" s="19" t="s">
        <v>17</v>
      </c>
      <c r="C1791" s="19"/>
      <c r="D1791" s="37">
        <v>45900</v>
      </c>
      <c r="E1791" s="31">
        <v>38603</v>
      </c>
      <c r="F1791" s="53" t="s">
        <v>1242</v>
      </c>
      <c r="G1791" s="31">
        <v>515</v>
      </c>
      <c r="H1791" s="31" t="s">
        <v>160</v>
      </c>
      <c r="I1791" s="38">
        <v>1025.79</v>
      </c>
    </row>
    <row r="1792" spans="1:10" x14ac:dyDescent="0.35">
      <c r="A1792" s="31">
        <v>895.5</v>
      </c>
      <c r="B1792" s="19"/>
      <c r="C1792" s="19" t="s">
        <v>22</v>
      </c>
      <c r="D1792" s="37">
        <v>45900</v>
      </c>
      <c r="E1792" s="31">
        <v>38603</v>
      </c>
      <c r="F1792" s="53" t="s">
        <v>1242</v>
      </c>
      <c r="G1792" s="31">
        <v>515</v>
      </c>
      <c r="H1792" s="31" t="s">
        <v>160</v>
      </c>
      <c r="J1792" s="38">
        <v>1025.79</v>
      </c>
    </row>
    <row r="1793" spans="1:10" x14ac:dyDescent="0.35">
      <c r="A1793" s="31">
        <v>896</v>
      </c>
      <c r="B1793" s="19" t="s">
        <v>17</v>
      </c>
      <c r="C1793" s="19"/>
      <c r="D1793" s="37">
        <v>45900</v>
      </c>
      <c r="E1793" s="31" t="s">
        <v>1104</v>
      </c>
      <c r="F1793" s="31" t="s">
        <v>253</v>
      </c>
      <c r="G1793" s="31">
        <v>546</v>
      </c>
      <c r="H1793" s="31" t="s">
        <v>160</v>
      </c>
      <c r="I1793" s="38">
        <v>900</v>
      </c>
    </row>
    <row r="1794" spans="1:10" x14ac:dyDescent="0.35">
      <c r="A1794" s="31">
        <v>896.5</v>
      </c>
      <c r="B1794" s="19"/>
      <c r="C1794" s="19" t="s">
        <v>22</v>
      </c>
      <c r="D1794" s="37">
        <v>45900</v>
      </c>
      <c r="E1794" s="31" t="s">
        <v>1104</v>
      </c>
      <c r="F1794" s="31" t="s">
        <v>253</v>
      </c>
      <c r="G1794" s="31">
        <v>546</v>
      </c>
      <c r="H1794" s="31" t="s">
        <v>160</v>
      </c>
      <c r="J1794" s="38">
        <v>900</v>
      </c>
    </row>
    <row r="1795" spans="1:10" x14ac:dyDescent="0.35">
      <c r="A1795" s="31">
        <v>897</v>
      </c>
      <c r="B1795" s="19" t="s">
        <v>17</v>
      </c>
      <c r="C1795" s="19"/>
      <c r="D1795" s="37">
        <v>45900</v>
      </c>
      <c r="E1795" s="31">
        <v>38607</v>
      </c>
      <c r="F1795" s="31" t="s">
        <v>1087</v>
      </c>
      <c r="G1795" s="31">
        <v>1553</v>
      </c>
      <c r="H1795" s="31" t="s">
        <v>160</v>
      </c>
      <c r="I1795" s="38">
        <v>4616.5</v>
      </c>
    </row>
    <row r="1796" spans="1:10" x14ac:dyDescent="0.35">
      <c r="A1796" s="31">
        <v>897.5</v>
      </c>
      <c r="B1796" s="19"/>
      <c r="C1796" s="19" t="s">
        <v>22</v>
      </c>
      <c r="D1796" s="37">
        <v>45900</v>
      </c>
      <c r="E1796" s="31">
        <v>38607</v>
      </c>
      <c r="F1796" s="31" t="s">
        <v>1087</v>
      </c>
      <c r="G1796" s="31">
        <v>1553</v>
      </c>
      <c r="H1796" s="31" t="s">
        <v>160</v>
      </c>
      <c r="J1796" s="38">
        <v>4616.5</v>
      </c>
    </row>
    <row r="1797" spans="1:10" x14ac:dyDescent="0.35">
      <c r="A1797" s="31">
        <v>898</v>
      </c>
      <c r="B1797" s="19" t="s">
        <v>17</v>
      </c>
      <c r="C1797" s="19"/>
      <c r="D1797" s="37">
        <v>45900</v>
      </c>
      <c r="E1797" s="31">
        <v>38621</v>
      </c>
      <c r="F1797" s="31" t="s">
        <v>1027</v>
      </c>
      <c r="G1797" s="31">
        <v>3397</v>
      </c>
      <c r="H1797" s="31" t="s">
        <v>160</v>
      </c>
      <c r="I1797" s="38">
        <v>18109.689999999999</v>
      </c>
    </row>
    <row r="1798" spans="1:10" x14ac:dyDescent="0.35">
      <c r="A1798" s="31">
        <v>898.5</v>
      </c>
      <c r="B1798" s="19"/>
      <c r="C1798" s="19" t="s">
        <v>22</v>
      </c>
      <c r="D1798" s="37">
        <v>45900</v>
      </c>
      <c r="E1798" s="31">
        <v>38621</v>
      </c>
      <c r="F1798" s="31" t="s">
        <v>1027</v>
      </c>
      <c r="G1798" s="31">
        <v>3397</v>
      </c>
      <c r="H1798" s="31" t="s">
        <v>160</v>
      </c>
      <c r="J1798" s="38">
        <v>18109.689999999999</v>
      </c>
    </row>
    <row r="1799" spans="1:10" x14ac:dyDescent="0.35">
      <c r="A1799" s="31">
        <v>899</v>
      </c>
      <c r="B1799" s="19" t="s">
        <v>17</v>
      </c>
      <c r="C1799" s="19"/>
      <c r="D1799" s="37">
        <v>45900</v>
      </c>
      <c r="E1799" s="31">
        <v>38627</v>
      </c>
      <c r="F1799" s="31" t="s">
        <v>284</v>
      </c>
      <c r="G1799" s="31">
        <v>3368</v>
      </c>
      <c r="H1799" s="31" t="s">
        <v>160</v>
      </c>
      <c r="I1799" s="38">
        <v>3668.16</v>
      </c>
    </row>
    <row r="1800" spans="1:10" x14ac:dyDescent="0.35">
      <c r="A1800" s="31">
        <v>899.5</v>
      </c>
      <c r="B1800" s="19"/>
      <c r="C1800" s="19" t="s">
        <v>22</v>
      </c>
      <c r="D1800" s="37">
        <v>45900</v>
      </c>
      <c r="E1800" s="31">
        <v>38627</v>
      </c>
      <c r="F1800" s="31" t="s">
        <v>284</v>
      </c>
      <c r="G1800" s="31">
        <v>3368</v>
      </c>
      <c r="H1800" s="31" t="s">
        <v>160</v>
      </c>
      <c r="J1800" s="38">
        <v>3668.16</v>
      </c>
    </row>
    <row r="1801" spans="1:10" x14ac:dyDescent="0.35">
      <c r="A1801" s="31">
        <v>900</v>
      </c>
      <c r="B1801" s="19" t="s">
        <v>17</v>
      </c>
      <c r="C1801" s="19"/>
      <c r="D1801" s="37">
        <v>45900</v>
      </c>
      <c r="E1801" s="31">
        <v>38636</v>
      </c>
      <c r="F1801" s="31" t="s">
        <v>903</v>
      </c>
      <c r="G1801" s="31">
        <v>2623</v>
      </c>
      <c r="H1801" s="31" t="s">
        <v>160</v>
      </c>
      <c r="I1801" s="38">
        <v>6920</v>
      </c>
    </row>
    <row r="1802" spans="1:10" x14ac:dyDescent="0.35">
      <c r="A1802" s="31">
        <v>900.5</v>
      </c>
      <c r="B1802" s="19"/>
      <c r="C1802" s="19" t="s">
        <v>22</v>
      </c>
      <c r="D1802" s="37">
        <v>45900</v>
      </c>
      <c r="E1802" s="31">
        <v>38636</v>
      </c>
      <c r="F1802" s="31" t="s">
        <v>903</v>
      </c>
      <c r="G1802" s="31">
        <v>2623</v>
      </c>
      <c r="H1802" s="31" t="s">
        <v>160</v>
      </c>
      <c r="J1802" s="38">
        <v>6920</v>
      </c>
    </row>
    <row r="1803" spans="1:10" x14ac:dyDescent="0.35">
      <c r="A1803" s="31">
        <v>901</v>
      </c>
      <c r="B1803" s="19" t="s">
        <v>17</v>
      </c>
      <c r="C1803" s="19"/>
      <c r="D1803" s="37">
        <v>45900</v>
      </c>
      <c r="E1803" s="31">
        <v>38670</v>
      </c>
      <c r="F1803" s="31" t="s">
        <v>1105</v>
      </c>
      <c r="G1803" s="31">
        <v>2597</v>
      </c>
      <c r="H1803" s="31" t="s">
        <v>160</v>
      </c>
      <c r="I1803" s="38">
        <v>157976</v>
      </c>
    </row>
    <row r="1804" spans="1:10" x14ac:dyDescent="0.35">
      <c r="A1804" s="31">
        <v>901.5</v>
      </c>
      <c r="B1804" s="19"/>
      <c r="C1804" s="19" t="s">
        <v>22</v>
      </c>
      <c r="D1804" s="37">
        <v>45900</v>
      </c>
      <c r="E1804" s="31">
        <v>38670</v>
      </c>
      <c r="F1804" s="31" t="s">
        <v>1105</v>
      </c>
      <c r="G1804" s="31">
        <v>2597</v>
      </c>
      <c r="H1804" s="31" t="s">
        <v>160</v>
      </c>
      <c r="J1804" s="38">
        <v>157976</v>
      </c>
    </row>
    <row r="1805" spans="1:10" x14ac:dyDescent="0.35">
      <c r="A1805" s="31">
        <v>902</v>
      </c>
      <c r="B1805" s="19" t="s">
        <v>17</v>
      </c>
      <c r="C1805" s="19"/>
      <c r="D1805" s="37">
        <v>45900</v>
      </c>
      <c r="E1805" s="31">
        <v>38671</v>
      </c>
      <c r="F1805" s="31" t="s">
        <v>59</v>
      </c>
      <c r="G1805" s="31">
        <v>1720</v>
      </c>
      <c r="H1805" s="31" t="s">
        <v>160</v>
      </c>
      <c r="I1805" s="38">
        <v>28395.789999999997</v>
      </c>
    </row>
    <row r="1806" spans="1:10" x14ac:dyDescent="0.35">
      <c r="A1806" s="31">
        <v>902.5</v>
      </c>
      <c r="B1806" s="19"/>
      <c r="C1806" s="19" t="s">
        <v>22</v>
      </c>
      <c r="D1806" s="37">
        <v>45900</v>
      </c>
      <c r="E1806" s="31">
        <v>38671</v>
      </c>
      <c r="F1806" s="31" t="s">
        <v>59</v>
      </c>
      <c r="G1806" s="31">
        <v>1720</v>
      </c>
      <c r="H1806" s="31" t="s">
        <v>160</v>
      </c>
      <c r="J1806" s="38">
        <v>28395.789999999997</v>
      </c>
    </row>
    <row r="1807" spans="1:10" x14ac:dyDescent="0.35">
      <c r="A1807" s="31">
        <v>903</v>
      </c>
      <c r="B1807" s="19" t="s">
        <v>17</v>
      </c>
      <c r="C1807" s="19"/>
      <c r="D1807" s="37">
        <v>45900</v>
      </c>
      <c r="E1807" s="31" t="s">
        <v>1106</v>
      </c>
      <c r="F1807" s="31" t="s">
        <v>59</v>
      </c>
      <c r="G1807" s="31">
        <v>1720</v>
      </c>
      <c r="H1807" s="31" t="s">
        <v>160</v>
      </c>
      <c r="I1807" s="38">
        <v>57659.76</v>
      </c>
    </row>
    <row r="1808" spans="1:10" x14ac:dyDescent="0.35">
      <c r="A1808" s="31">
        <v>903.5</v>
      </c>
      <c r="B1808" s="19"/>
      <c r="C1808" s="19" t="s">
        <v>22</v>
      </c>
      <c r="D1808" s="37">
        <v>45900</v>
      </c>
      <c r="E1808" s="31" t="s">
        <v>1106</v>
      </c>
      <c r="F1808" s="31" t="s">
        <v>59</v>
      </c>
      <c r="G1808" s="31">
        <v>1720</v>
      </c>
      <c r="H1808" s="31" t="s">
        <v>160</v>
      </c>
      <c r="J1808" s="38">
        <v>57659.76</v>
      </c>
    </row>
    <row r="1809" spans="1:10" x14ac:dyDescent="0.35">
      <c r="A1809" s="31">
        <v>904</v>
      </c>
      <c r="B1809" s="19" t="s">
        <v>17</v>
      </c>
      <c r="C1809" s="19"/>
      <c r="D1809" s="37">
        <v>45900</v>
      </c>
      <c r="E1809" s="31">
        <v>38674</v>
      </c>
      <c r="F1809" s="31" t="s">
        <v>1107</v>
      </c>
      <c r="G1809" s="31">
        <v>3565</v>
      </c>
      <c r="H1809" s="31" t="s">
        <v>160</v>
      </c>
      <c r="I1809" s="38">
        <v>151</v>
      </c>
    </row>
    <row r="1810" spans="1:10" x14ac:dyDescent="0.35">
      <c r="A1810" s="31">
        <v>904.5</v>
      </c>
      <c r="B1810" s="19"/>
      <c r="C1810" s="19" t="s">
        <v>22</v>
      </c>
      <c r="D1810" s="37">
        <v>45900</v>
      </c>
      <c r="E1810" s="31">
        <v>38674</v>
      </c>
      <c r="F1810" s="31" t="s">
        <v>1107</v>
      </c>
      <c r="G1810" s="31">
        <v>3565</v>
      </c>
      <c r="H1810" s="31" t="s">
        <v>160</v>
      </c>
      <c r="J1810" s="38">
        <v>151</v>
      </c>
    </row>
    <row r="1811" spans="1:10" x14ac:dyDescent="0.35">
      <c r="A1811" s="31">
        <v>905</v>
      </c>
      <c r="B1811" s="19" t="s">
        <v>17</v>
      </c>
      <c r="C1811" s="19"/>
      <c r="D1811" s="37">
        <v>45900</v>
      </c>
      <c r="E1811" s="31">
        <v>38701</v>
      </c>
      <c r="F1811" s="31" t="s">
        <v>923</v>
      </c>
      <c r="G1811" s="31">
        <v>454</v>
      </c>
      <c r="H1811" s="31" t="s">
        <v>160</v>
      </c>
      <c r="I1811" s="38">
        <v>634.73</v>
      </c>
    </row>
    <row r="1812" spans="1:10" x14ac:dyDescent="0.35">
      <c r="A1812" s="31">
        <v>905.5</v>
      </c>
      <c r="B1812" s="19"/>
      <c r="C1812" s="19" t="s">
        <v>22</v>
      </c>
      <c r="D1812" s="37">
        <v>45900</v>
      </c>
      <c r="E1812" s="31">
        <v>38701</v>
      </c>
      <c r="F1812" s="31" t="s">
        <v>923</v>
      </c>
      <c r="G1812" s="31">
        <v>454</v>
      </c>
      <c r="H1812" s="31" t="s">
        <v>160</v>
      </c>
      <c r="J1812" s="38">
        <v>634.73</v>
      </c>
    </row>
    <row r="1813" spans="1:10" x14ac:dyDescent="0.35">
      <c r="A1813" s="31">
        <v>906</v>
      </c>
      <c r="B1813" s="19" t="s">
        <v>17</v>
      </c>
      <c r="C1813" s="19"/>
      <c r="D1813" s="37">
        <v>45900</v>
      </c>
      <c r="E1813" s="31">
        <v>38718</v>
      </c>
      <c r="F1813" s="31" t="s">
        <v>1108</v>
      </c>
      <c r="G1813" s="31">
        <v>2599</v>
      </c>
      <c r="H1813" s="31" t="s">
        <v>160</v>
      </c>
      <c r="I1813" s="38">
        <v>1247.75</v>
      </c>
    </row>
    <row r="1814" spans="1:10" x14ac:dyDescent="0.35">
      <c r="A1814" s="31">
        <v>906.5</v>
      </c>
      <c r="B1814" s="19"/>
      <c r="C1814" s="19" t="s">
        <v>22</v>
      </c>
      <c r="D1814" s="37">
        <v>45900</v>
      </c>
      <c r="E1814" s="31">
        <v>38718</v>
      </c>
      <c r="F1814" s="31" t="s">
        <v>1108</v>
      </c>
      <c r="G1814" s="31">
        <v>2599</v>
      </c>
      <c r="H1814" s="31" t="s">
        <v>160</v>
      </c>
      <c r="J1814" s="38">
        <v>1247.75</v>
      </c>
    </row>
    <row r="1815" spans="1:10" x14ac:dyDescent="0.35">
      <c r="A1815" s="31">
        <v>907</v>
      </c>
      <c r="B1815" s="19" t="s">
        <v>17</v>
      </c>
      <c r="C1815" s="19"/>
      <c r="D1815" s="37">
        <v>45900</v>
      </c>
      <c r="E1815" s="31">
        <v>38721</v>
      </c>
      <c r="F1815" s="31" t="s">
        <v>1109</v>
      </c>
      <c r="G1815" s="31">
        <v>2159</v>
      </c>
      <c r="H1815" s="31" t="s">
        <v>160</v>
      </c>
      <c r="I1815" s="38">
        <v>200</v>
      </c>
    </row>
    <row r="1816" spans="1:10" x14ac:dyDescent="0.35">
      <c r="A1816" s="31">
        <v>907.5</v>
      </c>
      <c r="B1816" s="19"/>
      <c r="C1816" s="19" t="s">
        <v>22</v>
      </c>
      <c r="D1816" s="37">
        <v>45900</v>
      </c>
      <c r="E1816" s="31">
        <v>38721</v>
      </c>
      <c r="F1816" s="31" t="s">
        <v>1109</v>
      </c>
      <c r="G1816" s="31">
        <v>2159</v>
      </c>
      <c r="H1816" s="31" t="s">
        <v>160</v>
      </c>
      <c r="J1816" s="38">
        <v>200</v>
      </c>
    </row>
    <row r="1817" spans="1:10" x14ac:dyDescent="0.35">
      <c r="A1817" s="31">
        <v>908</v>
      </c>
      <c r="B1817" s="19" t="s">
        <v>17</v>
      </c>
      <c r="C1817" s="19"/>
      <c r="D1817" s="37">
        <v>45900</v>
      </c>
      <c r="E1817" s="31">
        <v>38726</v>
      </c>
      <c r="F1817" s="31" t="s">
        <v>1110</v>
      </c>
      <c r="G1817" s="31">
        <v>1933</v>
      </c>
      <c r="H1817" s="31" t="s">
        <v>160</v>
      </c>
      <c r="I1817" s="38">
        <v>1800</v>
      </c>
    </row>
    <row r="1818" spans="1:10" x14ac:dyDescent="0.35">
      <c r="A1818" s="31">
        <v>908.5</v>
      </c>
      <c r="B1818" s="19"/>
      <c r="C1818" s="19" t="s">
        <v>22</v>
      </c>
      <c r="D1818" s="37">
        <v>45900</v>
      </c>
      <c r="E1818" s="31">
        <v>38726</v>
      </c>
      <c r="F1818" s="31" t="s">
        <v>1110</v>
      </c>
      <c r="G1818" s="31">
        <v>1933</v>
      </c>
      <c r="H1818" s="31" t="s">
        <v>160</v>
      </c>
      <c r="J1818" s="38">
        <v>1800</v>
      </c>
    </row>
    <row r="1819" spans="1:10" x14ac:dyDescent="0.35">
      <c r="A1819" s="31">
        <v>909</v>
      </c>
      <c r="B1819" s="19" t="s">
        <v>17</v>
      </c>
      <c r="C1819" s="19"/>
      <c r="D1819" s="37">
        <v>45900</v>
      </c>
      <c r="E1819" s="31" t="s">
        <v>1111</v>
      </c>
      <c r="F1819" s="31" t="s">
        <v>1112</v>
      </c>
      <c r="G1819" s="31">
        <v>2335</v>
      </c>
      <c r="H1819" s="31" t="s">
        <v>160</v>
      </c>
      <c r="I1819" s="38">
        <v>433.65</v>
      </c>
    </row>
    <row r="1820" spans="1:10" x14ac:dyDescent="0.35">
      <c r="A1820" s="31">
        <v>909.5</v>
      </c>
      <c r="B1820" s="19"/>
      <c r="C1820" s="19" t="s">
        <v>22</v>
      </c>
      <c r="D1820" s="37">
        <v>45900</v>
      </c>
      <c r="E1820" s="31" t="s">
        <v>1111</v>
      </c>
      <c r="F1820" s="31" t="s">
        <v>1112</v>
      </c>
      <c r="G1820" s="31">
        <v>2335</v>
      </c>
      <c r="H1820" s="31" t="s">
        <v>160</v>
      </c>
      <c r="J1820" s="38">
        <v>433.65</v>
      </c>
    </row>
    <row r="1821" spans="1:10" x14ac:dyDescent="0.35">
      <c r="A1821" s="31">
        <v>910</v>
      </c>
      <c r="B1821" s="19" t="s">
        <v>17</v>
      </c>
      <c r="C1821" s="19"/>
      <c r="D1821" s="37">
        <v>45900</v>
      </c>
      <c r="E1821" s="31">
        <v>38744</v>
      </c>
      <c r="F1821" s="31" t="s">
        <v>1113</v>
      </c>
      <c r="G1821" s="31">
        <v>632</v>
      </c>
      <c r="H1821" s="31" t="s">
        <v>160</v>
      </c>
      <c r="I1821" s="38">
        <v>1900.32</v>
      </c>
    </row>
    <row r="1822" spans="1:10" x14ac:dyDescent="0.35">
      <c r="A1822" s="31">
        <v>910.5</v>
      </c>
      <c r="B1822" s="19"/>
      <c r="C1822" s="19" t="s">
        <v>22</v>
      </c>
      <c r="D1822" s="37">
        <v>45900</v>
      </c>
      <c r="E1822" s="31">
        <v>38744</v>
      </c>
      <c r="F1822" s="31" t="s">
        <v>1113</v>
      </c>
      <c r="G1822" s="31">
        <v>632</v>
      </c>
      <c r="H1822" s="31" t="s">
        <v>160</v>
      </c>
      <c r="J1822" s="38">
        <v>1900.32</v>
      </c>
    </row>
    <row r="1823" spans="1:10" x14ac:dyDescent="0.35">
      <c r="A1823" s="31">
        <v>911</v>
      </c>
      <c r="B1823" s="19" t="s">
        <v>17</v>
      </c>
      <c r="C1823" s="19"/>
      <c r="D1823" s="37">
        <v>45900</v>
      </c>
      <c r="E1823" s="31">
        <v>38749</v>
      </c>
      <c r="F1823" s="31" t="s">
        <v>655</v>
      </c>
      <c r="G1823" s="31">
        <v>2712</v>
      </c>
      <c r="H1823" s="31" t="s">
        <v>160</v>
      </c>
      <c r="I1823" s="38">
        <v>0</v>
      </c>
    </row>
    <row r="1824" spans="1:10" x14ac:dyDescent="0.35">
      <c r="A1824" s="31">
        <v>911.5</v>
      </c>
      <c r="B1824" s="19"/>
      <c r="C1824" s="19" t="s">
        <v>22</v>
      </c>
      <c r="D1824" s="37">
        <v>45900</v>
      </c>
      <c r="E1824" s="31">
        <v>38749</v>
      </c>
      <c r="F1824" s="31" t="s">
        <v>655</v>
      </c>
      <c r="G1824" s="31">
        <v>2712</v>
      </c>
      <c r="H1824" s="31" t="s">
        <v>160</v>
      </c>
      <c r="J1824" s="38">
        <v>0</v>
      </c>
    </row>
    <row r="1825" spans="1:10" x14ac:dyDescent="0.35">
      <c r="A1825" s="31">
        <v>912</v>
      </c>
      <c r="B1825" s="19" t="s">
        <v>17</v>
      </c>
      <c r="C1825" s="19"/>
      <c r="D1825" s="37">
        <v>45900</v>
      </c>
      <c r="E1825" s="31">
        <v>38758</v>
      </c>
      <c r="F1825" s="31" t="s">
        <v>722</v>
      </c>
      <c r="G1825" s="31">
        <v>2346</v>
      </c>
      <c r="H1825" s="31" t="s">
        <v>160</v>
      </c>
      <c r="I1825" s="38">
        <v>328.57</v>
      </c>
    </row>
    <row r="1826" spans="1:10" x14ac:dyDescent="0.35">
      <c r="A1826" s="31">
        <v>912.5</v>
      </c>
      <c r="B1826" s="19"/>
      <c r="C1826" s="19" t="s">
        <v>22</v>
      </c>
      <c r="D1826" s="37">
        <v>45900</v>
      </c>
      <c r="E1826" s="31">
        <v>38758</v>
      </c>
      <c r="F1826" s="31" t="s">
        <v>722</v>
      </c>
      <c r="G1826" s="31">
        <v>2346</v>
      </c>
      <c r="H1826" s="31" t="s">
        <v>160</v>
      </c>
      <c r="J1826" s="38">
        <v>328.57</v>
      </c>
    </row>
    <row r="1827" spans="1:10" x14ac:dyDescent="0.35">
      <c r="A1827" s="31">
        <v>913</v>
      </c>
      <c r="B1827" s="19" t="s">
        <v>17</v>
      </c>
      <c r="C1827" s="19"/>
      <c r="D1827" s="37">
        <v>45900</v>
      </c>
      <c r="E1827" s="31">
        <v>38785</v>
      </c>
      <c r="F1827" s="31" t="s">
        <v>1114</v>
      </c>
      <c r="G1827" s="31">
        <v>2316</v>
      </c>
      <c r="H1827" s="31" t="s">
        <v>160</v>
      </c>
      <c r="I1827" s="38">
        <v>2604</v>
      </c>
    </row>
    <row r="1828" spans="1:10" x14ac:dyDescent="0.35">
      <c r="A1828" s="31">
        <v>913.5</v>
      </c>
      <c r="B1828" s="19"/>
      <c r="C1828" s="19" t="s">
        <v>22</v>
      </c>
      <c r="D1828" s="37">
        <v>45900</v>
      </c>
      <c r="E1828" s="31">
        <v>38785</v>
      </c>
      <c r="F1828" s="31" t="s">
        <v>1114</v>
      </c>
      <c r="G1828" s="31">
        <v>2316</v>
      </c>
      <c r="H1828" s="31" t="s">
        <v>160</v>
      </c>
      <c r="J1828" s="38">
        <v>2604</v>
      </c>
    </row>
    <row r="1829" spans="1:10" x14ac:dyDescent="0.35">
      <c r="A1829" s="31">
        <v>914</v>
      </c>
      <c r="B1829" s="19" t="s">
        <v>17</v>
      </c>
      <c r="C1829" s="19"/>
      <c r="D1829" s="37">
        <v>45900</v>
      </c>
      <c r="E1829" s="31">
        <v>38793</v>
      </c>
      <c r="F1829" s="31" t="s">
        <v>287</v>
      </c>
      <c r="G1829" s="31">
        <v>2358</v>
      </c>
      <c r="H1829" s="31" t="s">
        <v>160</v>
      </c>
      <c r="I1829" s="38">
        <v>200</v>
      </c>
    </row>
    <row r="1830" spans="1:10" x14ac:dyDescent="0.35">
      <c r="A1830" s="31">
        <v>914.5</v>
      </c>
      <c r="B1830" s="19"/>
      <c r="C1830" s="19" t="s">
        <v>22</v>
      </c>
      <c r="D1830" s="37">
        <v>45900</v>
      </c>
      <c r="E1830" s="31">
        <v>38793</v>
      </c>
      <c r="F1830" s="31" t="s">
        <v>287</v>
      </c>
      <c r="G1830" s="31">
        <v>2358</v>
      </c>
      <c r="H1830" s="31" t="s">
        <v>160</v>
      </c>
      <c r="J1830" s="38">
        <v>200</v>
      </c>
    </row>
    <row r="1831" spans="1:10" x14ac:dyDescent="0.35">
      <c r="A1831" s="31">
        <v>915</v>
      </c>
      <c r="B1831" s="19" t="s">
        <v>17</v>
      </c>
      <c r="C1831" s="19"/>
      <c r="D1831" s="37">
        <v>45900</v>
      </c>
      <c r="E1831" s="31">
        <v>38795</v>
      </c>
      <c r="F1831" s="31" t="s">
        <v>1115</v>
      </c>
      <c r="G1831" s="31">
        <v>2377</v>
      </c>
      <c r="H1831" s="31" t="s">
        <v>160</v>
      </c>
      <c r="I1831" s="38">
        <v>162.78</v>
      </c>
    </row>
    <row r="1832" spans="1:10" x14ac:dyDescent="0.35">
      <c r="A1832" s="31">
        <v>915.5</v>
      </c>
      <c r="B1832" s="19"/>
      <c r="C1832" s="19" t="s">
        <v>22</v>
      </c>
      <c r="D1832" s="37">
        <v>45900</v>
      </c>
      <c r="E1832" s="31">
        <v>38795</v>
      </c>
      <c r="F1832" s="31" t="s">
        <v>1115</v>
      </c>
      <c r="G1832" s="31">
        <v>2377</v>
      </c>
      <c r="H1832" s="31" t="s">
        <v>160</v>
      </c>
      <c r="J1832" s="38">
        <v>162.78</v>
      </c>
    </row>
    <row r="1833" spans="1:10" x14ac:dyDescent="0.35">
      <c r="A1833" s="31">
        <v>916</v>
      </c>
      <c r="B1833" s="19" t="s">
        <v>17</v>
      </c>
      <c r="C1833" s="19"/>
      <c r="D1833" s="37">
        <v>45900</v>
      </c>
      <c r="E1833" s="31">
        <v>38796</v>
      </c>
      <c r="F1833" s="31" t="s">
        <v>1116</v>
      </c>
      <c r="G1833" s="31">
        <v>2379</v>
      </c>
      <c r="H1833" s="31" t="s">
        <v>160</v>
      </c>
      <c r="I1833" s="38">
        <v>465</v>
      </c>
    </row>
    <row r="1834" spans="1:10" x14ac:dyDescent="0.35">
      <c r="A1834" s="31">
        <v>916.5</v>
      </c>
      <c r="B1834" s="19"/>
      <c r="C1834" s="19" t="s">
        <v>22</v>
      </c>
      <c r="D1834" s="37">
        <v>45900</v>
      </c>
      <c r="E1834" s="31">
        <v>38796</v>
      </c>
      <c r="F1834" s="31" t="s">
        <v>1116</v>
      </c>
      <c r="G1834" s="31">
        <v>2379</v>
      </c>
      <c r="H1834" s="31" t="s">
        <v>160</v>
      </c>
      <c r="J1834" s="38">
        <v>465</v>
      </c>
    </row>
    <row r="1835" spans="1:10" x14ac:dyDescent="0.35">
      <c r="A1835" s="31">
        <v>917</v>
      </c>
      <c r="B1835" s="19" t="s">
        <v>17</v>
      </c>
      <c r="C1835" s="19"/>
      <c r="D1835" s="37">
        <v>45900</v>
      </c>
      <c r="E1835" s="31">
        <v>38799</v>
      </c>
      <c r="F1835" s="31" t="s">
        <v>1117</v>
      </c>
      <c r="G1835" s="31">
        <v>2440</v>
      </c>
      <c r="H1835" s="31" t="s">
        <v>160</v>
      </c>
      <c r="I1835" s="38">
        <v>2740</v>
      </c>
    </row>
    <row r="1836" spans="1:10" x14ac:dyDescent="0.35">
      <c r="A1836" s="31">
        <v>917.5</v>
      </c>
      <c r="B1836" s="19"/>
      <c r="C1836" s="19" t="s">
        <v>22</v>
      </c>
      <c r="D1836" s="37">
        <v>45900</v>
      </c>
      <c r="E1836" s="31">
        <v>38799</v>
      </c>
      <c r="F1836" s="31" t="s">
        <v>1117</v>
      </c>
      <c r="G1836" s="31">
        <v>2440</v>
      </c>
      <c r="H1836" s="31" t="s">
        <v>160</v>
      </c>
      <c r="J1836" s="38">
        <v>2740</v>
      </c>
    </row>
    <row r="1837" spans="1:10" x14ac:dyDescent="0.35">
      <c r="A1837" s="31">
        <v>918</v>
      </c>
      <c r="B1837" s="19" t="s">
        <v>17</v>
      </c>
      <c r="C1837" s="19"/>
      <c r="D1837" s="37">
        <v>45900</v>
      </c>
      <c r="E1837" s="31">
        <v>38800</v>
      </c>
      <c r="F1837" s="31" t="s">
        <v>1118</v>
      </c>
      <c r="G1837" s="31">
        <v>2415</v>
      </c>
      <c r="H1837" s="31" t="s">
        <v>160</v>
      </c>
      <c r="I1837" s="38">
        <v>15750</v>
      </c>
    </row>
    <row r="1838" spans="1:10" x14ac:dyDescent="0.35">
      <c r="A1838" s="31">
        <v>918.5</v>
      </c>
      <c r="B1838" s="19"/>
      <c r="C1838" s="19" t="s">
        <v>22</v>
      </c>
      <c r="D1838" s="37">
        <v>45900</v>
      </c>
      <c r="E1838" s="31">
        <v>38800</v>
      </c>
      <c r="F1838" s="31" t="s">
        <v>1118</v>
      </c>
      <c r="G1838" s="31">
        <v>2415</v>
      </c>
      <c r="H1838" s="31" t="s">
        <v>160</v>
      </c>
      <c r="J1838" s="38">
        <v>15750</v>
      </c>
    </row>
    <row r="1839" spans="1:10" x14ac:dyDescent="0.35">
      <c r="A1839" s="31">
        <v>919</v>
      </c>
      <c r="B1839" s="19" t="s">
        <v>17</v>
      </c>
      <c r="C1839" s="19"/>
      <c r="D1839" s="37">
        <v>45900</v>
      </c>
      <c r="E1839" s="31">
        <v>38801</v>
      </c>
      <c r="F1839" s="31" t="s">
        <v>1119</v>
      </c>
      <c r="G1839" s="31">
        <v>2334</v>
      </c>
      <c r="H1839" s="31" t="s">
        <v>160</v>
      </c>
      <c r="I1839" s="38">
        <v>900</v>
      </c>
    </row>
    <row r="1840" spans="1:10" x14ac:dyDescent="0.35">
      <c r="A1840" s="31">
        <v>919.5</v>
      </c>
      <c r="B1840" s="19"/>
      <c r="C1840" s="19" t="s">
        <v>22</v>
      </c>
      <c r="D1840" s="37">
        <v>45900</v>
      </c>
      <c r="E1840" s="31">
        <v>38801</v>
      </c>
      <c r="F1840" s="31" t="s">
        <v>1119</v>
      </c>
      <c r="G1840" s="31">
        <v>2334</v>
      </c>
      <c r="H1840" s="31" t="s">
        <v>160</v>
      </c>
      <c r="J1840" s="38">
        <v>900</v>
      </c>
    </row>
    <row r="1841" spans="1:10" x14ac:dyDescent="0.35">
      <c r="A1841" s="31">
        <v>920</v>
      </c>
      <c r="B1841" s="19" t="s">
        <v>17</v>
      </c>
      <c r="C1841" s="19"/>
      <c r="D1841" s="37">
        <v>45900</v>
      </c>
      <c r="E1841" s="31">
        <v>38803</v>
      </c>
      <c r="F1841" s="31" t="s">
        <v>1120</v>
      </c>
      <c r="G1841" s="31">
        <v>2349</v>
      </c>
      <c r="H1841" s="31" t="s">
        <v>160</v>
      </c>
      <c r="I1841" s="38">
        <v>3216</v>
      </c>
    </row>
    <row r="1842" spans="1:10" x14ac:dyDescent="0.35">
      <c r="A1842" s="31">
        <v>920.5</v>
      </c>
      <c r="B1842" s="19"/>
      <c r="C1842" s="19" t="s">
        <v>22</v>
      </c>
      <c r="D1842" s="37">
        <v>45900</v>
      </c>
      <c r="E1842" s="31">
        <v>38803</v>
      </c>
      <c r="F1842" s="31" t="s">
        <v>1120</v>
      </c>
      <c r="G1842" s="31">
        <v>2349</v>
      </c>
      <c r="H1842" s="31" t="s">
        <v>160</v>
      </c>
      <c r="J1842" s="38">
        <v>3216</v>
      </c>
    </row>
    <row r="1843" spans="1:10" x14ac:dyDescent="0.35">
      <c r="A1843" s="31">
        <v>921</v>
      </c>
      <c r="B1843" s="19" t="s">
        <v>17</v>
      </c>
      <c r="C1843" s="19"/>
      <c r="D1843" s="37">
        <v>45900</v>
      </c>
      <c r="E1843" s="31" t="s">
        <v>1121</v>
      </c>
      <c r="F1843" s="31" t="s">
        <v>1122</v>
      </c>
      <c r="G1843" s="31">
        <v>2300</v>
      </c>
      <c r="H1843" s="31" t="s">
        <v>160</v>
      </c>
      <c r="I1843" s="38">
        <v>0.06</v>
      </c>
    </row>
    <row r="1844" spans="1:10" x14ac:dyDescent="0.35">
      <c r="A1844" s="31">
        <v>921.5</v>
      </c>
      <c r="B1844" s="19"/>
      <c r="C1844" s="19" t="s">
        <v>22</v>
      </c>
      <c r="D1844" s="37">
        <v>45900</v>
      </c>
      <c r="E1844" s="31" t="s">
        <v>1121</v>
      </c>
      <c r="F1844" s="31" t="s">
        <v>1122</v>
      </c>
      <c r="G1844" s="31">
        <v>2300</v>
      </c>
      <c r="H1844" s="31" t="s">
        <v>160</v>
      </c>
      <c r="J1844" s="38">
        <v>0.06</v>
      </c>
    </row>
    <row r="1845" spans="1:10" x14ac:dyDescent="0.35">
      <c r="A1845" s="31">
        <v>922</v>
      </c>
      <c r="B1845" s="19" t="s">
        <v>17</v>
      </c>
      <c r="C1845" s="19"/>
      <c r="D1845" s="37">
        <v>45900</v>
      </c>
      <c r="E1845" s="31">
        <v>38809</v>
      </c>
      <c r="F1845" s="31" t="s">
        <v>1123</v>
      </c>
      <c r="G1845" s="31">
        <v>2330</v>
      </c>
      <c r="H1845" s="31" t="s">
        <v>160</v>
      </c>
      <c r="I1845" s="38">
        <v>7476.6999999999989</v>
      </c>
    </row>
    <row r="1846" spans="1:10" x14ac:dyDescent="0.35">
      <c r="A1846" s="31">
        <v>922.5</v>
      </c>
      <c r="B1846" s="19"/>
      <c r="C1846" s="19" t="s">
        <v>22</v>
      </c>
      <c r="D1846" s="37">
        <v>45900</v>
      </c>
      <c r="E1846" s="31">
        <v>38809</v>
      </c>
      <c r="F1846" s="31" t="s">
        <v>1123</v>
      </c>
      <c r="G1846" s="31">
        <v>2330</v>
      </c>
      <c r="H1846" s="31" t="s">
        <v>160</v>
      </c>
      <c r="J1846" s="38">
        <v>7476.6999999999989</v>
      </c>
    </row>
    <row r="1847" spans="1:10" x14ac:dyDescent="0.35">
      <c r="A1847" s="31">
        <v>923</v>
      </c>
      <c r="B1847" s="19" t="s">
        <v>17</v>
      </c>
      <c r="C1847" s="19"/>
      <c r="D1847" s="37">
        <v>45900</v>
      </c>
      <c r="E1847" s="31">
        <v>38815</v>
      </c>
      <c r="F1847" s="31" t="s">
        <v>1124</v>
      </c>
      <c r="G1847" s="31">
        <v>2048</v>
      </c>
      <c r="H1847" s="31" t="s">
        <v>160</v>
      </c>
      <c r="I1847" s="38">
        <v>1708</v>
      </c>
    </row>
    <row r="1848" spans="1:10" x14ac:dyDescent="0.35">
      <c r="A1848" s="31">
        <v>923.5</v>
      </c>
      <c r="B1848" s="19"/>
      <c r="C1848" s="19" t="s">
        <v>22</v>
      </c>
      <c r="D1848" s="37">
        <v>45900</v>
      </c>
      <c r="E1848" s="31">
        <v>38815</v>
      </c>
      <c r="F1848" s="31" t="s">
        <v>1124</v>
      </c>
      <c r="G1848" s="31">
        <v>2048</v>
      </c>
      <c r="H1848" s="31" t="s">
        <v>160</v>
      </c>
      <c r="J1848" s="38">
        <v>1708</v>
      </c>
    </row>
    <row r="1849" spans="1:10" x14ac:dyDescent="0.35">
      <c r="A1849" s="31">
        <v>924</v>
      </c>
      <c r="B1849" s="19" t="s">
        <v>17</v>
      </c>
      <c r="C1849" s="19"/>
      <c r="D1849" s="37">
        <v>45900</v>
      </c>
      <c r="E1849" s="31">
        <v>38818</v>
      </c>
      <c r="F1849" s="31" t="s">
        <v>1125</v>
      </c>
      <c r="G1849" s="31">
        <v>2386</v>
      </c>
      <c r="H1849" s="31" t="s">
        <v>160</v>
      </c>
      <c r="I1849" s="38">
        <v>775</v>
      </c>
    </row>
    <row r="1850" spans="1:10" x14ac:dyDescent="0.35">
      <c r="A1850" s="31">
        <v>924.5</v>
      </c>
      <c r="B1850" s="19"/>
      <c r="C1850" s="19" t="s">
        <v>22</v>
      </c>
      <c r="D1850" s="37">
        <v>45900</v>
      </c>
      <c r="E1850" s="31">
        <v>38818</v>
      </c>
      <c r="F1850" s="31" t="s">
        <v>1125</v>
      </c>
      <c r="G1850" s="31">
        <v>2386</v>
      </c>
      <c r="H1850" s="31" t="s">
        <v>160</v>
      </c>
      <c r="J1850" s="38">
        <v>775</v>
      </c>
    </row>
    <row r="1851" spans="1:10" x14ac:dyDescent="0.35">
      <c r="A1851" s="31">
        <v>925</v>
      </c>
      <c r="B1851" s="19" t="s">
        <v>17</v>
      </c>
      <c r="C1851" s="19"/>
      <c r="D1851" s="37">
        <v>45900</v>
      </c>
      <c r="E1851" s="31">
        <v>38820</v>
      </c>
      <c r="F1851" s="31" t="s">
        <v>1126</v>
      </c>
      <c r="G1851" s="31">
        <v>2347</v>
      </c>
      <c r="H1851" s="31" t="s">
        <v>160</v>
      </c>
      <c r="I1851" s="38">
        <v>102500.28000000001</v>
      </c>
    </row>
    <row r="1852" spans="1:10" x14ac:dyDescent="0.35">
      <c r="A1852" s="31">
        <v>925.5</v>
      </c>
      <c r="B1852" s="19"/>
      <c r="C1852" s="19" t="s">
        <v>22</v>
      </c>
      <c r="D1852" s="37">
        <v>45900</v>
      </c>
      <c r="E1852" s="31">
        <v>38820</v>
      </c>
      <c r="F1852" s="31" t="s">
        <v>1126</v>
      </c>
      <c r="G1852" s="31">
        <v>2347</v>
      </c>
      <c r="H1852" s="31" t="s">
        <v>160</v>
      </c>
      <c r="J1852" s="38">
        <v>102500.28000000001</v>
      </c>
    </row>
    <row r="1853" spans="1:10" x14ac:dyDescent="0.35">
      <c r="A1853" s="31">
        <v>926</v>
      </c>
      <c r="B1853" s="19" t="s">
        <v>17</v>
      </c>
      <c r="C1853" s="19"/>
      <c r="D1853" s="37">
        <v>45900</v>
      </c>
      <c r="E1853" s="31" t="s">
        <v>1127</v>
      </c>
      <c r="F1853" s="31" t="s">
        <v>1126</v>
      </c>
      <c r="G1853" s="31">
        <v>2347</v>
      </c>
      <c r="H1853" s="31" t="s">
        <v>160</v>
      </c>
      <c r="I1853" s="38">
        <v>0</v>
      </c>
    </row>
    <row r="1854" spans="1:10" x14ac:dyDescent="0.35">
      <c r="A1854" s="31">
        <v>926.5</v>
      </c>
      <c r="B1854" s="19"/>
      <c r="C1854" s="19" t="s">
        <v>22</v>
      </c>
      <c r="D1854" s="37">
        <v>45900</v>
      </c>
      <c r="E1854" s="31" t="s">
        <v>1127</v>
      </c>
      <c r="F1854" s="31" t="s">
        <v>1126</v>
      </c>
      <c r="G1854" s="31">
        <v>2347</v>
      </c>
      <c r="H1854" s="31" t="s">
        <v>160</v>
      </c>
      <c r="J1854" s="38">
        <v>0</v>
      </c>
    </row>
    <row r="1855" spans="1:10" x14ac:dyDescent="0.35">
      <c r="A1855" s="31">
        <v>927</v>
      </c>
      <c r="B1855" s="19" t="s">
        <v>17</v>
      </c>
      <c r="C1855" s="19"/>
      <c r="D1855" s="37">
        <v>45900</v>
      </c>
      <c r="E1855" s="31" t="s">
        <v>1128</v>
      </c>
      <c r="F1855" s="31" t="s">
        <v>1126</v>
      </c>
      <c r="G1855" s="31">
        <v>2347</v>
      </c>
      <c r="H1855" s="31" t="s">
        <v>160</v>
      </c>
      <c r="I1855" s="38">
        <v>403.22</v>
      </c>
    </row>
    <row r="1856" spans="1:10" x14ac:dyDescent="0.35">
      <c r="A1856" s="31">
        <v>927.5</v>
      </c>
      <c r="B1856" s="19"/>
      <c r="C1856" s="19" t="s">
        <v>22</v>
      </c>
      <c r="D1856" s="37">
        <v>45900</v>
      </c>
      <c r="E1856" s="31" t="s">
        <v>1128</v>
      </c>
      <c r="F1856" s="31" t="s">
        <v>1126</v>
      </c>
      <c r="G1856" s="31">
        <v>2347</v>
      </c>
      <c r="H1856" s="31" t="s">
        <v>160</v>
      </c>
      <c r="J1856" s="38">
        <v>403.22</v>
      </c>
    </row>
    <row r="1857" spans="1:10" x14ac:dyDescent="0.35">
      <c r="A1857" s="31">
        <v>928</v>
      </c>
      <c r="B1857" s="19" t="s">
        <v>17</v>
      </c>
      <c r="C1857" s="19"/>
      <c r="D1857" s="37">
        <v>45900</v>
      </c>
      <c r="E1857" s="31">
        <v>38824</v>
      </c>
      <c r="F1857" s="31" t="s">
        <v>1129</v>
      </c>
      <c r="G1857" s="31">
        <v>2387</v>
      </c>
      <c r="H1857" s="31" t="s">
        <v>160</v>
      </c>
      <c r="I1857" s="38">
        <v>687.5</v>
      </c>
    </row>
    <row r="1858" spans="1:10" x14ac:dyDescent="0.35">
      <c r="A1858" s="31">
        <v>928.5</v>
      </c>
      <c r="B1858" s="19"/>
      <c r="C1858" s="19" t="s">
        <v>22</v>
      </c>
      <c r="D1858" s="37">
        <v>45900</v>
      </c>
      <c r="E1858" s="31">
        <v>38824</v>
      </c>
      <c r="F1858" s="31" t="s">
        <v>1129</v>
      </c>
      <c r="G1858" s="31">
        <v>2387</v>
      </c>
      <c r="H1858" s="31" t="s">
        <v>160</v>
      </c>
      <c r="J1858" s="38">
        <v>687.5</v>
      </c>
    </row>
    <row r="1859" spans="1:10" x14ac:dyDescent="0.35">
      <c r="A1859" s="31">
        <v>929</v>
      </c>
      <c r="B1859" s="19" t="s">
        <v>17</v>
      </c>
      <c r="C1859" s="19"/>
      <c r="D1859" s="37">
        <v>45900</v>
      </c>
      <c r="E1859" s="31">
        <v>38835</v>
      </c>
      <c r="F1859" s="31" t="s">
        <v>1130</v>
      </c>
      <c r="G1859" s="31">
        <v>3566</v>
      </c>
      <c r="H1859" s="31" t="s">
        <v>160</v>
      </c>
      <c r="I1859" s="38">
        <v>1756.69</v>
      </c>
    </row>
    <row r="1860" spans="1:10" x14ac:dyDescent="0.35">
      <c r="A1860" s="31">
        <v>929.5</v>
      </c>
      <c r="B1860" s="19"/>
      <c r="C1860" s="19" t="s">
        <v>22</v>
      </c>
      <c r="D1860" s="37">
        <v>45900</v>
      </c>
      <c r="E1860" s="31">
        <v>38835</v>
      </c>
      <c r="F1860" s="31" t="s">
        <v>1130</v>
      </c>
      <c r="G1860" s="31">
        <v>3566</v>
      </c>
      <c r="H1860" s="31" t="s">
        <v>160</v>
      </c>
      <c r="J1860" s="38">
        <v>1756.69</v>
      </c>
    </row>
    <row r="1861" spans="1:10" x14ac:dyDescent="0.35">
      <c r="A1861" s="31">
        <v>930</v>
      </c>
      <c r="B1861" s="19" t="s">
        <v>17</v>
      </c>
      <c r="C1861" s="19"/>
      <c r="D1861" s="37">
        <v>45900</v>
      </c>
      <c r="E1861" s="31">
        <v>38842</v>
      </c>
      <c r="F1861" s="31" t="s">
        <v>1131</v>
      </c>
      <c r="G1861" s="31">
        <v>2577</v>
      </c>
      <c r="H1861" s="31" t="s">
        <v>160</v>
      </c>
      <c r="I1861" s="38">
        <v>58630</v>
      </c>
    </row>
    <row r="1862" spans="1:10" x14ac:dyDescent="0.35">
      <c r="A1862" s="31">
        <v>930.5</v>
      </c>
      <c r="B1862" s="19"/>
      <c r="C1862" s="19" t="s">
        <v>22</v>
      </c>
      <c r="D1862" s="37">
        <v>45900</v>
      </c>
      <c r="E1862" s="31">
        <v>38842</v>
      </c>
      <c r="F1862" s="31" t="s">
        <v>1131</v>
      </c>
      <c r="G1862" s="31">
        <v>2577</v>
      </c>
      <c r="H1862" s="31" t="s">
        <v>160</v>
      </c>
      <c r="J1862" s="38">
        <v>58630</v>
      </c>
    </row>
    <row r="1863" spans="1:10" x14ac:dyDescent="0.35">
      <c r="A1863" s="31">
        <v>931</v>
      </c>
      <c r="B1863" s="19" t="s">
        <v>17</v>
      </c>
      <c r="C1863" s="19"/>
      <c r="D1863" s="37">
        <v>45900</v>
      </c>
      <c r="E1863" s="31">
        <v>38843</v>
      </c>
      <c r="F1863" s="31" t="s">
        <v>918</v>
      </c>
      <c r="G1863" s="31">
        <v>596</v>
      </c>
      <c r="H1863" s="31" t="s">
        <v>160</v>
      </c>
      <c r="I1863" s="38">
        <v>625</v>
      </c>
    </row>
    <row r="1864" spans="1:10" x14ac:dyDescent="0.35">
      <c r="A1864" s="31">
        <v>931.5</v>
      </c>
      <c r="B1864" s="19"/>
      <c r="C1864" s="19" t="s">
        <v>22</v>
      </c>
      <c r="D1864" s="37">
        <v>45900</v>
      </c>
      <c r="E1864" s="31">
        <v>38843</v>
      </c>
      <c r="F1864" s="31" t="s">
        <v>918</v>
      </c>
      <c r="G1864" s="31">
        <v>596</v>
      </c>
      <c r="H1864" s="31" t="s">
        <v>160</v>
      </c>
      <c r="J1864" s="38">
        <v>625</v>
      </c>
    </row>
    <row r="1865" spans="1:10" x14ac:dyDescent="0.35">
      <c r="A1865" s="31">
        <v>932</v>
      </c>
      <c r="B1865" s="19" t="s">
        <v>17</v>
      </c>
      <c r="C1865" s="19"/>
      <c r="D1865" s="37">
        <v>45900</v>
      </c>
      <c r="E1865" s="31">
        <v>38849</v>
      </c>
      <c r="F1865" s="31" t="s">
        <v>1132</v>
      </c>
      <c r="G1865" s="31">
        <v>2574</v>
      </c>
      <c r="H1865" s="31" t="s">
        <v>160</v>
      </c>
      <c r="I1865" s="38">
        <v>33300</v>
      </c>
    </row>
    <row r="1866" spans="1:10" x14ac:dyDescent="0.35">
      <c r="A1866" s="31">
        <v>932.5</v>
      </c>
      <c r="B1866" s="19"/>
      <c r="C1866" s="19" t="s">
        <v>22</v>
      </c>
      <c r="D1866" s="37">
        <v>45900</v>
      </c>
      <c r="E1866" s="31">
        <v>38849</v>
      </c>
      <c r="F1866" s="31" t="s">
        <v>1132</v>
      </c>
      <c r="G1866" s="31">
        <v>2574</v>
      </c>
      <c r="H1866" s="31" t="s">
        <v>160</v>
      </c>
      <c r="J1866" s="38">
        <v>33300</v>
      </c>
    </row>
    <row r="1867" spans="1:10" x14ac:dyDescent="0.35">
      <c r="A1867" s="31">
        <v>933</v>
      </c>
      <c r="B1867" s="19" t="s">
        <v>17</v>
      </c>
      <c r="C1867" s="19"/>
      <c r="D1867" s="37">
        <v>45900</v>
      </c>
      <c r="E1867" s="31">
        <v>38853</v>
      </c>
      <c r="F1867" s="31" t="s">
        <v>1133</v>
      </c>
      <c r="G1867" s="31">
        <v>2524</v>
      </c>
      <c r="H1867" s="31" t="s">
        <v>160</v>
      </c>
      <c r="I1867" s="38">
        <v>1209.6099999999999</v>
      </c>
    </row>
    <row r="1868" spans="1:10" x14ac:dyDescent="0.35">
      <c r="A1868" s="31">
        <v>933.5</v>
      </c>
      <c r="B1868" s="19"/>
      <c r="C1868" s="19" t="s">
        <v>22</v>
      </c>
      <c r="D1868" s="37">
        <v>45900</v>
      </c>
      <c r="E1868" s="31">
        <v>38853</v>
      </c>
      <c r="F1868" s="31" t="s">
        <v>1133</v>
      </c>
      <c r="G1868" s="31">
        <v>2524</v>
      </c>
      <c r="H1868" s="31" t="s">
        <v>160</v>
      </c>
      <c r="J1868" s="38">
        <v>1209.6099999999999</v>
      </c>
    </row>
    <row r="1869" spans="1:10" x14ac:dyDescent="0.35">
      <c r="A1869" s="31">
        <v>934</v>
      </c>
      <c r="B1869" s="19" t="s">
        <v>17</v>
      </c>
      <c r="C1869" s="19"/>
      <c r="D1869" s="37">
        <v>45900</v>
      </c>
      <c r="E1869" s="31">
        <v>38854</v>
      </c>
      <c r="F1869" s="31" t="s">
        <v>1134</v>
      </c>
      <c r="G1869" s="31">
        <v>2441</v>
      </c>
      <c r="H1869" s="31" t="s">
        <v>160</v>
      </c>
      <c r="I1869" s="38">
        <v>31500</v>
      </c>
    </row>
    <row r="1870" spans="1:10" x14ac:dyDescent="0.35">
      <c r="A1870" s="31">
        <v>934.5</v>
      </c>
      <c r="B1870" s="19"/>
      <c r="C1870" s="19" t="s">
        <v>22</v>
      </c>
      <c r="D1870" s="37">
        <v>45900</v>
      </c>
      <c r="E1870" s="31">
        <v>38854</v>
      </c>
      <c r="F1870" s="31" t="s">
        <v>1134</v>
      </c>
      <c r="G1870" s="31">
        <v>2441</v>
      </c>
      <c r="H1870" s="31" t="s">
        <v>160</v>
      </c>
      <c r="J1870" s="38">
        <v>31500</v>
      </c>
    </row>
    <row r="1871" spans="1:10" x14ac:dyDescent="0.35">
      <c r="A1871" s="31">
        <v>935</v>
      </c>
      <c r="B1871" s="19" t="s">
        <v>17</v>
      </c>
      <c r="C1871" s="19"/>
      <c r="D1871" s="37">
        <v>45900</v>
      </c>
      <c r="E1871" s="31">
        <v>38855</v>
      </c>
      <c r="F1871" s="31" t="s">
        <v>1135</v>
      </c>
      <c r="G1871" s="31">
        <v>693</v>
      </c>
      <c r="H1871" s="31" t="s">
        <v>160</v>
      </c>
      <c r="I1871" s="38">
        <v>15800</v>
      </c>
    </row>
    <row r="1872" spans="1:10" x14ac:dyDescent="0.35">
      <c r="A1872" s="31">
        <v>935.5</v>
      </c>
      <c r="B1872" s="19"/>
      <c r="C1872" s="19" t="s">
        <v>22</v>
      </c>
      <c r="D1872" s="37">
        <v>45900</v>
      </c>
      <c r="E1872" s="31">
        <v>38855</v>
      </c>
      <c r="F1872" s="31" t="s">
        <v>1135</v>
      </c>
      <c r="G1872" s="31">
        <v>693</v>
      </c>
      <c r="H1872" s="31" t="s">
        <v>160</v>
      </c>
      <c r="J1872" s="38">
        <v>15800</v>
      </c>
    </row>
    <row r="1873" spans="1:10" x14ac:dyDescent="0.35">
      <c r="A1873" s="31">
        <v>936</v>
      </c>
      <c r="B1873" s="19" t="s">
        <v>17</v>
      </c>
      <c r="C1873" s="19"/>
      <c r="D1873" s="37">
        <v>45900</v>
      </c>
      <c r="E1873" s="31">
        <v>38856</v>
      </c>
      <c r="F1873" s="31" t="s">
        <v>1136</v>
      </c>
      <c r="G1873" s="31">
        <v>2306</v>
      </c>
      <c r="H1873" s="31" t="s">
        <v>160</v>
      </c>
      <c r="I1873" s="38">
        <v>900</v>
      </c>
    </row>
    <row r="1874" spans="1:10" x14ac:dyDescent="0.35">
      <c r="A1874" s="31">
        <v>936.5</v>
      </c>
      <c r="B1874" s="19"/>
      <c r="C1874" s="19" t="s">
        <v>22</v>
      </c>
      <c r="D1874" s="37">
        <v>45900</v>
      </c>
      <c r="E1874" s="31">
        <v>38856</v>
      </c>
      <c r="F1874" s="31" t="s">
        <v>1136</v>
      </c>
      <c r="G1874" s="31">
        <v>2306</v>
      </c>
      <c r="H1874" s="31" t="s">
        <v>160</v>
      </c>
      <c r="J1874" s="38">
        <v>900</v>
      </c>
    </row>
    <row r="1875" spans="1:10" x14ac:dyDescent="0.35">
      <c r="A1875" s="31">
        <v>937</v>
      </c>
      <c r="B1875" s="19" t="s">
        <v>17</v>
      </c>
      <c r="C1875" s="19"/>
      <c r="D1875" s="37">
        <v>45900</v>
      </c>
      <c r="E1875" s="31">
        <v>38865</v>
      </c>
      <c r="F1875" s="31" t="s">
        <v>1137</v>
      </c>
      <c r="G1875" s="31">
        <v>2455</v>
      </c>
      <c r="H1875" s="31" t="s">
        <v>160</v>
      </c>
      <c r="I1875" s="38">
        <v>350</v>
      </c>
    </row>
    <row r="1876" spans="1:10" x14ac:dyDescent="0.35">
      <c r="A1876" s="31">
        <v>937.5</v>
      </c>
      <c r="B1876" s="19"/>
      <c r="C1876" s="19" t="s">
        <v>22</v>
      </c>
      <c r="D1876" s="37">
        <v>45900</v>
      </c>
      <c r="E1876" s="31">
        <v>38865</v>
      </c>
      <c r="F1876" s="31" t="s">
        <v>1137</v>
      </c>
      <c r="G1876" s="31">
        <v>2455</v>
      </c>
      <c r="H1876" s="31" t="s">
        <v>160</v>
      </c>
      <c r="J1876" s="38">
        <v>350</v>
      </c>
    </row>
    <row r="1877" spans="1:10" x14ac:dyDescent="0.35">
      <c r="A1877" s="31">
        <v>938</v>
      </c>
      <c r="B1877" s="19" t="s">
        <v>17</v>
      </c>
      <c r="C1877" s="19"/>
      <c r="D1877" s="37">
        <v>45900</v>
      </c>
      <c r="E1877" s="31">
        <v>38867</v>
      </c>
      <c r="F1877" s="31" t="s">
        <v>1138</v>
      </c>
      <c r="G1877" s="31">
        <v>2456</v>
      </c>
      <c r="H1877" s="31" t="s">
        <v>160</v>
      </c>
      <c r="I1877" s="38">
        <v>413.1</v>
      </c>
    </row>
    <row r="1878" spans="1:10" x14ac:dyDescent="0.35">
      <c r="A1878" s="31">
        <v>938.5</v>
      </c>
      <c r="B1878" s="19"/>
      <c r="C1878" s="19" t="s">
        <v>22</v>
      </c>
      <c r="D1878" s="37">
        <v>45900</v>
      </c>
      <c r="E1878" s="31">
        <v>38867</v>
      </c>
      <c r="F1878" s="31" t="s">
        <v>1138</v>
      </c>
      <c r="G1878" s="31">
        <v>2456</v>
      </c>
      <c r="H1878" s="31" t="s">
        <v>160</v>
      </c>
      <c r="J1878" s="38">
        <v>413.1</v>
      </c>
    </row>
    <row r="1879" spans="1:10" x14ac:dyDescent="0.35">
      <c r="A1879" s="31">
        <v>939</v>
      </c>
      <c r="B1879" s="19" t="s">
        <v>17</v>
      </c>
      <c r="C1879" s="19"/>
      <c r="D1879" s="37">
        <v>45900</v>
      </c>
      <c r="E1879" s="31">
        <v>38868</v>
      </c>
      <c r="F1879" s="31" t="s">
        <v>1139</v>
      </c>
      <c r="G1879" s="31">
        <v>2437</v>
      </c>
      <c r="H1879" s="31" t="s">
        <v>160</v>
      </c>
      <c r="I1879" s="38">
        <v>2306.2399999999998</v>
      </c>
    </row>
    <row r="1880" spans="1:10" x14ac:dyDescent="0.35">
      <c r="A1880" s="31">
        <v>939.5</v>
      </c>
      <c r="B1880" s="19"/>
      <c r="C1880" s="19" t="s">
        <v>22</v>
      </c>
      <c r="D1880" s="37">
        <v>45900</v>
      </c>
      <c r="E1880" s="31">
        <v>38868</v>
      </c>
      <c r="F1880" s="31" t="s">
        <v>1139</v>
      </c>
      <c r="G1880" s="31">
        <v>2437</v>
      </c>
      <c r="H1880" s="31" t="s">
        <v>160</v>
      </c>
      <c r="J1880" s="38">
        <v>2306.2399999999998</v>
      </c>
    </row>
    <row r="1881" spans="1:10" x14ac:dyDescent="0.35">
      <c r="A1881" s="31">
        <v>940</v>
      </c>
      <c r="B1881" s="19" t="s">
        <v>17</v>
      </c>
      <c r="C1881" s="19"/>
      <c r="D1881" s="37">
        <v>45900</v>
      </c>
      <c r="E1881" s="31">
        <v>38871</v>
      </c>
      <c r="F1881" s="31" t="s">
        <v>921</v>
      </c>
      <c r="G1881" s="31">
        <v>2191</v>
      </c>
      <c r="H1881" s="31" t="s">
        <v>160</v>
      </c>
      <c r="I1881" s="38">
        <v>4169.7</v>
      </c>
    </row>
    <row r="1882" spans="1:10" x14ac:dyDescent="0.35">
      <c r="A1882" s="31">
        <v>940.5</v>
      </c>
      <c r="B1882" s="19"/>
      <c r="C1882" s="19" t="s">
        <v>22</v>
      </c>
      <c r="D1882" s="37">
        <v>45900</v>
      </c>
      <c r="E1882" s="31">
        <v>38871</v>
      </c>
      <c r="F1882" s="31" t="s">
        <v>921</v>
      </c>
      <c r="G1882" s="31">
        <v>2191</v>
      </c>
      <c r="H1882" s="31" t="s">
        <v>160</v>
      </c>
      <c r="J1882" s="38">
        <v>4169.7</v>
      </c>
    </row>
    <row r="1883" spans="1:10" x14ac:dyDescent="0.35">
      <c r="A1883" s="31">
        <v>941</v>
      </c>
      <c r="B1883" s="19" t="s">
        <v>17</v>
      </c>
      <c r="C1883" s="19"/>
      <c r="D1883" s="37">
        <v>45900</v>
      </c>
      <c r="E1883" s="31">
        <v>38873</v>
      </c>
      <c r="F1883" s="31" t="s">
        <v>1125</v>
      </c>
      <c r="G1883" s="31">
        <v>2386</v>
      </c>
      <c r="H1883" s="31" t="s">
        <v>160</v>
      </c>
      <c r="I1883" s="38">
        <v>759.24</v>
      </c>
    </row>
    <row r="1884" spans="1:10" x14ac:dyDescent="0.35">
      <c r="A1884" s="31">
        <v>941.5</v>
      </c>
      <c r="B1884" s="19"/>
      <c r="C1884" s="19" t="s">
        <v>22</v>
      </c>
      <c r="D1884" s="37">
        <v>45900</v>
      </c>
      <c r="E1884" s="31">
        <v>38873</v>
      </c>
      <c r="F1884" s="31" t="s">
        <v>1125</v>
      </c>
      <c r="G1884" s="31">
        <v>2386</v>
      </c>
      <c r="H1884" s="31" t="s">
        <v>160</v>
      </c>
      <c r="J1884" s="38">
        <v>759.24</v>
      </c>
    </row>
    <row r="1885" spans="1:10" x14ac:dyDescent="0.35">
      <c r="A1885" s="31">
        <v>942</v>
      </c>
      <c r="B1885" s="19" t="s">
        <v>17</v>
      </c>
      <c r="C1885" s="19"/>
      <c r="D1885" s="37">
        <v>45900</v>
      </c>
      <c r="E1885" s="31">
        <v>38880</v>
      </c>
      <c r="F1885" s="31" t="s">
        <v>1140</v>
      </c>
      <c r="G1885" s="31">
        <v>3343</v>
      </c>
      <c r="H1885" s="31" t="s">
        <v>160</v>
      </c>
      <c r="I1885" s="38">
        <v>1234.24</v>
      </c>
    </row>
    <row r="1886" spans="1:10" x14ac:dyDescent="0.35">
      <c r="A1886" s="31">
        <v>942.5</v>
      </c>
      <c r="B1886" s="19"/>
      <c r="C1886" s="19" t="s">
        <v>22</v>
      </c>
      <c r="D1886" s="37">
        <v>45900</v>
      </c>
      <c r="E1886" s="31">
        <v>38880</v>
      </c>
      <c r="F1886" s="31" t="s">
        <v>1140</v>
      </c>
      <c r="G1886" s="31">
        <v>3343</v>
      </c>
      <c r="H1886" s="31" t="s">
        <v>160</v>
      </c>
      <c r="J1886" s="38">
        <v>1234.24</v>
      </c>
    </row>
    <row r="1887" spans="1:10" x14ac:dyDescent="0.35">
      <c r="A1887" s="31">
        <v>943</v>
      </c>
      <c r="B1887" s="19" t="s">
        <v>17</v>
      </c>
      <c r="C1887" s="19"/>
      <c r="D1887" s="37">
        <v>45900</v>
      </c>
      <c r="E1887" s="31">
        <v>38884</v>
      </c>
      <c r="F1887" s="31" t="s">
        <v>1136</v>
      </c>
      <c r="G1887" s="31">
        <v>2306</v>
      </c>
      <c r="H1887" s="31" t="s">
        <v>160</v>
      </c>
      <c r="I1887" s="38">
        <v>450</v>
      </c>
    </row>
    <row r="1888" spans="1:10" x14ac:dyDescent="0.35">
      <c r="A1888" s="31">
        <v>943.5</v>
      </c>
      <c r="B1888" s="19"/>
      <c r="C1888" s="19" t="s">
        <v>22</v>
      </c>
      <c r="D1888" s="37">
        <v>45900</v>
      </c>
      <c r="E1888" s="31">
        <v>38884</v>
      </c>
      <c r="F1888" s="31" t="s">
        <v>1136</v>
      </c>
      <c r="G1888" s="31">
        <v>2306</v>
      </c>
      <c r="H1888" s="31" t="s">
        <v>160</v>
      </c>
      <c r="J1888" s="38">
        <v>450</v>
      </c>
    </row>
    <row r="1889" spans="1:10" x14ac:dyDescent="0.35">
      <c r="A1889" s="31">
        <v>944</v>
      </c>
      <c r="B1889" s="19" t="s">
        <v>17</v>
      </c>
      <c r="C1889" s="19"/>
      <c r="D1889" s="37">
        <v>45900</v>
      </c>
      <c r="E1889" s="31">
        <v>38904</v>
      </c>
      <c r="F1889" s="31" t="s">
        <v>1141</v>
      </c>
      <c r="G1889" s="31">
        <v>3568</v>
      </c>
      <c r="H1889" s="31" t="s">
        <v>160</v>
      </c>
      <c r="I1889" s="38">
        <v>1247.75</v>
      </c>
    </row>
    <row r="1890" spans="1:10" x14ac:dyDescent="0.35">
      <c r="A1890" s="31">
        <v>944.5</v>
      </c>
      <c r="B1890" s="19"/>
      <c r="C1890" s="19" t="s">
        <v>22</v>
      </c>
      <c r="D1890" s="37">
        <v>45900</v>
      </c>
      <c r="E1890" s="31">
        <v>38904</v>
      </c>
      <c r="F1890" s="31" t="s">
        <v>1141</v>
      </c>
      <c r="G1890" s="31">
        <v>3568</v>
      </c>
      <c r="H1890" s="31" t="s">
        <v>160</v>
      </c>
      <c r="J1890" s="38">
        <v>1247.75</v>
      </c>
    </row>
    <row r="1891" spans="1:10" x14ac:dyDescent="0.35">
      <c r="A1891" s="31">
        <v>945</v>
      </c>
      <c r="B1891" s="19" t="s">
        <v>17</v>
      </c>
      <c r="C1891" s="19"/>
      <c r="D1891" s="37">
        <v>45900</v>
      </c>
      <c r="E1891" s="31">
        <v>38909</v>
      </c>
      <c r="F1891" s="31" t="s">
        <v>1142</v>
      </c>
      <c r="G1891" s="31">
        <v>2172</v>
      </c>
      <c r="H1891" s="31" t="s">
        <v>160</v>
      </c>
      <c r="I1891" s="38">
        <v>10907.779999999999</v>
      </c>
    </row>
    <row r="1892" spans="1:10" x14ac:dyDescent="0.35">
      <c r="A1892" s="31">
        <v>945.5</v>
      </c>
      <c r="B1892" s="19"/>
      <c r="C1892" s="19" t="s">
        <v>22</v>
      </c>
      <c r="D1892" s="37">
        <v>45900</v>
      </c>
      <c r="E1892" s="31">
        <v>38909</v>
      </c>
      <c r="F1892" s="31" t="s">
        <v>1142</v>
      </c>
      <c r="G1892" s="31">
        <v>2172</v>
      </c>
      <c r="H1892" s="31" t="s">
        <v>160</v>
      </c>
      <c r="J1892" s="38">
        <v>10907.779999999999</v>
      </c>
    </row>
    <row r="1893" spans="1:10" x14ac:dyDescent="0.35">
      <c r="A1893" s="31">
        <v>946</v>
      </c>
      <c r="B1893" s="19" t="s">
        <v>17</v>
      </c>
      <c r="C1893" s="19"/>
      <c r="D1893" s="37">
        <v>45900</v>
      </c>
      <c r="E1893" s="31">
        <v>38911</v>
      </c>
      <c r="F1893" s="31" t="s">
        <v>1143</v>
      </c>
      <c r="G1893" s="31">
        <v>2185</v>
      </c>
      <c r="H1893" s="31" t="s">
        <v>160</v>
      </c>
      <c r="I1893" s="38">
        <v>880</v>
      </c>
    </row>
    <row r="1894" spans="1:10" x14ac:dyDescent="0.35">
      <c r="A1894" s="31">
        <v>946.5</v>
      </c>
      <c r="B1894" s="19"/>
      <c r="C1894" s="19" t="s">
        <v>22</v>
      </c>
      <c r="D1894" s="37">
        <v>45900</v>
      </c>
      <c r="E1894" s="31">
        <v>38911</v>
      </c>
      <c r="F1894" s="31" t="s">
        <v>1143</v>
      </c>
      <c r="G1894" s="31">
        <v>2185</v>
      </c>
      <c r="H1894" s="31" t="s">
        <v>160</v>
      </c>
      <c r="J1894" s="38">
        <v>880</v>
      </c>
    </row>
    <row r="1895" spans="1:10" x14ac:dyDescent="0.35">
      <c r="A1895" s="31">
        <v>947</v>
      </c>
      <c r="B1895" s="19" t="s">
        <v>17</v>
      </c>
      <c r="C1895" s="19"/>
      <c r="D1895" s="37">
        <v>45900</v>
      </c>
      <c r="E1895" s="31">
        <v>38912</v>
      </c>
      <c r="F1895" s="31" t="s">
        <v>1144</v>
      </c>
      <c r="G1895" s="31">
        <v>2188</v>
      </c>
      <c r="H1895" s="31" t="s">
        <v>160</v>
      </c>
      <c r="I1895" s="38">
        <v>23482</v>
      </c>
    </row>
    <row r="1896" spans="1:10" x14ac:dyDescent="0.35">
      <c r="A1896" s="31">
        <v>947.5</v>
      </c>
      <c r="B1896" s="19"/>
      <c r="C1896" s="19" t="s">
        <v>22</v>
      </c>
      <c r="D1896" s="37">
        <v>45900</v>
      </c>
      <c r="E1896" s="31">
        <v>38912</v>
      </c>
      <c r="F1896" s="31" t="s">
        <v>1144</v>
      </c>
      <c r="G1896" s="31">
        <v>2188</v>
      </c>
      <c r="H1896" s="31" t="s">
        <v>160</v>
      </c>
      <c r="J1896" s="38">
        <v>23482</v>
      </c>
    </row>
    <row r="1897" spans="1:10" x14ac:dyDescent="0.35">
      <c r="A1897" s="31">
        <v>948</v>
      </c>
      <c r="B1897" s="19" t="s">
        <v>17</v>
      </c>
      <c r="C1897" s="19"/>
      <c r="D1897" s="37">
        <v>45900</v>
      </c>
      <c r="E1897" s="31">
        <v>38913</v>
      </c>
      <c r="F1897" s="31" t="s">
        <v>1145</v>
      </c>
      <c r="G1897" s="31">
        <v>2186</v>
      </c>
      <c r="H1897" s="31" t="s">
        <v>160</v>
      </c>
      <c r="I1897" s="38">
        <v>200</v>
      </c>
    </row>
    <row r="1898" spans="1:10" x14ac:dyDescent="0.35">
      <c r="A1898" s="31">
        <v>948.5</v>
      </c>
      <c r="B1898" s="19"/>
      <c r="C1898" s="19" t="s">
        <v>22</v>
      </c>
      <c r="D1898" s="37">
        <v>45900</v>
      </c>
      <c r="E1898" s="31">
        <v>38913</v>
      </c>
      <c r="F1898" s="31" t="s">
        <v>1145</v>
      </c>
      <c r="G1898" s="31">
        <v>2186</v>
      </c>
      <c r="H1898" s="31" t="s">
        <v>160</v>
      </c>
      <c r="J1898" s="38">
        <v>200</v>
      </c>
    </row>
    <row r="1899" spans="1:10" x14ac:dyDescent="0.35">
      <c r="A1899" s="31">
        <v>949</v>
      </c>
      <c r="B1899" s="19" t="s">
        <v>17</v>
      </c>
      <c r="C1899" s="19"/>
      <c r="D1899" s="37">
        <v>45900</v>
      </c>
      <c r="E1899" s="31">
        <v>38915</v>
      </c>
      <c r="F1899" s="31" t="s">
        <v>1146</v>
      </c>
      <c r="G1899" s="31">
        <v>2193</v>
      </c>
      <c r="H1899" s="31" t="s">
        <v>160</v>
      </c>
      <c r="I1899" s="38">
        <v>177.19</v>
      </c>
    </row>
    <row r="1900" spans="1:10" x14ac:dyDescent="0.35">
      <c r="A1900" s="31">
        <v>949.5</v>
      </c>
      <c r="B1900" s="19"/>
      <c r="C1900" s="19" t="s">
        <v>22</v>
      </c>
      <c r="D1900" s="37">
        <v>45900</v>
      </c>
      <c r="E1900" s="31">
        <v>38915</v>
      </c>
      <c r="F1900" s="31" t="s">
        <v>1146</v>
      </c>
      <c r="G1900" s="31">
        <v>2193</v>
      </c>
      <c r="H1900" s="31" t="s">
        <v>160</v>
      </c>
      <c r="J1900" s="38">
        <v>177.19</v>
      </c>
    </row>
    <row r="1901" spans="1:10" x14ac:dyDescent="0.35">
      <c r="A1901" s="31">
        <v>950</v>
      </c>
      <c r="B1901" s="19" t="s">
        <v>17</v>
      </c>
      <c r="C1901" s="19"/>
      <c r="D1901" s="37">
        <v>45900</v>
      </c>
      <c r="E1901" s="31">
        <v>38916</v>
      </c>
      <c r="F1901" s="31" t="s">
        <v>1147</v>
      </c>
      <c r="G1901" s="31">
        <v>2194</v>
      </c>
      <c r="H1901" s="31" t="s">
        <v>160</v>
      </c>
      <c r="I1901" s="38">
        <v>108.5</v>
      </c>
    </row>
    <row r="1902" spans="1:10" x14ac:dyDescent="0.35">
      <c r="A1902" s="31">
        <v>950.5</v>
      </c>
      <c r="B1902" s="19"/>
      <c r="C1902" s="19" t="s">
        <v>22</v>
      </c>
      <c r="D1902" s="37">
        <v>45900</v>
      </c>
      <c r="E1902" s="31">
        <v>38916</v>
      </c>
      <c r="F1902" s="31" t="s">
        <v>1147</v>
      </c>
      <c r="G1902" s="31">
        <v>2194</v>
      </c>
      <c r="H1902" s="31" t="s">
        <v>160</v>
      </c>
      <c r="J1902" s="38">
        <v>108.5</v>
      </c>
    </row>
    <row r="1903" spans="1:10" x14ac:dyDescent="0.35">
      <c r="A1903" s="31">
        <v>951</v>
      </c>
      <c r="B1903" s="19" t="s">
        <v>17</v>
      </c>
      <c r="C1903" s="19"/>
      <c r="D1903" s="37">
        <v>45900</v>
      </c>
      <c r="E1903" s="31">
        <v>38921</v>
      </c>
      <c r="F1903" s="31" t="s">
        <v>1148</v>
      </c>
      <c r="G1903" s="31">
        <v>2288</v>
      </c>
      <c r="H1903" s="31" t="s">
        <v>160</v>
      </c>
      <c r="I1903" s="38">
        <v>54.25</v>
      </c>
    </row>
    <row r="1904" spans="1:10" x14ac:dyDescent="0.35">
      <c r="A1904" s="31">
        <v>951.5</v>
      </c>
      <c r="B1904" s="19"/>
      <c r="C1904" s="19" t="s">
        <v>22</v>
      </c>
      <c r="D1904" s="37">
        <v>45900</v>
      </c>
      <c r="E1904" s="31">
        <v>38921</v>
      </c>
      <c r="F1904" s="31" t="s">
        <v>1148</v>
      </c>
      <c r="G1904" s="31">
        <v>2288</v>
      </c>
      <c r="H1904" s="31" t="s">
        <v>160</v>
      </c>
      <c r="J1904" s="38">
        <v>54.25</v>
      </c>
    </row>
    <row r="1905" spans="1:10" x14ac:dyDescent="0.35">
      <c r="A1905" s="31">
        <v>952</v>
      </c>
      <c r="B1905" s="19" t="s">
        <v>17</v>
      </c>
      <c r="C1905" s="19"/>
      <c r="D1905" s="37">
        <v>45900</v>
      </c>
      <c r="E1905" s="31">
        <v>38942</v>
      </c>
      <c r="F1905" s="31" t="s">
        <v>1149</v>
      </c>
      <c r="G1905" s="31">
        <v>2413</v>
      </c>
      <c r="H1905" s="31" t="s">
        <v>160</v>
      </c>
      <c r="I1905" s="38">
        <v>462.5</v>
      </c>
    </row>
    <row r="1906" spans="1:10" x14ac:dyDescent="0.35">
      <c r="A1906" s="31">
        <v>952.5</v>
      </c>
      <c r="B1906" s="19"/>
      <c r="C1906" s="19" t="s">
        <v>22</v>
      </c>
      <c r="D1906" s="37">
        <v>45900</v>
      </c>
      <c r="E1906" s="31">
        <v>38942</v>
      </c>
      <c r="F1906" s="31" t="s">
        <v>1149</v>
      </c>
      <c r="G1906" s="31">
        <v>2413</v>
      </c>
      <c r="H1906" s="31" t="s">
        <v>160</v>
      </c>
      <c r="J1906" s="38">
        <v>462.5</v>
      </c>
    </row>
    <row r="1907" spans="1:10" x14ac:dyDescent="0.35">
      <c r="A1907" s="31">
        <v>953</v>
      </c>
      <c r="B1907" s="19" t="s">
        <v>17</v>
      </c>
      <c r="C1907" s="19"/>
      <c r="D1907" s="37">
        <v>45900</v>
      </c>
      <c r="E1907" s="31">
        <v>38946</v>
      </c>
      <c r="F1907" s="31" t="s">
        <v>1150</v>
      </c>
      <c r="G1907" s="31">
        <v>2336</v>
      </c>
      <c r="H1907" s="31" t="s">
        <v>160</v>
      </c>
      <c r="I1907" s="38">
        <v>2800</v>
      </c>
    </row>
    <row r="1908" spans="1:10" x14ac:dyDescent="0.35">
      <c r="A1908" s="31">
        <v>953.5</v>
      </c>
      <c r="B1908" s="19"/>
      <c r="C1908" s="19" t="s">
        <v>22</v>
      </c>
      <c r="D1908" s="37">
        <v>45900</v>
      </c>
      <c r="E1908" s="31">
        <v>38946</v>
      </c>
      <c r="F1908" s="31" t="s">
        <v>1150</v>
      </c>
      <c r="G1908" s="31">
        <v>2336</v>
      </c>
      <c r="H1908" s="31" t="s">
        <v>160</v>
      </c>
      <c r="J1908" s="38">
        <v>2800</v>
      </c>
    </row>
    <row r="1909" spans="1:10" x14ac:dyDescent="0.35">
      <c r="A1909" s="31">
        <v>954</v>
      </c>
      <c r="B1909" s="19" t="s">
        <v>17</v>
      </c>
      <c r="C1909" s="19"/>
      <c r="D1909" s="37">
        <v>45900</v>
      </c>
      <c r="E1909" s="31">
        <v>38957</v>
      </c>
      <c r="F1909" s="31" t="s">
        <v>1151</v>
      </c>
      <c r="G1909" s="31">
        <v>2212</v>
      </c>
      <c r="H1909" s="31" t="s">
        <v>160</v>
      </c>
      <c r="I1909" s="38">
        <v>569.63</v>
      </c>
    </row>
    <row r="1910" spans="1:10" x14ac:dyDescent="0.35">
      <c r="A1910" s="31">
        <v>954.5</v>
      </c>
      <c r="B1910" s="19"/>
      <c r="C1910" s="19" t="s">
        <v>22</v>
      </c>
      <c r="D1910" s="37">
        <v>45900</v>
      </c>
      <c r="E1910" s="31">
        <v>38957</v>
      </c>
      <c r="F1910" s="31" t="s">
        <v>1151</v>
      </c>
      <c r="G1910" s="31">
        <v>2212</v>
      </c>
      <c r="H1910" s="31" t="s">
        <v>160</v>
      </c>
      <c r="J1910" s="38">
        <v>569.63</v>
      </c>
    </row>
    <row r="1911" spans="1:10" x14ac:dyDescent="0.35">
      <c r="A1911" s="31">
        <v>955</v>
      </c>
      <c r="B1911" s="19" t="s">
        <v>17</v>
      </c>
      <c r="C1911" s="19"/>
      <c r="D1911" s="37">
        <v>45900</v>
      </c>
      <c r="E1911" s="31">
        <v>38962</v>
      </c>
      <c r="F1911" s="31" t="s">
        <v>1152</v>
      </c>
      <c r="G1911" s="31">
        <v>577</v>
      </c>
      <c r="H1911" s="31" t="s">
        <v>160</v>
      </c>
      <c r="I1911" s="38">
        <v>92.4</v>
      </c>
    </row>
    <row r="1912" spans="1:10" x14ac:dyDescent="0.35">
      <c r="A1912" s="31">
        <v>955.5</v>
      </c>
      <c r="B1912" s="19"/>
      <c r="C1912" s="19" t="s">
        <v>22</v>
      </c>
      <c r="D1912" s="37">
        <v>45900</v>
      </c>
      <c r="E1912" s="31">
        <v>38962</v>
      </c>
      <c r="F1912" s="31" t="s">
        <v>1152</v>
      </c>
      <c r="G1912" s="31">
        <v>577</v>
      </c>
      <c r="H1912" s="31" t="s">
        <v>160</v>
      </c>
      <c r="J1912" s="38">
        <v>92.4</v>
      </c>
    </row>
    <row r="1913" spans="1:10" x14ac:dyDescent="0.35">
      <c r="A1913" s="31">
        <v>956</v>
      </c>
      <c r="B1913" s="19" t="s">
        <v>17</v>
      </c>
      <c r="C1913" s="19"/>
      <c r="D1913" s="37">
        <v>45900</v>
      </c>
      <c r="E1913" s="31">
        <v>38963</v>
      </c>
      <c r="F1913" s="53" t="s">
        <v>1138</v>
      </c>
      <c r="G1913" s="31">
        <v>2456</v>
      </c>
      <c r="H1913" s="31" t="s">
        <v>160</v>
      </c>
      <c r="I1913" s="38">
        <v>103.27</v>
      </c>
    </row>
    <row r="1914" spans="1:10" x14ac:dyDescent="0.35">
      <c r="A1914" s="31">
        <v>956.5</v>
      </c>
      <c r="B1914" s="19"/>
      <c r="C1914" s="19" t="s">
        <v>22</v>
      </c>
      <c r="D1914" s="37">
        <v>45900</v>
      </c>
      <c r="E1914" s="31">
        <v>38963</v>
      </c>
      <c r="F1914" s="53" t="s">
        <v>1138</v>
      </c>
      <c r="G1914" s="31">
        <v>2456</v>
      </c>
      <c r="H1914" s="31" t="s">
        <v>160</v>
      </c>
      <c r="J1914" s="38">
        <v>103.27</v>
      </c>
    </row>
    <row r="1915" spans="1:10" x14ac:dyDescent="0.35">
      <c r="A1915" s="31">
        <v>957</v>
      </c>
      <c r="B1915" s="19" t="s">
        <v>17</v>
      </c>
      <c r="C1915" s="19"/>
      <c r="D1915" s="37">
        <v>45900</v>
      </c>
      <c r="E1915" s="31">
        <v>38965</v>
      </c>
      <c r="F1915" s="31" t="s">
        <v>1154</v>
      </c>
      <c r="G1915" s="31">
        <v>2164</v>
      </c>
      <c r="H1915" s="31" t="s">
        <v>160</v>
      </c>
      <c r="I1915" s="38">
        <v>350</v>
      </c>
    </row>
    <row r="1916" spans="1:10" x14ac:dyDescent="0.35">
      <c r="A1916" s="31">
        <v>957.5</v>
      </c>
      <c r="B1916" s="19"/>
      <c r="C1916" s="19" t="s">
        <v>22</v>
      </c>
      <c r="D1916" s="37">
        <v>45900</v>
      </c>
      <c r="E1916" s="31">
        <v>38965</v>
      </c>
      <c r="F1916" s="31" t="s">
        <v>1154</v>
      </c>
      <c r="G1916" s="31">
        <v>2164</v>
      </c>
      <c r="H1916" s="31" t="s">
        <v>160</v>
      </c>
      <c r="J1916" s="38">
        <v>350</v>
      </c>
    </row>
    <row r="1917" spans="1:10" x14ac:dyDescent="0.35">
      <c r="A1917" s="31">
        <v>958</v>
      </c>
      <c r="B1917" s="19" t="s">
        <v>17</v>
      </c>
      <c r="C1917" s="19"/>
      <c r="D1917" s="37">
        <v>45900</v>
      </c>
      <c r="E1917" s="31">
        <v>38974</v>
      </c>
      <c r="F1917" s="31" t="s">
        <v>1155</v>
      </c>
      <c r="G1917" s="31">
        <v>2445</v>
      </c>
      <c r="H1917" s="31" t="s">
        <v>160</v>
      </c>
      <c r="I1917" s="38">
        <v>450</v>
      </c>
    </row>
    <row r="1918" spans="1:10" x14ac:dyDescent="0.35">
      <c r="A1918" s="31">
        <v>958.5</v>
      </c>
      <c r="B1918" s="19"/>
      <c r="C1918" s="19" t="s">
        <v>22</v>
      </c>
      <c r="D1918" s="37">
        <v>45900</v>
      </c>
      <c r="E1918" s="31">
        <v>38974</v>
      </c>
      <c r="F1918" s="31" t="s">
        <v>1155</v>
      </c>
      <c r="G1918" s="31">
        <v>2445</v>
      </c>
      <c r="H1918" s="31" t="s">
        <v>160</v>
      </c>
      <c r="J1918" s="38">
        <v>450</v>
      </c>
    </row>
    <row r="1919" spans="1:10" x14ac:dyDescent="0.35">
      <c r="A1919" s="31">
        <v>959</v>
      </c>
      <c r="B1919" s="19" t="s">
        <v>17</v>
      </c>
      <c r="C1919" s="19"/>
      <c r="D1919" s="37">
        <v>45900</v>
      </c>
      <c r="E1919" s="31">
        <v>38984</v>
      </c>
      <c r="F1919" s="31" t="s">
        <v>1156</v>
      </c>
      <c r="G1919" s="31">
        <v>580</v>
      </c>
      <c r="H1919" s="31" t="s">
        <v>160</v>
      </c>
      <c r="I1919" s="38">
        <v>1984</v>
      </c>
    </row>
    <row r="1920" spans="1:10" x14ac:dyDescent="0.35">
      <c r="A1920" s="31">
        <v>959.5</v>
      </c>
      <c r="B1920" s="19"/>
      <c r="C1920" s="19" t="s">
        <v>22</v>
      </c>
      <c r="D1920" s="37">
        <v>45900</v>
      </c>
      <c r="E1920" s="31">
        <v>38984</v>
      </c>
      <c r="F1920" s="31" t="s">
        <v>1156</v>
      </c>
      <c r="G1920" s="31">
        <v>580</v>
      </c>
      <c r="H1920" s="31" t="s">
        <v>160</v>
      </c>
      <c r="J1920" s="38">
        <v>1984</v>
      </c>
    </row>
    <row r="1921" spans="1:10" x14ac:dyDescent="0.35">
      <c r="A1921" s="31">
        <v>960</v>
      </c>
      <c r="B1921" s="19" t="s">
        <v>17</v>
      </c>
      <c r="C1921" s="19"/>
      <c r="D1921" s="37">
        <v>45900</v>
      </c>
      <c r="E1921" s="31">
        <v>38985</v>
      </c>
      <c r="F1921" s="31" t="s">
        <v>1157</v>
      </c>
      <c r="G1921" s="31">
        <v>453</v>
      </c>
      <c r="H1921" s="31" t="s">
        <v>160</v>
      </c>
      <c r="I1921" s="38">
        <v>2248</v>
      </c>
    </row>
    <row r="1922" spans="1:10" x14ac:dyDescent="0.35">
      <c r="A1922" s="31">
        <v>960.5</v>
      </c>
      <c r="B1922" s="19"/>
      <c r="C1922" s="19" t="s">
        <v>22</v>
      </c>
      <c r="D1922" s="37">
        <v>45900</v>
      </c>
      <c r="E1922" s="31">
        <v>38985</v>
      </c>
      <c r="F1922" s="31" t="s">
        <v>1157</v>
      </c>
      <c r="G1922" s="31">
        <v>453</v>
      </c>
      <c r="H1922" s="31" t="s">
        <v>160</v>
      </c>
      <c r="J1922" s="38">
        <v>2248</v>
      </c>
    </row>
    <row r="1923" spans="1:10" x14ac:dyDescent="0.35">
      <c r="A1923" s="31">
        <v>961</v>
      </c>
      <c r="B1923" s="19" t="s">
        <v>17</v>
      </c>
      <c r="C1923" s="19"/>
      <c r="D1923" s="37">
        <v>45900</v>
      </c>
      <c r="E1923" s="31">
        <v>38992</v>
      </c>
      <c r="F1923" s="31" t="s">
        <v>1158</v>
      </c>
      <c r="G1923" s="31">
        <v>2457</v>
      </c>
      <c r="H1923" s="31" t="s">
        <v>160</v>
      </c>
      <c r="I1923" s="38">
        <v>14079.71</v>
      </c>
    </row>
    <row r="1924" spans="1:10" x14ac:dyDescent="0.35">
      <c r="A1924" s="31">
        <v>961.5</v>
      </c>
      <c r="B1924" s="19"/>
      <c r="C1924" s="19" t="s">
        <v>22</v>
      </c>
      <c r="D1924" s="37">
        <v>45900</v>
      </c>
      <c r="E1924" s="31">
        <v>38992</v>
      </c>
      <c r="F1924" s="31" t="s">
        <v>1158</v>
      </c>
      <c r="G1924" s="31">
        <v>2457</v>
      </c>
      <c r="H1924" s="31" t="s">
        <v>160</v>
      </c>
      <c r="J1924" s="38">
        <v>14079.71</v>
      </c>
    </row>
    <row r="1925" spans="1:10" x14ac:dyDescent="0.35">
      <c r="A1925" s="31">
        <v>962</v>
      </c>
      <c r="B1925" s="19" t="s">
        <v>17</v>
      </c>
      <c r="C1925" s="19"/>
      <c r="D1925" s="37">
        <v>45900</v>
      </c>
      <c r="E1925" s="31">
        <v>38997</v>
      </c>
      <c r="F1925" s="31" t="s">
        <v>128</v>
      </c>
      <c r="G1925" s="31">
        <v>2442</v>
      </c>
      <c r="H1925" s="31" t="s">
        <v>160</v>
      </c>
      <c r="I1925" s="38">
        <v>15560</v>
      </c>
    </row>
    <row r="1926" spans="1:10" x14ac:dyDescent="0.35">
      <c r="A1926" s="31">
        <v>962.5</v>
      </c>
      <c r="B1926" s="19"/>
      <c r="C1926" s="19" t="s">
        <v>22</v>
      </c>
      <c r="D1926" s="37">
        <v>45900</v>
      </c>
      <c r="E1926" s="31">
        <v>38997</v>
      </c>
      <c r="F1926" s="31" t="s">
        <v>128</v>
      </c>
      <c r="G1926" s="31">
        <v>2442</v>
      </c>
      <c r="H1926" s="31" t="s">
        <v>160</v>
      </c>
      <c r="J1926" s="38">
        <v>15560</v>
      </c>
    </row>
    <row r="1927" spans="1:10" x14ac:dyDescent="0.35">
      <c r="A1927" s="31">
        <v>963</v>
      </c>
      <c r="B1927" s="19" t="s">
        <v>17</v>
      </c>
      <c r="C1927" s="19"/>
      <c r="D1927" s="37">
        <v>45900</v>
      </c>
      <c r="E1927" s="31">
        <v>38998</v>
      </c>
      <c r="F1927" s="31" t="s">
        <v>1159</v>
      </c>
      <c r="G1927" s="31">
        <v>575</v>
      </c>
      <c r="H1927" s="31" t="s">
        <v>160</v>
      </c>
      <c r="I1927" s="38">
        <v>697.5</v>
      </c>
    </row>
    <row r="1928" spans="1:10" x14ac:dyDescent="0.35">
      <c r="A1928" s="31">
        <v>963.5</v>
      </c>
      <c r="B1928" s="19"/>
      <c r="C1928" s="19" t="s">
        <v>22</v>
      </c>
      <c r="D1928" s="37">
        <v>45900</v>
      </c>
      <c r="E1928" s="31">
        <v>38998</v>
      </c>
      <c r="F1928" s="31" t="s">
        <v>1159</v>
      </c>
      <c r="G1928" s="31">
        <v>575</v>
      </c>
      <c r="H1928" s="31" t="s">
        <v>160</v>
      </c>
      <c r="J1928" s="38">
        <v>697.5</v>
      </c>
    </row>
    <row r="1929" spans="1:10" x14ac:dyDescent="0.35">
      <c r="A1929" s="31">
        <v>964</v>
      </c>
      <c r="B1929" s="19" t="s">
        <v>17</v>
      </c>
      <c r="C1929" s="19"/>
      <c r="D1929" s="37">
        <v>45900</v>
      </c>
      <c r="E1929" s="31">
        <v>39003</v>
      </c>
      <c r="F1929" s="31" t="s">
        <v>1160</v>
      </c>
      <c r="G1929" s="31">
        <v>2357</v>
      </c>
      <c r="H1929" s="31" t="s">
        <v>160</v>
      </c>
      <c r="I1929" s="38">
        <v>11883.55</v>
      </c>
    </row>
    <row r="1930" spans="1:10" x14ac:dyDescent="0.35">
      <c r="A1930" s="31">
        <v>964.5</v>
      </c>
      <c r="B1930" s="19"/>
      <c r="C1930" s="19" t="s">
        <v>22</v>
      </c>
      <c r="D1930" s="37">
        <v>45900</v>
      </c>
      <c r="E1930" s="31">
        <v>39003</v>
      </c>
      <c r="F1930" s="31" t="s">
        <v>1160</v>
      </c>
      <c r="G1930" s="31">
        <v>2357</v>
      </c>
      <c r="H1930" s="31" t="s">
        <v>160</v>
      </c>
      <c r="J1930" s="38">
        <v>11883.55</v>
      </c>
    </row>
    <row r="1931" spans="1:10" x14ac:dyDescent="0.35">
      <c r="A1931" s="31">
        <v>965</v>
      </c>
      <c r="B1931" s="19" t="s">
        <v>17</v>
      </c>
      <c r="C1931" s="19"/>
      <c r="D1931" s="37">
        <v>45900</v>
      </c>
      <c r="E1931" s="31">
        <v>39009</v>
      </c>
      <c r="F1931" s="31" t="s">
        <v>1159</v>
      </c>
      <c r="G1931" s="31">
        <v>575</v>
      </c>
      <c r="H1931" s="31" t="s">
        <v>160</v>
      </c>
      <c r="I1931" s="38">
        <v>4500</v>
      </c>
    </row>
    <row r="1932" spans="1:10" x14ac:dyDescent="0.35">
      <c r="A1932" s="31">
        <v>965.5</v>
      </c>
      <c r="B1932" s="19"/>
      <c r="C1932" s="19" t="s">
        <v>22</v>
      </c>
      <c r="D1932" s="37">
        <v>45900</v>
      </c>
      <c r="E1932" s="31">
        <v>39009</v>
      </c>
      <c r="F1932" s="31" t="s">
        <v>1159</v>
      </c>
      <c r="G1932" s="31">
        <v>575</v>
      </c>
      <c r="H1932" s="31" t="s">
        <v>160</v>
      </c>
      <c r="J1932" s="38">
        <v>4500</v>
      </c>
    </row>
    <row r="1933" spans="1:10" x14ac:dyDescent="0.35">
      <c r="A1933" s="31">
        <v>966</v>
      </c>
      <c r="B1933" s="19" t="s">
        <v>17</v>
      </c>
      <c r="C1933" s="19"/>
      <c r="D1933" s="37">
        <v>45900</v>
      </c>
      <c r="E1933" s="31">
        <v>39063</v>
      </c>
      <c r="F1933" s="31" t="s">
        <v>1161</v>
      </c>
      <c r="G1933" s="31">
        <v>2541</v>
      </c>
      <c r="H1933" s="31" t="s">
        <v>160</v>
      </c>
      <c r="I1933" s="38">
        <v>4464</v>
      </c>
    </row>
    <row r="1934" spans="1:10" x14ac:dyDescent="0.35">
      <c r="A1934" s="31">
        <v>966.5</v>
      </c>
      <c r="B1934" s="19"/>
      <c r="C1934" s="19" t="s">
        <v>22</v>
      </c>
      <c r="D1934" s="37">
        <v>45900</v>
      </c>
      <c r="E1934" s="31">
        <v>39063</v>
      </c>
      <c r="F1934" s="31" t="s">
        <v>1161</v>
      </c>
      <c r="G1934" s="31">
        <v>2541</v>
      </c>
      <c r="H1934" s="31" t="s">
        <v>160</v>
      </c>
      <c r="J1934" s="38">
        <v>4464</v>
      </c>
    </row>
    <row r="1935" spans="1:10" x14ac:dyDescent="0.35">
      <c r="A1935" s="31">
        <v>967</v>
      </c>
      <c r="B1935" s="19" t="s">
        <v>17</v>
      </c>
      <c r="C1935" s="19"/>
      <c r="D1935" s="37">
        <v>45900</v>
      </c>
      <c r="E1935" s="31">
        <v>39073</v>
      </c>
      <c r="F1935" s="31" t="s">
        <v>1135</v>
      </c>
      <c r="G1935" s="31">
        <v>693</v>
      </c>
      <c r="H1935" s="31" t="s">
        <v>160</v>
      </c>
      <c r="I1935" s="38">
        <v>13200</v>
      </c>
    </row>
    <row r="1936" spans="1:10" x14ac:dyDescent="0.35">
      <c r="A1936" s="31">
        <v>967.5</v>
      </c>
      <c r="B1936" s="19"/>
      <c r="C1936" s="19" t="s">
        <v>22</v>
      </c>
      <c r="D1936" s="37">
        <v>45900</v>
      </c>
      <c r="E1936" s="31">
        <v>39073</v>
      </c>
      <c r="F1936" s="31" t="s">
        <v>1135</v>
      </c>
      <c r="G1936" s="31">
        <v>693</v>
      </c>
      <c r="H1936" s="31" t="s">
        <v>160</v>
      </c>
      <c r="J1936" s="38">
        <v>13200</v>
      </c>
    </row>
    <row r="1937" spans="1:10" x14ac:dyDescent="0.35">
      <c r="A1937" s="31">
        <v>968</v>
      </c>
      <c r="B1937" s="19" t="s">
        <v>17</v>
      </c>
      <c r="C1937" s="19"/>
      <c r="D1937" s="37">
        <v>45900</v>
      </c>
      <c r="E1937" s="31">
        <v>39074</v>
      </c>
      <c r="F1937" s="31" t="s">
        <v>1135</v>
      </c>
      <c r="G1937" s="31">
        <v>693</v>
      </c>
      <c r="H1937" s="31" t="s">
        <v>160</v>
      </c>
      <c r="I1937" s="38">
        <v>10200</v>
      </c>
    </row>
    <row r="1938" spans="1:10" x14ac:dyDescent="0.35">
      <c r="A1938" s="31">
        <v>968.5</v>
      </c>
      <c r="B1938" s="19"/>
      <c r="C1938" s="19" t="s">
        <v>22</v>
      </c>
      <c r="D1938" s="37">
        <v>45900</v>
      </c>
      <c r="E1938" s="31">
        <v>39074</v>
      </c>
      <c r="F1938" s="31" t="s">
        <v>1135</v>
      </c>
      <c r="G1938" s="31">
        <v>693</v>
      </c>
      <c r="H1938" s="31" t="s">
        <v>160</v>
      </c>
      <c r="J1938" s="38">
        <v>10200</v>
      </c>
    </row>
    <row r="1939" spans="1:10" x14ac:dyDescent="0.35">
      <c r="A1939" s="31">
        <v>969</v>
      </c>
      <c r="B1939" s="19" t="s">
        <v>17</v>
      </c>
      <c r="C1939" s="19"/>
      <c r="D1939" s="37">
        <v>45900</v>
      </c>
      <c r="E1939" s="31">
        <v>39084</v>
      </c>
      <c r="F1939" s="31" t="s">
        <v>1027</v>
      </c>
      <c r="G1939" s="31">
        <v>3397</v>
      </c>
      <c r="H1939" s="31" t="s">
        <v>160</v>
      </c>
      <c r="I1939" s="38">
        <v>12023.44</v>
      </c>
    </row>
    <row r="1940" spans="1:10" x14ac:dyDescent="0.35">
      <c r="A1940" s="31">
        <v>969.5</v>
      </c>
      <c r="B1940" s="19"/>
      <c r="C1940" s="19" t="s">
        <v>22</v>
      </c>
      <c r="D1940" s="37">
        <v>45900</v>
      </c>
      <c r="E1940" s="31">
        <v>39084</v>
      </c>
      <c r="F1940" s="31" t="s">
        <v>1027</v>
      </c>
      <c r="G1940" s="31">
        <v>3397</v>
      </c>
      <c r="H1940" s="31" t="s">
        <v>160</v>
      </c>
      <c r="J1940" s="38">
        <v>12023.44</v>
      </c>
    </row>
    <row r="1941" spans="1:10" x14ac:dyDescent="0.35">
      <c r="A1941" s="31">
        <v>970</v>
      </c>
      <c r="B1941" s="19" t="s">
        <v>17</v>
      </c>
      <c r="C1941" s="19"/>
      <c r="D1941" s="37">
        <v>45900</v>
      </c>
      <c r="E1941" s="31">
        <v>39086</v>
      </c>
      <c r="F1941" s="31" t="s">
        <v>50</v>
      </c>
      <c r="G1941" s="31">
        <v>1938</v>
      </c>
      <c r="H1941" s="31" t="s">
        <v>160</v>
      </c>
      <c r="I1941" s="38">
        <v>0</v>
      </c>
    </row>
    <row r="1942" spans="1:10" x14ac:dyDescent="0.35">
      <c r="A1942" s="31">
        <v>970.5</v>
      </c>
      <c r="B1942" s="19"/>
      <c r="C1942" s="19" t="s">
        <v>22</v>
      </c>
      <c r="D1942" s="37">
        <v>45900</v>
      </c>
      <c r="E1942" s="31">
        <v>39086</v>
      </c>
      <c r="F1942" s="31" t="s">
        <v>50</v>
      </c>
      <c r="G1942" s="31">
        <v>1938</v>
      </c>
      <c r="H1942" s="31" t="s">
        <v>160</v>
      </c>
      <c r="J1942" s="38">
        <v>0</v>
      </c>
    </row>
    <row r="1943" spans="1:10" x14ac:dyDescent="0.35">
      <c r="A1943" s="31">
        <v>971</v>
      </c>
      <c r="B1943" s="19" t="s">
        <v>17</v>
      </c>
      <c r="C1943" s="19"/>
      <c r="D1943" s="37">
        <v>45900</v>
      </c>
      <c r="E1943" s="31" t="s">
        <v>1162</v>
      </c>
      <c r="F1943" s="31" t="s">
        <v>50</v>
      </c>
      <c r="G1943" s="31">
        <v>1938</v>
      </c>
      <c r="H1943" s="31" t="s">
        <v>160</v>
      </c>
      <c r="I1943" s="38">
        <v>0</v>
      </c>
    </row>
    <row r="1944" spans="1:10" x14ac:dyDescent="0.35">
      <c r="A1944" s="31">
        <v>971.5</v>
      </c>
      <c r="B1944" s="19"/>
      <c r="C1944" s="19" t="s">
        <v>22</v>
      </c>
      <c r="D1944" s="37">
        <v>45900</v>
      </c>
      <c r="E1944" s="31" t="s">
        <v>1162</v>
      </c>
      <c r="F1944" s="31" t="s">
        <v>50</v>
      </c>
      <c r="G1944" s="31">
        <v>1938</v>
      </c>
      <c r="H1944" s="31" t="s">
        <v>160</v>
      </c>
      <c r="J1944" s="38">
        <v>0</v>
      </c>
    </row>
    <row r="1945" spans="1:10" x14ac:dyDescent="0.35">
      <c r="A1945" s="31">
        <v>972</v>
      </c>
      <c r="B1945" s="19" t="s">
        <v>17</v>
      </c>
      <c r="C1945" s="19"/>
      <c r="D1945" s="37">
        <v>45900</v>
      </c>
      <c r="E1945" s="31">
        <v>39088</v>
      </c>
      <c r="F1945" s="31" t="s">
        <v>1163</v>
      </c>
      <c r="G1945" s="31">
        <v>2162</v>
      </c>
      <c r="H1945" s="31" t="s">
        <v>160</v>
      </c>
      <c r="I1945" s="38">
        <v>6417</v>
      </c>
    </row>
    <row r="1946" spans="1:10" x14ac:dyDescent="0.35">
      <c r="A1946" s="31">
        <v>972.5</v>
      </c>
      <c r="B1946" s="19"/>
      <c r="C1946" s="19" t="s">
        <v>22</v>
      </c>
      <c r="D1946" s="37">
        <v>45900</v>
      </c>
      <c r="E1946" s="31">
        <v>39088</v>
      </c>
      <c r="F1946" s="31" t="s">
        <v>1163</v>
      </c>
      <c r="G1946" s="31">
        <v>2162</v>
      </c>
      <c r="H1946" s="31" t="s">
        <v>160</v>
      </c>
      <c r="J1946" s="38">
        <v>6417</v>
      </c>
    </row>
    <row r="1947" spans="1:10" x14ac:dyDescent="0.35">
      <c r="A1947" s="31">
        <v>973</v>
      </c>
      <c r="B1947" s="19" t="s">
        <v>17</v>
      </c>
      <c r="C1947" s="19"/>
      <c r="D1947" s="37">
        <v>45900</v>
      </c>
      <c r="E1947" s="31">
        <v>39089</v>
      </c>
      <c r="F1947" s="31" t="s">
        <v>921</v>
      </c>
      <c r="G1947" s="31">
        <v>2191</v>
      </c>
      <c r="H1947" s="31" t="s">
        <v>160</v>
      </c>
      <c r="I1947" s="38">
        <v>355.95</v>
      </c>
    </row>
    <row r="1948" spans="1:10" x14ac:dyDescent="0.35">
      <c r="A1948" s="31">
        <v>973.5</v>
      </c>
      <c r="B1948" s="19"/>
      <c r="C1948" s="19" t="s">
        <v>22</v>
      </c>
      <c r="D1948" s="37">
        <v>45900</v>
      </c>
      <c r="E1948" s="31">
        <v>39089</v>
      </c>
      <c r="F1948" s="31" t="s">
        <v>921</v>
      </c>
      <c r="G1948" s="31">
        <v>2191</v>
      </c>
      <c r="H1948" s="31" t="s">
        <v>160</v>
      </c>
      <c r="J1948" s="38">
        <v>355.95</v>
      </c>
    </row>
    <row r="1949" spans="1:10" x14ac:dyDescent="0.35">
      <c r="A1949" s="31">
        <v>974</v>
      </c>
      <c r="B1949" s="19" t="s">
        <v>17</v>
      </c>
      <c r="C1949" s="19"/>
      <c r="D1949" s="37">
        <v>45900</v>
      </c>
      <c r="E1949" s="31">
        <v>39091</v>
      </c>
      <c r="F1949" s="31" t="s">
        <v>132</v>
      </c>
      <c r="G1949" s="31">
        <v>2601</v>
      </c>
      <c r="H1949" s="31" t="s">
        <v>160</v>
      </c>
      <c r="I1949" s="38">
        <v>44.55</v>
      </c>
    </row>
    <row r="1950" spans="1:10" x14ac:dyDescent="0.35">
      <c r="A1950" s="31">
        <v>974.5</v>
      </c>
      <c r="B1950" s="19"/>
      <c r="C1950" s="19" t="s">
        <v>22</v>
      </c>
      <c r="D1950" s="37">
        <v>45900</v>
      </c>
      <c r="E1950" s="31">
        <v>39091</v>
      </c>
      <c r="F1950" s="31" t="s">
        <v>132</v>
      </c>
      <c r="G1950" s="31">
        <v>2601</v>
      </c>
      <c r="H1950" s="31" t="s">
        <v>160</v>
      </c>
      <c r="J1950" s="38">
        <v>44.55</v>
      </c>
    </row>
    <row r="1951" spans="1:10" x14ac:dyDescent="0.35">
      <c r="A1951" s="31">
        <v>975</v>
      </c>
      <c r="B1951" s="19" t="s">
        <v>17</v>
      </c>
      <c r="C1951" s="19"/>
      <c r="D1951" s="37">
        <v>45900</v>
      </c>
      <c r="E1951" s="31">
        <v>39092</v>
      </c>
      <c r="F1951" s="31" t="s">
        <v>787</v>
      </c>
      <c r="G1951" s="31">
        <v>3553</v>
      </c>
      <c r="H1951" s="31" t="s">
        <v>160</v>
      </c>
      <c r="I1951" s="38">
        <v>29496.36</v>
      </c>
    </row>
    <row r="1952" spans="1:10" x14ac:dyDescent="0.35">
      <c r="A1952" s="31">
        <v>975.5</v>
      </c>
      <c r="B1952" s="19"/>
      <c r="C1952" s="19" t="s">
        <v>22</v>
      </c>
      <c r="D1952" s="37">
        <v>45900</v>
      </c>
      <c r="E1952" s="31">
        <v>39092</v>
      </c>
      <c r="F1952" s="31" t="s">
        <v>787</v>
      </c>
      <c r="G1952" s="31">
        <v>3553</v>
      </c>
      <c r="H1952" s="31" t="s">
        <v>160</v>
      </c>
      <c r="J1952" s="38">
        <v>29496.36</v>
      </c>
    </row>
    <row r="1953" spans="1:10" x14ac:dyDescent="0.35">
      <c r="A1953" s="31">
        <v>976</v>
      </c>
      <c r="B1953" s="19" t="s">
        <v>17</v>
      </c>
      <c r="C1953" s="19"/>
      <c r="D1953" s="37">
        <v>45900</v>
      </c>
      <c r="E1953" s="31">
        <v>39093</v>
      </c>
      <c r="F1953" s="31" t="s">
        <v>238</v>
      </c>
      <c r="G1953" s="31">
        <v>487</v>
      </c>
      <c r="H1953" s="31" t="s">
        <v>160</v>
      </c>
      <c r="I1953" s="38">
        <v>1050.5</v>
      </c>
    </row>
    <row r="1954" spans="1:10" x14ac:dyDescent="0.35">
      <c r="A1954" s="31">
        <v>976.5</v>
      </c>
      <c r="B1954" s="19"/>
      <c r="C1954" s="19" t="s">
        <v>22</v>
      </c>
      <c r="D1954" s="37">
        <v>45900</v>
      </c>
      <c r="E1954" s="31">
        <v>39093</v>
      </c>
      <c r="F1954" s="31" t="s">
        <v>238</v>
      </c>
      <c r="G1954" s="31">
        <v>487</v>
      </c>
      <c r="H1954" s="31" t="s">
        <v>160</v>
      </c>
      <c r="J1954" s="38">
        <v>1050.5</v>
      </c>
    </row>
    <row r="1955" spans="1:10" x14ac:dyDescent="0.35">
      <c r="A1955" s="31">
        <v>977</v>
      </c>
      <c r="B1955" s="19" t="s">
        <v>17</v>
      </c>
      <c r="C1955" s="19"/>
      <c r="D1955" s="37">
        <v>45900</v>
      </c>
      <c r="E1955" s="31">
        <v>39094</v>
      </c>
      <c r="F1955" s="31" t="s">
        <v>52</v>
      </c>
      <c r="G1955" s="31">
        <v>3323</v>
      </c>
      <c r="H1955" s="31" t="s">
        <v>160</v>
      </c>
      <c r="I1955" s="38">
        <v>7871.44</v>
      </c>
    </row>
    <row r="1956" spans="1:10" x14ac:dyDescent="0.35">
      <c r="A1956" s="31">
        <v>977.5</v>
      </c>
      <c r="B1956" s="19"/>
      <c r="C1956" s="19" t="s">
        <v>22</v>
      </c>
      <c r="D1956" s="37">
        <v>45900</v>
      </c>
      <c r="E1956" s="31">
        <v>39094</v>
      </c>
      <c r="F1956" s="31" t="s">
        <v>52</v>
      </c>
      <c r="G1956" s="31">
        <v>3323</v>
      </c>
      <c r="H1956" s="31" t="s">
        <v>160</v>
      </c>
      <c r="J1956" s="38">
        <v>7871.44</v>
      </c>
    </row>
    <row r="1957" spans="1:10" x14ac:dyDescent="0.35">
      <c r="A1957" s="31">
        <v>978</v>
      </c>
      <c r="B1957" s="19" t="s">
        <v>17</v>
      </c>
      <c r="C1957" s="19"/>
      <c r="D1957" s="37">
        <v>45900</v>
      </c>
      <c r="E1957" s="31">
        <v>39095</v>
      </c>
      <c r="F1957" s="31" t="s">
        <v>635</v>
      </c>
      <c r="G1957" s="31">
        <v>3325</v>
      </c>
      <c r="H1957" s="31" t="s">
        <v>160</v>
      </c>
      <c r="I1957" s="38">
        <v>458.63</v>
      </c>
    </row>
    <row r="1958" spans="1:10" x14ac:dyDescent="0.35">
      <c r="A1958" s="31">
        <v>978.5</v>
      </c>
      <c r="B1958" s="19"/>
      <c r="C1958" s="19" t="s">
        <v>22</v>
      </c>
      <c r="D1958" s="37">
        <v>45900</v>
      </c>
      <c r="E1958" s="31">
        <v>39095</v>
      </c>
      <c r="F1958" s="31" t="s">
        <v>635</v>
      </c>
      <c r="G1958" s="31">
        <v>3325</v>
      </c>
      <c r="H1958" s="31" t="s">
        <v>160</v>
      </c>
      <c r="J1958" s="38">
        <v>458.63</v>
      </c>
    </row>
    <row r="1959" spans="1:10" x14ac:dyDescent="0.35">
      <c r="A1959" s="31">
        <v>979</v>
      </c>
      <c r="B1959" s="19" t="s">
        <v>17</v>
      </c>
      <c r="C1959" s="19"/>
      <c r="D1959" s="37">
        <v>45900</v>
      </c>
      <c r="E1959" s="31">
        <v>39096</v>
      </c>
      <c r="F1959" s="31" t="s">
        <v>570</v>
      </c>
      <c r="G1959" s="31">
        <v>502</v>
      </c>
      <c r="H1959" s="31" t="s">
        <v>160</v>
      </c>
      <c r="I1959" s="38">
        <v>2244.7600000000002</v>
      </c>
    </row>
    <row r="1960" spans="1:10" x14ac:dyDescent="0.35">
      <c r="A1960" s="31">
        <v>979.5</v>
      </c>
      <c r="B1960" s="19"/>
      <c r="C1960" s="19" t="s">
        <v>22</v>
      </c>
      <c r="D1960" s="37">
        <v>45900</v>
      </c>
      <c r="E1960" s="31">
        <v>39096</v>
      </c>
      <c r="F1960" s="31" t="s">
        <v>570</v>
      </c>
      <c r="G1960" s="31">
        <v>502</v>
      </c>
      <c r="H1960" s="31" t="s">
        <v>160</v>
      </c>
      <c r="J1960" s="38">
        <v>2244.7600000000002</v>
      </c>
    </row>
    <row r="1961" spans="1:10" x14ac:dyDescent="0.35">
      <c r="A1961" s="31">
        <v>980</v>
      </c>
      <c r="B1961" s="19" t="s">
        <v>17</v>
      </c>
      <c r="C1961" s="19"/>
      <c r="D1961" s="37">
        <v>45900</v>
      </c>
      <c r="E1961" s="31">
        <v>39097</v>
      </c>
      <c r="F1961" s="31" t="s">
        <v>1164</v>
      </c>
      <c r="G1961" s="31">
        <v>3328</v>
      </c>
      <c r="H1961" s="31" t="s">
        <v>160</v>
      </c>
      <c r="I1961" s="38">
        <v>12.82</v>
      </c>
    </row>
    <row r="1962" spans="1:10" x14ac:dyDescent="0.35">
      <c r="A1962" s="31">
        <v>980.5</v>
      </c>
      <c r="B1962" s="19"/>
      <c r="C1962" s="19" t="s">
        <v>22</v>
      </c>
      <c r="D1962" s="37">
        <v>45900</v>
      </c>
      <c r="E1962" s="31">
        <v>39097</v>
      </c>
      <c r="F1962" s="31" t="s">
        <v>1164</v>
      </c>
      <c r="G1962" s="31">
        <v>3328</v>
      </c>
      <c r="H1962" s="31" t="s">
        <v>160</v>
      </c>
      <c r="J1962" s="38">
        <v>12.82</v>
      </c>
    </row>
    <row r="1963" spans="1:10" x14ac:dyDescent="0.35">
      <c r="A1963" s="31">
        <v>981</v>
      </c>
      <c r="B1963" s="19" t="s">
        <v>17</v>
      </c>
      <c r="C1963" s="19"/>
      <c r="D1963" s="37">
        <v>45900</v>
      </c>
      <c r="E1963" s="31">
        <v>39098</v>
      </c>
      <c r="F1963" s="31" t="s">
        <v>57</v>
      </c>
      <c r="G1963" s="31">
        <v>3330</v>
      </c>
      <c r="H1963" s="31" t="s">
        <v>160</v>
      </c>
      <c r="I1963" s="38">
        <v>6125.19</v>
      </c>
    </row>
    <row r="1964" spans="1:10" x14ac:dyDescent="0.35">
      <c r="A1964" s="31">
        <v>981.5</v>
      </c>
      <c r="B1964" s="19"/>
      <c r="C1964" s="19" t="s">
        <v>22</v>
      </c>
      <c r="D1964" s="37">
        <v>45900</v>
      </c>
      <c r="E1964" s="31">
        <v>39098</v>
      </c>
      <c r="F1964" s="31" t="s">
        <v>57</v>
      </c>
      <c r="G1964" s="31">
        <v>3330</v>
      </c>
      <c r="H1964" s="31" t="s">
        <v>160</v>
      </c>
      <c r="J1964" s="38">
        <v>6125.19</v>
      </c>
    </row>
    <row r="1965" spans="1:10" x14ac:dyDescent="0.35">
      <c r="A1965" s="31">
        <v>982</v>
      </c>
      <c r="B1965" s="19" t="s">
        <v>17</v>
      </c>
      <c r="C1965" s="19"/>
      <c r="D1965" s="37">
        <v>45900</v>
      </c>
      <c r="E1965" s="31">
        <v>39099</v>
      </c>
      <c r="F1965" s="31" t="s">
        <v>715</v>
      </c>
      <c r="G1965" s="31">
        <v>3549</v>
      </c>
      <c r="H1965" s="31" t="s">
        <v>160</v>
      </c>
      <c r="I1965" s="38">
        <v>8009.75</v>
      </c>
    </row>
    <row r="1966" spans="1:10" x14ac:dyDescent="0.35">
      <c r="A1966" s="31">
        <v>982.5</v>
      </c>
      <c r="B1966" s="19"/>
      <c r="C1966" s="19" t="s">
        <v>22</v>
      </c>
      <c r="D1966" s="37">
        <v>45900</v>
      </c>
      <c r="E1966" s="31">
        <v>39099</v>
      </c>
      <c r="F1966" s="31" t="s">
        <v>715</v>
      </c>
      <c r="G1966" s="31">
        <v>3549</v>
      </c>
      <c r="H1966" s="31" t="s">
        <v>160</v>
      </c>
      <c r="J1966" s="38">
        <v>8009.75</v>
      </c>
    </row>
    <row r="1967" spans="1:10" x14ac:dyDescent="0.35">
      <c r="A1967" s="31">
        <v>983</v>
      </c>
      <c r="B1967" s="19" t="s">
        <v>17</v>
      </c>
      <c r="C1967" s="19"/>
      <c r="D1967" s="37">
        <v>45900</v>
      </c>
      <c r="E1967" s="31">
        <v>39100</v>
      </c>
      <c r="F1967" s="31" t="s">
        <v>1165</v>
      </c>
      <c r="G1967" s="31">
        <v>2458</v>
      </c>
      <c r="H1967" s="31" t="s">
        <v>160</v>
      </c>
      <c r="I1967" s="38">
        <v>613.85</v>
      </c>
    </row>
    <row r="1968" spans="1:10" x14ac:dyDescent="0.35">
      <c r="A1968" s="31">
        <v>983.5</v>
      </c>
      <c r="B1968" s="19"/>
      <c r="C1968" s="19" t="s">
        <v>22</v>
      </c>
      <c r="D1968" s="37">
        <v>45900</v>
      </c>
      <c r="E1968" s="31">
        <v>39100</v>
      </c>
      <c r="F1968" s="31" t="s">
        <v>1165</v>
      </c>
      <c r="G1968" s="31">
        <v>2458</v>
      </c>
      <c r="H1968" s="31" t="s">
        <v>160</v>
      </c>
      <c r="J1968" s="38">
        <v>613.85</v>
      </c>
    </row>
    <row r="1969" spans="1:10" x14ac:dyDescent="0.35">
      <c r="A1969" s="31">
        <v>984</v>
      </c>
      <c r="B1969" s="19" t="s">
        <v>17</v>
      </c>
      <c r="C1969" s="19"/>
      <c r="D1969" s="37">
        <v>45900</v>
      </c>
      <c r="E1969" s="31">
        <v>39101</v>
      </c>
      <c r="F1969" s="31" t="s">
        <v>1146</v>
      </c>
      <c r="G1969" s="31">
        <v>2193</v>
      </c>
      <c r="H1969" s="31" t="s">
        <v>160</v>
      </c>
      <c r="I1969" s="38">
        <v>18.72</v>
      </c>
    </row>
    <row r="1970" spans="1:10" x14ac:dyDescent="0.35">
      <c r="A1970" s="31">
        <v>984.5</v>
      </c>
      <c r="B1970" s="19"/>
      <c r="C1970" s="19" t="s">
        <v>22</v>
      </c>
      <c r="D1970" s="37">
        <v>45900</v>
      </c>
      <c r="E1970" s="31">
        <v>39101</v>
      </c>
      <c r="F1970" s="31" t="s">
        <v>1146</v>
      </c>
      <c r="G1970" s="31">
        <v>2193</v>
      </c>
      <c r="H1970" s="31" t="s">
        <v>160</v>
      </c>
      <c r="J1970" s="38">
        <v>18.72</v>
      </c>
    </row>
    <row r="1971" spans="1:10" x14ac:dyDescent="0.35">
      <c r="A1971" s="31">
        <v>985</v>
      </c>
      <c r="B1971" s="19" t="s">
        <v>17</v>
      </c>
      <c r="C1971" s="19"/>
      <c r="D1971" s="37">
        <v>45900</v>
      </c>
      <c r="E1971" s="31">
        <v>39102</v>
      </c>
      <c r="F1971" s="31" t="s">
        <v>1166</v>
      </c>
      <c r="G1971" s="31">
        <v>3569</v>
      </c>
      <c r="H1971" s="31" t="s">
        <v>160</v>
      </c>
      <c r="I1971" s="38">
        <v>4326.6000000000004</v>
      </c>
    </row>
    <row r="1972" spans="1:10" x14ac:dyDescent="0.35">
      <c r="A1972" s="31">
        <v>985.5</v>
      </c>
      <c r="B1972" s="19"/>
      <c r="C1972" s="19" t="s">
        <v>22</v>
      </c>
      <c r="D1972" s="37">
        <v>45900</v>
      </c>
      <c r="E1972" s="31">
        <v>39102</v>
      </c>
      <c r="F1972" s="31" t="s">
        <v>1166</v>
      </c>
      <c r="G1972" s="31">
        <v>3569</v>
      </c>
      <c r="H1972" s="31" t="s">
        <v>160</v>
      </c>
      <c r="J1972" s="38">
        <v>4326.6000000000004</v>
      </c>
    </row>
    <row r="1973" spans="1:10" x14ac:dyDescent="0.35">
      <c r="A1973" s="31">
        <v>986</v>
      </c>
      <c r="B1973" s="19" t="s">
        <v>17</v>
      </c>
      <c r="C1973" s="19"/>
      <c r="D1973" s="37">
        <v>45900</v>
      </c>
      <c r="E1973" s="31">
        <v>39103</v>
      </c>
      <c r="F1973" s="31" t="s">
        <v>1140</v>
      </c>
      <c r="G1973" s="31">
        <v>3343</v>
      </c>
      <c r="H1973" s="31" t="s">
        <v>160</v>
      </c>
      <c r="I1973" s="38">
        <v>9360</v>
      </c>
    </row>
    <row r="1974" spans="1:10" x14ac:dyDescent="0.35">
      <c r="A1974" s="31">
        <v>986.5</v>
      </c>
      <c r="B1974" s="19"/>
      <c r="C1974" s="19" t="s">
        <v>22</v>
      </c>
      <c r="D1974" s="37">
        <v>45900</v>
      </c>
      <c r="E1974" s="31">
        <v>39103</v>
      </c>
      <c r="F1974" s="31" t="s">
        <v>1140</v>
      </c>
      <c r="G1974" s="31">
        <v>3343</v>
      </c>
      <c r="H1974" s="31" t="s">
        <v>160</v>
      </c>
      <c r="J1974" s="38">
        <v>9360</v>
      </c>
    </row>
    <row r="1975" spans="1:10" x14ac:dyDescent="0.35">
      <c r="A1975" s="31">
        <v>987</v>
      </c>
      <c r="B1975" s="19" t="s">
        <v>17</v>
      </c>
      <c r="C1975" s="19"/>
      <c r="D1975" s="37">
        <v>45900</v>
      </c>
      <c r="E1975" s="31">
        <v>39104</v>
      </c>
      <c r="F1975" s="31" t="s">
        <v>248</v>
      </c>
      <c r="G1975" s="31">
        <v>2348</v>
      </c>
      <c r="H1975" s="31" t="s">
        <v>160</v>
      </c>
      <c r="I1975" s="38">
        <v>1254.52</v>
      </c>
    </row>
    <row r="1976" spans="1:10" x14ac:dyDescent="0.35">
      <c r="A1976" s="31">
        <v>987.5</v>
      </c>
      <c r="B1976" s="19"/>
      <c r="C1976" s="19" t="s">
        <v>22</v>
      </c>
      <c r="D1976" s="37">
        <v>45900</v>
      </c>
      <c r="E1976" s="31">
        <v>39104</v>
      </c>
      <c r="F1976" s="31" t="s">
        <v>248</v>
      </c>
      <c r="G1976" s="31">
        <v>2348</v>
      </c>
      <c r="H1976" s="31" t="s">
        <v>160</v>
      </c>
      <c r="J1976" s="38">
        <v>1254.52</v>
      </c>
    </row>
    <row r="1977" spans="1:10" x14ac:dyDescent="0.35">
      <c r="A1977" s="31">
        <v>988</v>
      </c>
      <c r="B1977" s="19" t="s">
        <v>17</v>
      </c>
      <c r="C1977" s="19"/>
      <c r="D1977" s="37">
        <v>45900</v>
      </c>
      <c r="E1977" s="31">
        <v>39105</v>
      </c>
      <c r="F1977" s="31" t="s">
        <v>1123</v>
      </c>
      <c r="G1977" s="31">
        <v>2330</v>
      </c>
      <c r="H1977" s="31" t="s">
        <v>160</v>
      </c>
      <c r="I1977" s="38">
        <v>1125.1500000000001</v>
      </c>
    </row>
    <row r="1978" spans="1:10" x14ac:dyDescent="0.35">
      <c r="A1978" s="31">
        <v>988.5</v>
      </c>
      <c r="B1978" s="19"/>
      <c r="C1978" s="19" t="s">
        <v>22</v>
      </c>
      <c r="D1978" s="37">
        <v>45900</v>
      </c>
      <c r="E1978" s="31">
        <v>39105</v>
      </c>
      <c r="F1978" s="31" t="s">
        <v>1123</v>
      </c>
      <c r="G1978" s="31">
        <v>2330</v>
      </c>
      <c r="H1978" s="31" t="s">
        <v>160</v>
      </c>
      <c r="J1978" s="38">
        <v>1125.1500000000001</v>
      </c>
    </row>
    <row r="1979" spans="1:10" x14ac:dyDescent="0.35">
      <c r="A1979" s="31">
        <v>989</v>
      </c>
      <c r="B1979" s="19" t="s">
        <v>17</v>
      </c>
      <c r="C1979" s="19"/>
      <c r="D1979" s="37">
        <v>45900</v>
      </c>
      <c r="E1979" s="31">
        <v>39106</v>
      </c>
      <c r="F1979" s="31" t="s">
        <v>1167</v>
      </c>
      <c r="G1979" s="31">
        <v>2616</v>
      </c>
      <c r="H1979" s="31" t="s">
        <v>160</v>
      </c>
      <c r="I1979" s="38">
        <v>93.11</v>
      </c>
    </row>
    <row r="1980" spans="1:10" x14ac:dyDescent="0.35">
      <c r="A1980" s="31">
        <v>989.5</v>
      </c>
      <c r="B1980" s="19"/>
      <c r="C1980" s="19" t="s">
        <v>22</v>
      </c>
      <c r="D1980" s="37">
        <v>45900</v>
      </c>
      <c r="E1980" s="31">
        <v>39106</v>
      </c>
      <c r="F1980" s="31" t="s">
        <v>1167</v>
      </c>
      <c r="G1980" s="31">
        <v>2616</v>
      </c>
      <c r="H1980" s="31" t="s">
        <v>160</v>
      </c>
      <c r="J1980" s="38">
        <v>93.11</v>
      </c>
    </row>
    <row r="1981" spans="1:10" x14ac:dyDescent="0.35">
      <c r="A1981" s="31">
        <v>990</v>
      </c>
      <c r="B1981" s="19" t="s">
        <v>17</v>
      </c>
      <c r="C1981" s="19"/>
      <c r="D1981" s="37">
        <v>45900</v>
      </c>
      <c r="E1981" s="31">
        <v>39107</v>
      </c>
      <c r="F1981" s="31" t="s">
        <v>464</v>
      </c>
      <c r="G1981" s="31">
        <v>3543</v>
      </c>
      <c r="H1981" s="31" t="s">
        <v>160</v>
      </c>
      <c r="I1981" s="38">
        <v>117734.84</v>
      </c>
    </row>
    <row r="1982" spans="1:10" x14ac:dyDescent="0.35">
      <c r="A1982" s="31">
        <v>990.5</v>
      </c>
      <c r="B1982" s="19"/>
      <c r="C1982" s="19" t="s">
        <v>22</v>
      </c>
      <c r="D1982" s="37">
        <v>45900</v>
      </c>
      <c r="E1982" s="31">
        <v>39107</v>
      </c>
      <c r="F1982" s="31" t="s">
        <v>464</v>
      </c>
      <c r="G1982" s="31">
        <v>3543</v>
      </c>
      <c r="H1982" s="31" t="s">
        <v>160</v>
      </c>
      <c r="J1982" s="38">
        <v>117734.84</v>
      </c>
    </row>
    <row r="1983" spans="1:10" x14ac:dyDescent="0.35">
      <c r="A1983" s="31">
        <v>991</v>
      </c>
      <c r="B1983" s="19" t="s">
        <v>17</v>
      </c>
      <c r="C1983" s="19"/>
      <c r="D1983" s="37">
        <v>45900</v>
      </c>
      <c r="E1983" s="31">
        <v>39108</v>
      </c>
      <c r="F1983" s="31" t="s">
        <v>970</v>
      </c>
      <c r="G1983" s="31">
        <v>3398</v>
      </c>
      <c r="H1983" s="31" t="s">
        <v>160</v>
      </c>
      <c r="I1983" s="38">
        <v>29470.66</v>
      </c>
    </row>
    <row r="1984" spans="1:10" x14ac:dyDescent="0.35">
      <c r="A1984" s="31">
        <v>991.5</v>
      </c>
      <c r="B1984" s="19"/>
      <c r="C1984" s="19" t="s">
        <v>22</v>
      </c>
      <c r="D1984" s="37">
        <v>45900</v>
      </c>
      <c r="E1984" s="31">
        <v>39108</v>
      </c>
      <c r="F1984" s="31" t="s">
        <v>970</v>
      </c>
      <c r="G1984" s="31">
        <v>3398</v>
      </c>
      <c r="H1984" s="31" t="s">
        <v>160</v>
      </c>
      <c r="J1984" s="38">
        <v>29470.66</v>
      </c>
    </row>
    <row r="1985" spans="1:10" x14ac:dyDescent="0.35">
      <c r="A1985" s="31">
        <v>992</v>
      </c>
      <c r="B1985" s="19" t="s">
        <v>17</v>
      </c>
      <c r="C1985" s="19"/>
      <c r="D1985" s="37">
        <v>45900</v>
      </c>
      <c r="E1985" s="31">
        <v>39109</v>
      </c>
      <c r="F1985" s="31" t="s">
        <v>171</v>
      </c>
      <c r="G1985" s="31">
        <v>3354</v>
      </c>
      <c r="H1985" s="31" t="s">
        <v>160</v>
      </c>
      <c r="I1985" s="38">
        <v>5470.79</v>
      </c>
    </row>
    <row r="1986" spans="1:10" x14ac:dyDescent="0.35">
      <c r="A1986" s="31">
        <v>992.5</v>
      </c>
      <c r="B1986" s="19"/>
      <c r="C1986" s="19" t="s">
        <v>22</v>
      </c>
      <c r="D1986" s="37">
        <v>45900</v>
      </c>
      <c r="E1986" s="31">
        <v>39109</v>
      </c>
      <c r="F1986" s="31" t="s">
        <v>171</v>
      </c>
      <c r="G1986" s="31">
        <v>3354</v>
      </c>
      <c r="H1986" s="31" t="s">
        <v>160</v>
      </c>
      <c r="J1986" s="38">
        <v>5470.79</v>
      </c>
    </row>
    <row r="1987" spans="1:10" x14ac:dyDescent="0.35">
      <c r="A1987" s="31">
        <v>993</v>
      </c>
      <c r="B1987" s="19" t="s">
        <v>17</v>
      </c>
      <c r="C1987" s="19"/>
      <c r="D1987" s="37">
        <v>45900</v>
      </c>
      <c r="E1987" s="31">
        <v>39110</v>
      </c>
      <c r="F1987" s="31" t="s">
        <v>1168</v>
      </c>
      <c r="G1987" s="31">
        <v>583</v>
      </c>
      <c r="H1987" s="31" t="s">
        <v>160</v>
      </c>
      <c r="I1987" s="38">
        <v>359.32</v>
      </c>
    </row>
    <row r="1988" spans="1:10" x14ac:dyDescent="0.35">
      <c r="A1988" s="31">
        <v>993.5</v>
      </c>
      <c r="B1988" s="19"/>
      <c r="C1988" s="19" t="s">
        <v>22</v>
      </c>
      <c r="D1988" s="37">
        <v>45900</v>
      </c>
      <c r="E1988" s="31">
        <v>39110</v>
      </c>
      <c r="F1988" s="31" t="s">
        <v>1168</v>
      </c>
      <c r="G1988" s="31">
        <v>583</v>
      </c>
      <c r="H1988" s="31" t="s">
        <v>160</v>
      </c>
      <c r="J1988" s="38">
        <v>359.32</v>
      </c>
    </row>
    <row r="1989" spans="1:10" x14ac:dyDescent="0.35">
      <c r="A1989" s="31">
        <v>994</v>
      </c>
      <c r="B1989" s="19" t="s">
        <v>17</v>
      </c>
      <c r="C1989" s="19"/>
      <c r="D1989" s="37">
        <v>45900</v>
      </c>
      <c r="E1989" s="31">
        <v>39111</v>
      </c>
      <c r="F1989" s="31" t="s">
        <v>148</v>
      </c>
      <c r="G1989" s="31">
        <v>3358</v>
      </c>
      <c r="H1989" s="31" t="s">
        <v>160</v>
      </c>
      <c r="I1989" s="38">
        <v>44417.43</v>
      </c>
    </row>
    <row r="1990" spans="1:10" x14ac:dyDescent="0.35">
      <c r="A1990" s="31">
        <v>994.5</v>
      </c>
      <c r="B1990" s="19"/>
      <c r="C1990" s="19" t="s">
        <v>22</v>
      </c>
      <c r="D1990" s="37">
        <v>45900</v>
      </c>
      <c r="E1990" s="31">
        <v>39111</v>
      </c>
      <c r="F1990" s="31" t="s">
        <v>148</v>
      </c>
      <c r="G1990" s="31">
        <v>3358</v>
      </c>
      <c r="H1990" s="31" t="s">
        <v>160</v>
      </c>
      <c r="J1990" s="38">
        <v>44417.43</v>
      </c>
    </row>
    <row r="1991" spans="1:10" x14ac:dyDescent="0.35">
      <c r="A1991" s="31">
        <v>995</v>
      </c>
      <c r="B1991" s="19" t="s">
        <v>17</v>
      </c>
      <c r="C1991" s="19"/>
      <c r="D1991" s="37">
        <v>45900</v>
      </c>
      <c r="E1991" s="31">
        <v>39112</v>
      </c>
      <c r="F1991" s="31" t="s">
        <v>29</v>
      </c>
      <c r="G1991" s="31">
        <v>2328</v>
      </c>
      <c r="H1991" s="31" t="s">
        <v>160</v>
      </c>
      <c r="I1991" s="38">
        <v>8081.07</v>
      </c>
    </row>
    <row r="1992" spans="1:10" x14ac:dyDescent="0.35">
      <c r="A1992" s="31">
        <v>995.5</v>
      </c>
      <c r="B1992" s="19"/>
      <c r="C1992" s="19" t="s">
        <v>22</v>
      </c>
      <c r="D1992" s="37">
        <v>45900</v>
      </c>
      <c r="E1992" s="31">
        <v>39112</v>
      </c>
      <c r="F1992" s="31" t="s">
        <v>29</v>
      </c>
      <c r="G1992" s="31">
        <v>2328</v>
      </c>
      <c r="H1992" s="31" t="s">
        <v>160</v>
      </c>
      <c r="J1992" s="38">
        <v>8081.07</v>
      </c>
    </row>
    <row r="1993" spans="1:10" x14ac:dyDescent="0.35">
      <c r="A1993" s="31">
        <v>996</v>
      </c>
      <c r="B1993" s="19" t="s">
        <v>17</v>
      </c>
      <c r="C1993" s="19"/>
      <c r="D1993" s="37">
        <v>45900</v>
      </c>
      <c r="E1993" s="31">
        <v>39113</v>
      </c>
      <c r="F1993" s="31" t="s">
        <v>225</v>
      </c>
      <c r="G1993" s="31">
        <v>2618</v>
      </c>
      <c r="H1993" s="31" t="s">
        <v>160</v>
      </c>
      <c r="I1993" s="38">
        <v>4721.4400000000005</v>
      </c>
    </row>
    <row r="1994" spans="1:10" x14ac:dyDescent="0.35">
      <c r="A1994" s="31">
        <v>996.5</v>
      </c>
      <c r="B1994" s="19"/>
      <c r="C1994" s="19" t="s">
        <v>22</v>
      </c>
      <c r="D1994" s="37">
        <v>45900</v>
      </c>
      <c r="E1994" s="31">
        <v>39113</v>
      </c>
      <c r="F1994" s="31" t="s">
        <v>225</v>
      </c>
      <c r="G1994" s="31">
        <v>2618</v>
      </c>
      <c r="H1994" s="31" t="s">
        <v>160</v>
      </c>
      <c r="J1994" s="38">
        <v>4721.4400000000005</v>
      </c>
    </row>
    <row r="1995" spans="1:10" x14ac:dyDescent="0.35">
      <c r="A1995" s="31">
        <v>997</v>
      </c>
      <c r="B1995" s="19" t="s">
        <v>17</v>
      </c>
      <c r="C1995" s="19"/>
      <c r="D1995" s="37">
        <v>45900</v>
      </c>
      <c r="E1995" s="31">
        <v>39114</v>
      </c>
      <c r="F1995" s="31" t="s">
        <v>559</v>
      </c>
      <c r="G1995" s="31">
        <v>3360</v>
      </c>
      <c r="H1995" s="31" t="s">
        <v>160</v>
      </c>
      <c r="I1995" s="38">
        <v>22883.119999999999</v>
      </c>
    </row>
    <row r="1996" spans="1:10" x14ac:dyDescent="0.35">
      <c r="A1996" s="31">
        <v>997.5</v>
      </c>
      <c r="B1996" s="19"/>
      <c r="C1996" s="19" t="s">
        <v>22</v>
      </c>
      <c r="D1996" s="37">
        <v>45900</v>
      </c>
      <c r="E1996" s="31">
        <v>39114</v>
      </c>
      <c r="F1996" s="31" t="s">
        <v>559</v>
      </c>
      <c r="G1996" s="31">
        <v>3360</v>
      </c>
      <c r="H1996" s="31" t="s">
        <v>160</v>
      </c>
      <c r="J1996" s="38">
        <v>22883.119999999999</v>
      </c>
    </row>
    <row r="1997" spans="1:10" x14ac:dyDescent="0.35">
      <c r="A1997" s="31">
        <v>998</v>
      </c>
      <c r="B1997" s="19" t="s">
        <v>17</v>
      </c>
      <c r="C1997" s="19"/>
      <c r="D1997" s="37">
        <v>45900</v>
      </c>
      <c r="E1997" s="31">
        <v>39115</v>
      </c>
      <c r="F1997" s="31" t="s">
        <v>261</v>
      </c>
      <c r="G1997" s="31">
        <v>3362</v>
      </c>
      <c r="H1997" s="31" t="s">
        <v>160</v>
      </c>
      <c r="I1997" s="38">
        <v>29074.390000000003</v>
      </c>
    </row>
    <row r="1998" spans="1:10" x14ac:dyDescent="0.35">
      <c r="A1998" s="31">
        <v>998.5</v>
      </c>
      <c r="B1998" s="19"/>
      <c r="C1998" s="19" t="s">
        <v>22</v>
      </c>
      <c r="D1998" s="37">
        <v>45900</v>
      </c>
      <c r="E1998" s="31">
        <v>39115</v>
      </c>
      <c r="F1998" s="31" t="s">
        <v>261</v>
      </c>
      <c r="G1998" s="31">
        <v>3362</v>
      </c>
      <c r="H1998" s="31" t="s">
        <v>160</v>
      </c>
      <c r="J1998" s="38">
        <v>29074.390000000003</v>
      </c>
    </row>
    <row r="1999" spans="1:10" x14ac:dyDescent="0.35">
      <c r="A1999" s="31">
        <v>999</v>
      </c>
      <c r="B1999" s="19" t="s">
        <v>17</v>
      </c>
      <c r="C1999" s="19"/>
      <c r="D1999" s="37">
        <v>45900</v>
      </c>
      <c r="E1999" s="31">
        <v>39116</v>
      </c>
      <c r="F1999" s="31" t="s">
        <v>47</v>
      </c>
      <c r="G1999" s="31">
        <v>2619</v>
      </c>
      <c r="H1999" s="31" t="s">
        <v>160</v>
      </c>
      <c r="I1999" s="38">
        <v>235.88</v>
      </c>
    </row>
    <row r="2000" spans="1:10" x14ac:dyDescent="0.35">
      <c r="A2000" s="31">
        <v>999.5</v>
      </c>
      <c r="B2000" s="19"/>
      <c r="C2000" s="19" t="s">
        <v>22</v>
      </c>
      <c r="D2000" s="37">
        <v>45900</v>
      </c>
      <c r="E2000" s="31">
        <v>39116</v>
      </c>
      <c r="F2000" s="31" t="s">
        <v>47</v>
      </c>
      <c r="G2000" s="31">
        <v>2619</v>
      </c>
      <c r="H2000" s="31" t="s">
        <v>160</v>
      </c>
      <c r="J2000" s="38">
        <v>235.88</v>
      </c>
    </row>
    <row r="2001" spans="1:10" x14ac:dyDescent="0.35">
      <c r="A2001" s="31">
        <v>1000</v>
      </c>
      <c r="B2001" s="19" t="s">
        <v>17</v>
      </c>
      <c r="C2001" s="19"/>
      <c r="D2001" s="37">
        <v>45900</v>
      </c>
      <c r="E2001" s="31">
        <v>39117</v>
      </c>
      <c r="F2001" s="31" t="s">
        <v>284</v>
      </c>
      <c r="G2001" s="31">
        <v>3368</v>
      </c>
      <c r="H2001" s="31" t="s">
        <v>160</v>
      </c>
      <c r="I2001" s="38">
        <v>11048.619999999999</v>
      </c>
    </row>
    <row r="2002" spans="1:10" x14ac:dyDescent="0.35">
      <c r="A2002" s="31">
        <v>1000.5</v>
      </c>
      <c r="B2002" s="19"/>
      <c r="C2002" s="19" t="s">
        <v>22</v>
      </c>
      <c r="D2002" s="37">
        <v>45900</v>
      </c>
      <c r="E2002" s="31">
        <v>39117</v>
      </c>
      <c r="F2002" s="31" t="s">
        <v>284</v>
      </c>
      <c r="G2002" s="31">
        <v>3368</v>
      </c>
      <c r="H2002" s="31" t="s">
        <v>160</v>
      </c>
      <c r="J2002" s="38">
        <v>11048.619999999999</v>
      </c>
    </row>
    <row r="2003" spans="1:10" x14ac:dyDescent="0.35">
      <c r="A2003" s="31">
        <v>1001</v>
      </c>
      <c r="B2003" s="19" t="s">
        <v>17</v>
      </c>
      <c r="C2003" s="19"/>
      <c r="D2003" s="37">
        <v>45900</v>
      </c>
      <c r="E2003" s="31">
        <v>39118</v>
      </c>
      <c r="F2003" s="31" t="s">
        <v>107</v>
      </c>
      <c r="G2003" s="31">
        <v>2466</v>
      </c>
      <c r="H2003" s="31" t="s">
        <v>160</v>
      </c>
      <c r="I2003" s="38">
        <v>8730.48</v>
      </c>
    </row>
    <row r="2004" spans="1:10" x14ac:dyDescent="0.35">
      <c r="A2004" s="31">
        <v>1001.5</v>
      </c>
      <c r="B2004" s="19"/>
      <c r="C2004" s="19" t="s">
        <v>22</v>
      </c>
      <c r="D2004" s="37">
        <v>45900</v>
      </c>
      <c r="E2004" s="31">
        <v>39118</v>
      </c>
      <c r="F2004" s="31" t="s">
        <v>107</v>
      </c>
      <c r="G2004" s="31">
        <v>2466</v>
      </c>
      <c r="H2004" s="31" t="s">
        <v>160</v>
      </c>
      <c r="J2004" s="38">
        <v>8730.48</v>
      </c>
    </row>
    <row r="2005" spans="1:10" x14ac:dyDescent="0.35">
      <c r="A2005" s="31">
        <v>1002</v>
      </c>
      <c r="B2005" s="19" t="s">
        <v>17</v>
      </c>
      <c r="C2005" s="19"/>
      <c r="D2005" s="37">
        <v>45900</v>
      </c>
      <c r="E2005" s="31">
        <v>39119</v>
      </c>
      <c r="F2005" s="31" t="s">
        <v>727</v>
      </c>
      <c r="G2005" s="31">
        <v>2606</v>
      </c>
      <c r="H2005" s="31" t="s">
        <v>160</v>
      </c>
      <c r="I2005" s="38">
        <v>768.7</v>
      </c>
    </row>
    <row r="2006" spans="1:10" x14ac:dyDescent="0.35">
      <c r="A2006" s="31">
        <v>1002.5</v>
      </c>
      <c r="B2006" s="19"/>
      <c r="C2006" s="19" t="s">
        <v>22</v>
      </c>
      <c r="D2006" s="37">
        <v>45900</v>
      </c>
      <c r="E2006" s="31">
        <v>39119</v>
      </c>
      <c r="F2006" s="31" t="s">
        <v>727</v>
      </c>
      <c r="G2006" s="31">
        <v>2606</v>
      </c>
      <c r="H2006" s="31" t="s">
        <v>160</v>
      </c>
      <c r="J2006" s="38">
        <v>768.7</v>
      </c>
    </row>
    <row r="2007" spans="1:10" x14ac:dyDescent="0.35">
      <c r="A2007" s="31">
        <v>1003</v>
      </c>
      <c r="B2007" s="19" t="s">
        <v>17</v>
      </c>
      <c r="C2007" s="19"/>
      <c r="D2007" s="37">
        <v>45900</v>
      </c>
      <c r="E2007" s="31">
        <v>39120</v>
      </c>
      <c r="F2007" s="31" t="s">
        <v>1169</v>
      </c>
      <c r="G2007" s="31">
        <v>3570</v>
      </c>
      <c r="H2007" s="31" t="s">
        <v>160</v>
      </c>
      <c r="I2007" s="38">
        <v>181.41</v>
      </c>
    </row>
    <row r="2008" spans="1:10" x14ac:dyDescent="0.35">
      <c r="A2008" s="31">
        <v>1003.5</v>
      </c>
      <c r="B2008" s="19"/>
      <c r="C2008" s="19" t="s">
        <v>22</v>
      </c>
      <c r="D2008" s="37">
        <v>45900</v>
      </c>
      <c r="E2008" s="31">
        <v>39120</v>
      </c>
      <c r="F2008" s="31" t="s">
        <v>1169</v>
      </c>
      <c r="G2008" s="31">
        <v>3570</v>
      </c>
      <c r="H2008" s="31" t="s">
        <v>160</v>
      </c>
      <c r="J2008" s="38">
        <v>181.41</v>
      </c>
    </row>
    <row r="2009" spans="1:10" x14ac:dyDescent="0.35">
      <c r="A2009" s="31">
        <v>1004</v>
      </c>
      <c r="B2009" s="19" t="s">
        <v>17</v>
      </c>
      <c r="C2009" s="19"/>
      <c r="D2009" s="37">
        <v>45900</v>
      </c>
      <c r="E2009" s="31">
        <v>39121</v>
      </c>
      <c r="F2009" s="31" t="s">
        <v>408</v>
      </c>
      <c r="G2009" s="31">
        <v>3539</v>
      </c>
      <c r="H2009" s="31" t="s">
        <v>160</v>
      </c>
      <c r="I2009" s="38">
        <v>330.77</v>
      </c>
    </row>
    <row r="2010" spans="1:10" x14ac:dyDescent="0.35">
      <c r="A2010" s="31">
        <v>1004.5</v>
      </c>
      <c r="B2010" s="19"/>
      <c r="C2010" s="19" t="s">
        <v>22</v>
      </c>
      <c r="D2010" s="37">
        <v>45900</v>
      </c>
      <c r="E2010" s="31">
        <v>39121</v>
      </c>
      <c r="F2010" s="31" t="s">
        <v>408</v>
      </c>
      <c r="G2010" s="31">
        <v>3539</v>
      </c>
      <c r="H2010" s="31" t="s">
        <v>160</v>
      </c>
      <c r="J2010" s="38">
        <v>330.77</v>
      </c>
    </row>
    <row r="2011" spans="1:10" x14ac:dyDescent="0.35">
      <c r="A2011" s="31">
        <v>1005</v>
      </c>
      <c r="B2011" s="19" t="s">
        <v>17</v>
      </c>
      <c r="C2011" s="19"/>
      <c r="D2011" s="37">
        <v>45900</v>
      </c>
      <c r="E2011" s="31">
        <v>39122</v>
      </c>
      <c r="F2011" s="31" t="s">
        <v>1027</v>
      </c>
      <c r="G2011" s="31">
        <v>3397</v>
      </c>
      <c r="H2011" s="31" t="s">
        <v>160</v>
      </c>
      <c r="I2011" s="38">
        <v>4462.1899999999996</v>
      </c>
    </row>
    <row r="2012" spans="1:10" x14ac:dyDescent="0.35">
      <c r="A2012" s="31">
        <v>1005.5</v>
      </c>
      <c r="B2012" s="19"/>
      <c r="C2012" s="19" t="s">
        <v>22</v>
      </c>
      <c r="D2012" s="37">
        <v>45900</v>
      </c>
      <c r="E2012" s="31">
        <v>39122</v>
      </c>
      <c r="F2012" s="31" t="s">
        <v>1027</v>
      </c>
      <c r="G2012" s="31">
        <v>3397</v>
      </c>
      <c r="H2012" s="31" t="s">
        <v>160</v>
      </c>
      <c r="J2012" s="38">
        <v>4462.1899999999996</v>
      </c>
    </row>
    <row r="2013" spans="1:10" x14ac:dyDescent="0.35">
      <c r="A2013" s="31">
        <v>1006</v>
      </c>
      <c r="B2013" s="19" t="s">
        <v>17</v>
      </c>
      <c r="C2013" s="19"/>
      <c r="D2013" s="37">
        <v>45900</v>
      </c>
      <c r="E2013" s="31">
        <v>39124</v>
      </c>
      <c r="F2013" s="31" t="s">
        <v>767</v>
      </c>
      <c r="G2013" s="31">
        <v>3388</v>
      </c>
      <c r="H2013" s="31" t="s">
        <v>160</v>
      </c>
      <c r="I2013" s="38">
        <v>10792.45</v>
      </c>
    </row>
    <row r="2014" spans="1:10" x14ac:dyDescent="0.35">
      <c r="A2014" s="31">
        <v>1006.5</v>
      </c>
      <c r="B2014" s="19"/>
      <c r="C2014" s="19" t="s">
        <v>22</v>
      </c>
      <c r="D2014" s="37">
        <v>45900</v>
      </c>
      <c r="E2014" s="31">
        <v>39124</v>
      </c>
      <c r="F2014" s="31" t="s">
        <v>767</v>
      </c>
      <c r="G2014" s="31">
        <v>3388</v>
      </c>
      <c r="H2014" s="31" t="s">
        <v>160</v>
      </c>
      <c r="J2014" s="38">
        <v>10792.45</v>
      </c>
    </row>
    <row r="2015" spans="1:10" x14ac:dyDescent="0.35">
      <c r="A2015" s="31">
        <v>1007</v>
      </c>
      <c r="B2015" s="19" t="s">
        <v>17</v>
      </c>
      <c r="C2015" s="1"/>
      <c r="D2015" s="37">
        <v>45877</v>
      </c>
      <c r="E2015" s="39" t="s">
        <v>174</v>
      </c>
      <c r="F2015" s="31" t="s">
        <v>173</v>
      </c>
      <c r="G2015" s="31">
        <v>2275</v>
      </c>
      <c r="H2015" s="31" t="s">
        <v>1170</v>
      </c>
      <c r="I2015" s="38">
        <v>120</v>
      </c>
    </row>
    <row r="2016" spans="1:10" x14ac:dyDescent="0.35">
      <c r="A2016" s="31">
        <v>1007.5</v>
      </c>
      <c r="B2016" s="19"/>
      <c r="C2016" s="1" t="s">
        <v>150</v>
      </c>
      <c r="D2016" s="37">
        <v>45877</v>
      </c>
      <c r="E2016" s="39" t="s">
        <v>174</v>
      </c>
      <c r="F2016" s="31" t="s">
        <v>173</v>
      </c>
      <c r="G2016" s="31">
        <v>2275</v>
      </c>
      <c r="H2016" s="31" t="s">
        <v>1170</v>
      </c>
      <c r="J2016" s="38">
        <v>120</v>
      </c>
    </row>
    <row r="2017" spans="1:10" x14ac:dyDescent="0.35">
      <c r="A2017" s="31">
        <v>1008</v>
      </c>
      <c r="B2017" s="19" t="s">
        <v>17</v>
      </c>
      <c r="C2017" s="1"/>
      <c r="D2017" s="37">
        <v>45881</v>
      </c>
      <c r="E2017" s="31" t="s">
        <v>188</v>
      </c>
      <c r="F2017" s="31" t="s">
        <v>75</v>
      </c>
      <c r="G2017" s="31">
        <v>3320</v>
      </c>
      <c r="H2017" s="31" t="s">
        <v>1170</v>
      </c>
      <c r="I2017" s="38">
        <v>1955</v>
      </c>
    </row>
    <row r="2018" spans="1:10" x14ac:dyDescent="0.35">
      <c r="A2018" s="31">
        <v>1008.5</v>
      </c>
      <c r="B2018" s="19"/>
      <c r="C2018" s="1" t="s">
        <v>150</v>
      </c>
      <c r="D2018" s="37">
        <v>45881</v>
      </c>
      <c r="E2018" s="31" t="s">
        <v>188</v>
      </c>
      <c r="F2018" s="31" t="s">
        <v>75</v>
      </c>
      <c r="G2018" s="31">
        <v>3320</v>
      </c>
      <c r="H2018" s="31" t="s">
        <v>1170</v>
      </c>
      <c r="J2018" s="38">
        <v>1955</v>
      </c>
    </row>
    <row r="2019" spans="1:10" x14ac:dyDescent="0.35">
      <c r="A2019" s="31">
        <v>1009</v>
      </c>
      <c r="B2019" s="19" t="s">
        <v>17</v>
      </c>
      <c r="C2019" s="1"/>
      <c r="D2019" s="37">
        <v>45895</v>
      </c>
      <c r="E2019" s="31" t="s">
        <v>1171</v>
      </c>
      <c r="F2019" s="31" t="s">
        <v>33</v>
      </c>
      <c r="G2019" s="31">
        <v>2678</v>
      </c>
      <c r="H2019" s="31" t="s">
        <v>1170</v>
      </c>
      <c r="I2019" s="38">
        <v>-18900</v>
      </c>
    </row>
    <row r="2020" spans="1:10" x14ac:dyDescent="0.35">
      <c r="A2020" s="31">
        <v>1009.5</v>
      </c>
      <c r="B2020" s="19"/>
      <c r="C2020" s="1" t="s">
        <v>150</v>
      </c>
      <c r="D2020" s="37">
        <v>45895</v>
      </c>
      <c r="E2020" s="31" t="s">
        <v>1171</v>
      </c>
      <c r="F2020" s="31" t="s">
        <v>33</v>
      </c>
      <c r="G2020" s="31">
        <v>2678</v>
      </c>
      <c r="H2020" s="31" t="s">
        <v>1170</v>
      </c>
      <c r="J2020" s="38">
        <v>-18900</v>
      </c>
    </row>
    <row r="2021" spans="1:10" x14ac:dyDescent="0.35">
      <c r="A2021" s="31">
        <v>1010</v>
      </c>
      <c r="B2021" s="19" t="s">
        <v>17</v>
      </c>
      <c r="C2021" s="1"/>
      <c r="D2021" s="37">
        <v>45898</v>
      </c>
      <c r="E2021" s="31">
        <v>38881</v>
      </c>
      <c r="F2021" s="31" t="s">
        <v>239</v>
      </c>
      <c r="G2021" s="31">
        <v>2485</v>
      </c>
      <c r="H2021" s="31" t="s">
        <v>1170</v>
      </c>
      <c r="I2021" s="38">
        <v>16.97</v>
      </c>
    </row>
    <row r="2022" spans="1:10" x14ac:dyDescent="0.35">
      <c r="A2022" s="31">
        <v>1010.5</v>
      </c>
      <c r="B2022" s="19"/>
      <c r="C2022" s="1" t="s">
        <v>150</v>
      </c>
      <c r="D2022" s="37">
        <v>45898</v>
      </c>
      <c r="E2022" s="31">
        <v>38881</v>
      </c>
      <c r="F2022" s="31" t="s">
        <v>239</v>
      </c>
      <c r="G2022" s="31">
        <v>2485</v>
      </c>
      <c r="H2022" s="31" t="s">
        <v>1170</v>
      </c>
      <c r="J2022" s="38">
        <v>16.97</v>
      </c>
    </row>
    <row r="2023" spans="1:10" x14ac:dyDescent="0.35">
      <c r="A2023" s="31">
        <v>1011</v>
      </c>
      <c r="B2023" s="19" t="s">
        <v>17</v>
      </c>
      <c r="C2023" s="1"/>
      <c r="D2023" s="37">
        <v>45899</v>
      </c>
      <c r="E2023" s="31">
        <v>32888</v>
      </c>
      <c r="F2023" s="31" t="s">
        <v>266</v>
      </c>
      <c r="G2023" s="31">
        <v>3530</v>
      </c>
      <c r="H2023" s="31" t="s">
        <v>1170</v>
      </c>
      <c r="I2023" s="38">
        <v>0</v>
      </c>
    </row>
    <row r="2024" spans="1:10" x14ac:dyDescent="0.35">
      <c r="A2024" s="31">
        <v>1011.5</v>
      </c>
      <c r="B2024" s="19"/>
      <c r="C2024" s="1" t="s">
        <v>150</v>
      </c>
      <c r="D2024" s="37">
        <v>45899</v>
      </c>
      <c r="E2024" s="31">
        <v>32888</v>
      </c>
      <c r="F2024" s="31" t="s">
        <v>266</v>
      </c>
      <c r="G2024" s="31">
        <v>3530</v>
      </c>
      <c r="H2024" s="31" t="s">
        <v>1170</v>
      </c>
      <c r="J2024" s="38">
        <v>0</v>
      </c>
    </row>
    <row r="2025" spans="1:10" x14ac:dyDescent="0.35">
      <c r="A2025" s="31">
        <v>1012</v>
      </c>
      <c r="B2025" s="19" t="s">
        <v>17</v>
      </c>
      <c r="C2025" s="1"/>
      <c r="D2025" s="37">
        <v>45899</v>
      </c>
      <c r="E2025" s="31" t="s">
        <v>294</v>
      </c>
      <c r="F2025" s="31" t="s">
        <v>26</v>
      </c>
      <c r="G2025" s="31">
        <v>3370</v>
      </c>
      <c r="H2025" s="31" t="s">
        <v>1170</v>
      </c>
      <c r="I2025" s="38">
        <v>0</v>
      </c>
    </row>
    <row r="2026" spans="1:10" x14ac:dyDescent="0.35">
      <c r="A2026" s="31">
        <v>1012.5</v>
      </c>
      <c r="B2026" s="19"/>
      <c r="C2026" s="1" t="s">
        <v>150</v>
      </c>
      <c r="D2026" s="37">
        <v>45899</v>
      </c>
      <c r="E2026" s="31" t="s">
        <v>294</v>
      </c>
      <c r="F2026" s="31" t="s">
        <v>26</v>
      </c>
      <c r="G2026" s="31">
        <v>3370</v>
      </c>
      <c r="H2026" s="31" t="s">
        <v>1170</v>
      </c>
      <c r="J2026" s="38">
        <v>0</v>
      </c>
    </row>
    <row r="2027" spans="1:10" x14ac:dyDescent="0.35">
      <c r="A2027" s="31">
        <v>1013</v>
      </c>
      <c r="B2027" s="19" t="s">
        <v>17</v>
      </c>
      <c r="C2027" s="1"/>
      <c r="D2027" s="37">
        <v>45899</v>
      </c>
      <c r="E2027" s="31" t="s">
        <v>427</v>
      </c>
      <c r="F2027" s="31" t="s">
        <v>349</v>
      </c>
      <c r="G2027" s="31">
        <v>576</v>
      </c>
      <c r="H2027" s="31" t="s">
        <v>1170</v>
      </c>
      <c r="I2027" s="38">
        <v>484.5</v>
      </c>
    </row>
    <row r="2028" spans="1:10" x14ac:dyDescent="0.35">
      <c r="A2028" s="31">
        <v>1013.5</v>
      </c>
      <c r="B2028" s="19"/>
      <c r="C2028" s="1" t="s">
        <v>150</v>
      </c>
      <c r="D2028" s="37">
        <v>45899</v>
      </c>
      <c r="E2028" s="31" t="s">
        <v>427</v>
      </c>
      <c r="F2028" s="31" t="s">
        <v>349</v>
      </c>
      <c r="G2028" s="31">
        <v>576</v>
      </c>
      <c r="H2028" s="31" t="s">
        <v>1170</v>
      </c>
      <c r="J2028" s="38">
        <v>484.5</v>
      </c>
    </row>
    <row r="2029" spans="1:10" x14ac:dyDescent="0.35">
      <c r="A2029" s="31">
        <v>1014</v>
      </c>
      <c r="B2029" s="19" t="s">
        <v>17</v>
      </c>
      <c r="C2029" s="1"/>
      <c r="D2029" s="37">
        <v>45899</v>
      </c>
      <c r="E2029" s="31" t="s">
        <v>483</v>
      </c>
      <c r="F2029" s="31" t="s">
        <v>337</v>
      </c>
      <c r="G2029" s="31">
        <v>3389</v>
      </c>
      <c r="H2029" s="31" t="s">
        <v>1170</v>
      </c>
      <c r="I2029" s="38">
        <v>22888.74</v>
      </c>
    </row>
    <row r="2030" spans="1:10" x14ac:dyDescent="0.35">
      <c r="A2030" s="31">
        <v>1014.5</v>
      </c>
      <c r="B2030" s="19"/>
      <c r="C2030" s="1" t="s">
        <v>150</v>
      </c>
      <c r="D2030" s="37">
        <v>45899</v>
      </c>
      <c r="E2030" s="31" t="s">
        <v>483</v>
      </c>
      <c r="F2030" s="31" t="s">
        <v>337</v>
      </c>
      <c r="G2030" s="31">
        <v>3389</v>
      </c>
      <c r="H2030" s="31" t="s">
        <v>1170</v>
      </c>
      <c r="J2030" s="38">
        <v>22888.74</v>
      </c>
    </row>
    <row r="2031" spans="1:10" x14ac:dyDescent="0.35">
      <c r="A2031" s="31">
        <v>1015</v>
      </c>
      <c r="B2031" s="19" t="s">
        <v>17</v>
      </c>
      <c r="C2031" s="1"/>
      <c r="D2031" s="37">
        <v>45899</v>
      </c>
      <c r="E2031" s="31" t="s">
        <v>490</v>
      </c>
      <c r="F2031" s="31" t="s">
        <v>55</v>
      </c>
      <c r="G2031" s="31">
        <v>3335</v>
      </c>
      <c r="H2031" s="31" t="s">
        <v>1170</v>
      </c>
      <c r="I2031" s="38">
        <v>9987.5</v>
      </c>
    </row>
    <row r="2032" spans="1:10" x14ac:dyDescent="0.35">
      <c r="A2032" s="31">
        <v>1015.5</v>
      </c>
      <c r="B2032" s="19"/>
      <c r="C2032" s="1" t="s">
        <v>150</v>
      </c>
      <c r="D2032" s="37">
        <v>45899</v>
      </c>
      <c r="E2032" s="31" t="s">
        <v>490</v>
      </c>
      <c r="F2032" s="31" t="s">
        <v>55</v>
      </c>
      <c r="G2032" s="31">
        <v>3335</v>
      </c>
      <c r="H2032" s="31" t="s">
        <v>1170</v>
      </c>
      <c r="J2032" s="38">
        <v>9987.5</v>
      </c>
    </row>
    <row r="2033" spans="1:10" x14ac:dyDescent="0.35">
      <c r="A2033" s="31">
        <v>1016</v>
      </c>
      <c r="B2033" s="19" t="s">
        <v>17</v>
      </c>
      <c r="C2033" s="1"/>
      <c r="D2033" s="37">
        <v>45899</v>
      </c>
      <c r="E2033" s="31" t="s">
        <v>500</v>
      </c>
      <c r="F2033" s="31" t="s">
        <v>55</v>
      </c>
      <c r="G2033" s="31">
        <v>3335</v>
      </c>
      <c r="H2033" s="31" t="s">
        <v>1170</v>
      </c>
      <c r="I2033" s="38">
        <v>56736.619999999995</v>
      </c>
    </row>
    <row r="2034" spans="1:10" x14ac:dyDescent="0.35">
      <c r="A2034" s="31">
        <v>1016.5</v>
      </c>
      <c r="B2034" s="19"/>
      <c r="C2034" s="1" t="s">
        <v>150</v>
      </c>
      <c r="D2034" s="37">
        <v>45899</v>
      </c>
      <c r="E2034" s="31" t="s">
        <v>500</v>
      </c>
      <c r="F2034" s="31" t="s">
        <v>55</v>
      </c>
      <c r="G2034" s="31">
        <v>3335</v>
      </c>
      <c r="H2034" s="31" t="s">
        <v>1170</v>
      </c>
      <c r="J2034" s="38">
        <v>56736.619999999995</v>
      </c>
    </row>
    <row r="2035" spans="1:10" x14ac:dyDescent="0.35">
      <c r="A2035" s="31">
        <v>1017</v>
      </c>
      <c r="B2035" s="19" t="s">
        <v>17</v>
      </c>
      <c r="C2035" s="1"/>
      <c r="D2035" s="37">
        <v>45899</v>
      </c>
      <c r="E2035" s="31">
        <v>36512</v>
      </c>
      <c r="F2035" s="31" t="s">
        <v>586</v>
      </c>
      <c r="G2035" s="31">
        <v>2702</v>
      </c>
      <c r="H2035" s="31" t="s">
        <v>1170</v>
      </c>
      <c r="I2035" s="38">
        <v>355</v>
      </c>
    </row>
    <row r="2036" spans="1:10" x14ac:dyDescent="0.35">
      <c r="A2036" s="31">
        <v>1017.5</v>
      </c>
      <c r="B2036" s="19"/>
      <c r="C2036" s="1" t="s">
        <v>150</v>
      </c>
      <c r="D2036" s="37">
        <v>45899</v>
      </c>
      <c r="E2036" s="31">
        <v>36512</v>
      </c>
      <c r="F2036" s="31" t="s">
        <v>586</v>
      </c>
      <c r="G2036" s="31">
        <v>2702</v>
      </c>
      <c r="H2036" s="31" t="s">
        <v>1170</v>
      </c>
      <c r="J2036" s="38">
        <v>355</v>
      </c>
    </row>
    <row r="2037" spans="1:10" x14ac:dyDescent="0.35">
      <c r="A2037" s="31">
        <v>1018</v>
      </c>
      <c r="B2037" s="19" t="s">
        <v>17</v>
      </c>
      <c r="C2037" s="1"/>
      <c r="D2037" s="37">
        <v>45899</v>
      </c>
      <c r="E2037" s="31" t="s">
        <v>778</v>
      </c>
      <c r="F2037" s="31" t="s">
        <v>779</v>
      </c>
      <c r="G2037" s="31">
        <v>3552</v>
      </c>
      <c r="H2037" s="31" t="s">
        <v>1170</v>
      </c>
      <c r="I2037" s="38">
        <v>0</v>
      </c>
    </row>
    <row r="2038" spans="1:10" x14ac:dyDescent="0.35">
      <c r="A2038" s="31">
        <v>1018.5</v>
      </c>
      <c r="B2038" s="19"/>
      <c r="C2038" s="1" t="s">
        <v>150</v>
      </c>
      <c r="D2038" s="37">
        <v>45899</v>
      </c>
      <c r="E2038" s="31" t="s">
        <v>778</v>
      </c>
      <c r="F2038" s="31" t="s">
        <v>779</v>
      </c>
      <c r="G2038" s="31">
        <v>3552</v>
      </c>
      <c r="H2038" s="31" t="s">
        <v>1170</v>
      </c>
      <c r="J2038" s="38">
        <v>0</v>
      </c>
    </row>
    <row r="2039" spans="1:10" x14ac:dyDescent="0.35">
      <c r="A2039" s="31">
        <v>1019</v>
      </c>
      <c r="B2039" s="19" t="s">
        <v>17</v>
      </c>
      <c r="C2039" s="1"/>
      <c r="D2039" s="37">
        <v>45899</v>
      </c>
      <c r="E2039" s="31">
        <v>38051</v>
      </c>
      <c r="F2039" s="31" t="s">
        <v>682</v>
      </c>
      <c r="G2039" s="31">
        <v>3273</v>
      </c>
      <c r="H2039" s="31" t="s">
        <v>1170</v>
      </c>
      <c r="I2039" s="38">
        <v>680</v>
      </c>
    </row>
    <row r="2040" spans="1:10" x14ac:dyDescent="0.35">
      <c r="A2040" s="31">
        <v>1019.5</v>
      </c>
      <c r="B2040" s="19"/>
      <c r="C2040" s="1" t="s">
        <v>150</v>
      </c>
      <c r="D2040" s="37">
        <v>45899</v>
      </c>
      <c r="E2040" s="31">
        <v>38051</v>
      </c>
      <c r="F2040" s="31" t="s">
        <v>682</v>
      </c>
      <c r="G2040" s="31">
        <v>3273</v>
      </c>
      <c r="H2040" s="31" t="s">
        <v>1170</v>
      </c>
      <c r="J2040" s="38">
        <v>680</v>
      </c>
    </row>
    <row r="2041" spans="1:10" x14ac:dyDescent="0.35">
      <c r="A2041" s="31">
        <v>1020</v>
      </c>
      <c r="B2041" s="19" t="s">
        <v>17</v>
      </c>
      <c r="C2041" s="1"/>
      <c r="D2041" s="37">
        <v>45899</v>
      </c>
      <c r="E2041" s="31">
        <v>38230</v>
      </c>
      <c r="F2041" s="31" t="s">
        <v>831</v>
      </c>
      <c r="G2041" s="31">
        <v>2631</v>
      </c>
      <c r="H2041" s="31" t="s">
        <v>1170</v>
      </c>
      <c r="I2041" s="38">
        <v>85</v>
      </c>
    </row>
    <row r="2042" spans="1:10" x14ac:dyDescent="0.35">
      <c r="A2042" s="31">
        <v>1020.5</v>
      </c>
      <c r="B2042" s="19"/>
      <c r="C2042" s="1" t="s">
        <v>150</v>
      </c>
      <c r="D2042" s="37">
        <v>45899</v>
      </c>
      <c r="E2042" s="31">
        <v>38230</v>
      </c>
      <c r="F2042" s="31" t="s">
        <v>831</v>
      </c>
      <c r="G2042" s="31">
        <v>2631</v>
      </c>
      <c r="H2042" s="31" t="s">
        <v>1170</v>
      </c>
      <c r="J2042" s="38">
        <v>85</v>
      </c>
    </row>
    <row r="2043" spans="1:10" x14ac:dyDescent="0.35">
      <c r="A2043" s="31">
        <v>1021</v>
      </c>
      <c r="B2043" s="19" t="s">
        <v>17</v>
      </c>
      <c r="C2043" s="1"/>
      <c r="D2043" s="37">
        <v>45899</v>
      </c>
      <c r="E2043" s="31">
        <v>38254</v>
      </c>
      <c r="F2043" s="31" t="s">
        <v>177</v>
      </c>
      <c r="G2043" s="31">
        <v>3526</v>
      </c>
      <c r="H2043" s="31" t="s">
        <v>1170</v>
      </c>
      <c r="I2043" s="38">
        <v>9650</v>
      </c>
    </row>
    <row r="2044" spans="1:10" x14ac:dyDescent="0.35">
      <c r="A2044" s="31">
        <v>1021.5</v>
      </c>
      <c r="B2044" s="19"/>
      <c r="C2044" s="1" t="s">
        <v>150</v>
      </c>
      <c r="D2044" s="37">
        <v>45899</v>
      </c>
      <c r="E2044" s="31">
        <v>38254</v>
      </c>
      <c r="F2044" s="31" t="s">
        <v>177</v>
      </c>
      <c r="G2044" s="31">
        <v>3526</v>
      </c>
      <c r="H2044" s="31" t="s">
        <v>1170</v>
      </c>
      <c r="J2044" s="38">
        <v>9650</v>
      </c>
    </row>
    <row r="2045" spans="1:10" x14ac:dyDescent="0.35">
      <c r="A2045" s="31">
        <v>1022</v>
      </c>
      <c r="B2045" s="19" t="s">
        <v>17</v>
      </c>
      <c r="C2045" s="1"/>
      <c r="D2045" s="37">
        <v>45899</v>
      </c>
      <c r="E2045" s="31" t="s">
        <v>840</v>
      </c>
      <c r="F2045" s="31" t="s">
        <v>177</v>
      </c>
      <c r="G2045" s="31">
        <v>3526</v>
      </c>
      <c r="H2045" s="31" t="s">
        <v>1170</v>
      </c>
      <c r="I2045" s="38">
        <v>7155.75</v>
      </c>
    </row>
    <row r="2046" spans="1:10" x14ac:dyDescent="0.35">
      <c r="A2046" s="31">
        <v>1022.5</v>
      </c>
      <c r="B2046" s="19"/>
      <c r="C2046" s="1" t="s">
        <v>150</v>
      </c>
      <c r="D2046" s="37">
        <v>45899</v>
      </c>
      <c r="E2046" s="31" t="s">
        <v>840</v>
      </c>
      <c r="F2046" s="31" t="s">
        <v>177</v>
      </c>
      <c r="G2046" s="31">
        <v>3526</v>
      </c>
      <c r="H2046" s="31" t="s">
        <v>1170</v>
      </c>
      <c r="J2046" s="38">
        <v>7155.75</v>
      </c>
    </row>
    <row r="2047" spans="1:10" x14ac:dyDescent="0.35">
      <c r="A2047" s="31">
        <v>1023</v>
      </c>
      <c r="B2047" s="19" t="s">
        <v>17</v>
      </c>
      <c r="C2047" s="1"/>
      <c r="D2047" s="37">
        <v>45899</v>
      </c>
      <c r="E2047" s="31" t="s">
        <v>841</v>
      </c>
      <c r="F2047" s="31" t="s">
        <v>177</v>
      </c>
      <c r="G2047" s="31">
        <v>3526</v>
      </c>
      <c r="H2047" s="31" t="s">
        <v>1170</v>
      </c>
      <c r="I2047" s="38">
        <v>9270.7800000000007</v>
      </c>
    </row>
    <row r="2048" spans="1:10" x14ac:dyDescent="0.35">
      <c r="A2048" s="31">
        <v>1023.5</v>
      </c>
      <c r="B2048" s="19"/>
      <c r="C2048" s="1" t="s">
        <v>150</v>
      </c>
      <c r="D2048" s="37">
        <v>45899</v>
      </c>
      <c r="E2048" s="31" t="s">
        <v>841</v>
      </c>
      <c r="F2048" s="31" t="s">
        <v>177</v>
      </c>
      <c r="G2048" s="31">
        <v>3526</v>
      </c>
      <c r="H2048" s="31" t="s">
        <v>1170</v>
      </c>
      <c r="J2048" s="38">
        <v>9270.7800000000007</v>
      </c>
    </row>
    <row r="2049" spans="1:10" x14ac:dyDescent="0.35">
      <c r="A2049" s="31">
        <v>1024</v>
      </c>
      <c r="B2049" s="19" t="s">
        <v>17</v>
      </c>
      <c r="C2049" s="1"/>
      <c r="D2049" s="37">
        <v>45899</v>
      </c>
      <c r="E2049" s="31">
        <v>38546</v>
      </c>
      <c r="F2049" s="31" t="s">
        <v>86</v>
      </c>
      <c r="G2049" s="31">
        <v>3375</v>
      </c>
      <c r="H2049" s="31" t="s">
        <v>1170</v>
      </c>
      <c r="I2049" s="38">
        <v>0</v>
      </c>
    </row>
    <row r="2050" spans="1:10" x14ac:dyDescent="0.35">
      <c r="A2050" s="31">
        <v>1024.5</v>
      </c>
      <c r="B2050" s="19"/>
      <c r="C2050" s="1" t="s">
        <v>150</v>
      </c>
      <c r="D2050" s="37">
        <v>45899</v>
      </c>
      <c r="E2050" s="31">
        <v>38546</v>
      </c>
      <c r="F2050" s="31" t="s">
        <v>86</v>
      </c>
      <c r="G2050" s="31">
        <v>3375</v>
      </c>
      <c r="H2050" s="31" t="s">
        <v>1170</v>
      </c>
      <c r="J2050" s="38">
        <v>0</v>
      </c>
    </row>
    <row r="2051" spans="1:10" x14ac:dyDescent="0.35">
      <c r="A2051" s="31">
        <v>1025</v>
      </c>
      <c r="B2051" s="19" t="s">
        <v>17</v>
      </c>
      <c r="C2051" s="1"/>
      <c r="D2051" s="37">
        <v>45899</v>
      </c>
      <c r="E2051" s="31">
        <v>38651</v>
      </c>
      <c r="F2051" s="31" t="s">
        <v>586</v>
      </c>
      <c r="G2051" s="31">
        <v>2702</v>
      </c>
      <c r="H2051" s="31" t="s">
        <v>1170</v>
      </c>
      <c r="I2051" s="38">
        <v>450</v>
      </c>
    </row>
    <row r="2052" spans="1:10" x14ac:dyDescent="0.35">
      <c r="A2052" s="31">
        <v>1025.5</v>
      </c>
      <c r="B2052" s="19"/>
      <c r="C2052" s="1" t="s">
        <v>150</v>
      </c>
      <c r="D2052" s="37">
        <v>45899</v>
      </c>
      <c r="E2052" s="31">
        <v>38651</v>
      </c>
      <c r="F2052" s="31" t="s">
        <v>586</v>
      </c>
      <c r="G2052" s="31">
        <v>2702</v>
      </c>
      <c r="H2052" s="31" t="s">
        <v>1170</v>
      </c>
      <c r="J2052" s="38">
        <v>450</v>
      </c>
    </row>
    <row r="2053" spans="1:10" x14ac:dyDescent="0.35">
      <c r="A2053" s="31">
        <v>1026</v>
      </c>
      <c r="B2053" s="19" t="s">
        <v>17</v>
      </c>
      <c r="C2053" s="1"/>
      <c r="D2053" s="37">
        <v>45899</v>
      </c>
      <c r="E2053" s="31" t="s">
        <v>907</v>
      </c>
      <c r="F2053" s="31" t="s">
        <v>59</v>
      </c>
      <c r="G2053" s="31">
        <v>1720</v>
      </c>
      <c r="H2053" s="31" t="s">
        <v>1170</v>
      </c>
      <c r="I2053" s="38">
        <v>983.73</v>
      </c>
    </row>
    <row r="2054" spans="1:10" x14ac:dyDescent="0.35">
      <c r="A2054" s="31">
        <v>1026.5</v>
      </c>
      <c r="B2054" s="19"/>
      <c r="C2054" s="1" t="s">
        <v>150</v>
      </c>
      <c r="D2054" s="37">
        <v>45899</v>
      </c>
      <c r="E2054" s="31" t="s">
        <v>907</v>
      </c>
      <c r="F2054" s="31" t="s">
        <v>59</v>
      </c>
      <c r="G2054" s="31">
        <v>1720</v>
      </c>
      <c r="H2054" s="31" t="s">
        <v>1170</v>
      </c>
      <c r="J2054" s="38">
        <v>983.73</v>
      </c>
    </row>
    <row r="2055" spans="1:10" x14ac:dyDescent="0.35">
      <c r="A2055" s="31">
        <v>1027</v>
      </c>
      <c r="B2055" s="19" t="s">
        <v>17</v>
      </c>
      <c r="C2055" s="1"/>
      <c r="D2055" s="37">
        <v>45899</v>
      </c>
      <c r="E2055" s="31">
        <v>38806</v>
      </c>
      <c r="F2055" s="31" t="s">
        <v>918</v>
      </c>
      <c r="G2055" s="31">
        <v>596</v>
      </c>
      <c r="H2055" s="31" t="s">
        <v>1170</v>
      </c>
      <c r="I2055" s="38">
        <v>750</v>
      </c>
    </row>
    <row r="2056" spans="1:10" x14ac:dyDescent="0.35">
      <c r="A2056" s="31">
        <v>1027.5</v>
      </c>
      <c r="B2056" s="19"/>
      <c r="C2056" s="1" t="s">
        <v>150</v>
      </c>
      <c r="D2056" s="37">
        <v>45899</v>
      </c>
      <c r="E2056" s="31">
        <v>38806</v>
      </c>
      <c r="F2056" s="31" t="s">
        <v>918</v>
      </c>
      <c r="G2056" s="31">
        <v>596</v>
      </c>
      <c r="H2056" s="31" t="s">
        <v>1170</v>
      </c>
      <c r="J2056" s="38">
        <v>750</v>
      </c>
    </row>
    <row r="2057" spans="1:10" x14ac:dyDescent="0.35">
      <c r="A2057" s="31">
        <v>1028</v>
      </c>
      <c r="B2057" s="19" t="s">
        <v>17</v>
      </c>
      <c r="C2057" s="1"/>
      <c r="D2057" s="37">
        <v>45899</v>
      </c>
      <c r="E2057" s="31">
        <v>38817</v>
      </c>
      <c r="F2057" s="31" t="s">
        <v>919</v>
      </c>
      <c r="G2057" s="31">
        <v>524</v>
      </c>
      <c r="H2057" s="31" t="s">
        <v>1170</v>
      </c>
      <c r="I2057" s="38">
        <v>110.1</v>
      </c>
    </row>
    <row r="2058" spans="1:10" x14ac:dyDescent="0.35">
      <c r="A2058" s="31">
        <v>1028.5</v>
      </c>
      <c r="B2058" s="19"/>
      <c r="C2058" s="1" t="s">
        <v>150</v>
      </c>
      <c r="D2058" s="37">
        <v>45899</v>
      </c>
      <c r="E2058" s="31">
        <v>38817</v>
      </c>
      <c r="F2058" s="31" t="s">
        <v>919</v>
      </c>
      <c r="G2058" s="31">
        <v>524</v>
      </c>
      <c r="H2058" s="31" t="s">
        <v>1170</v>
      </c>
      <c r="J2058" s="38">
        <v>110.1</v>
      </c>
    </row>
    <row r="2059" spans="1:10" x14ac:dyDescent="0.35">
      <c r="A2059" s="31">
        <v>1029</v>
      </c>
      <c r="B2059" s="19" t="s">
        <v>17</v>
      </c>
      <c r="C2059" s="1"/>
      <c r="D2059" s="37">
        <v>45899</v>
      </c>
      <c r="E2059" s="31">
        <v>38846</v>
      </c>
      <c r="F2059" s="31" t="s">
        <v>922</v>
      </c>
      <c r="G2059" s="31">
        <v>498</v>
      </c>
      <c r="H2059" s="31" t="s">
        <v>1170</v>
      </c>
      <c r="I2059" s="38">
        <v>209.05</v>
      </c>
    </row>
    <row r="2060" spans="1:10" x14ac:dyDescent="0.35">
      <c r="A2060" s="31">
        <v>1029.5</v>
      </c>
      <c r="B2060" s="19"/>
      <c r="C2060" s="1" t="s">
        <v>150</v>
      </c>
      <c r="D2060" s="37">
        <v>45899</v>
      </c>
      <c r="E2060" s="31">
        <v>38846</v>
      </c>
      <c r="F2060" s="31" t="s">
        <v>922</v>
      </c>
      <c r="G2060" s="31">
        <v>498</v>
      </c>
      <c r="H2060" s="31" t="s">
        <v>1170</v>
      </c>
      <c r="J2060" s="38">
        <v>209.05</v>
      </c>
    </row>
    <row r="2061" spans="1:10" x14ac:dyDescent="0.35">
      <c r="A2061" s="31">
        <v>1030</v>
      </c>
      <c r="B2061" s="19" t="s">
        <v>17</v>
      </c>
      <c r="C2061" s="1"/>
      <c r="D2061" s="37">
        <v>45899</v>
      </c>
      <c r="E2061" s="31">
        <v>38889</v>
      </c>
      <c r="F2061" s="31" t="s">
        <v>107</v>
      </c>
      <c r="G2061" s="31">
        <v>2466</v>
      </c>
      <c r="H2061" s="31" t="s">
        <v>1170</v>
      </c>
      <c r="I2061" s="38">
        <v>118.52</v>
      </c>
    </row>
    <row r="2062" spans="1:10" x14ac:dyDescent="0.35">
      <c r="A2062" s="31">
        <v>1030.5</v>
      </c>
      <c r="B2062" s="19"/>
      <c r="C2062" s="1" t="s">
        <v>150</v>
      </c>
      <c r="D2062" s="37">
        <v>45899</v>
      </c>
      <c r="E2062" s="31">
        <v>38889</v>
      </c>
      <c r="F2062" s="31" t="s">
        <v>107</v>
      </c>
      <c r="G2062" s="31">
        <v>2466</v>
      </c>
      <c r="H2062" s="31" t="s">
        <v>1170</v>
      </c>
      <c r="J2062" s="38">
        <v>118.52</v>
      </c>
    </row>
    <row r="2063" spans="1:10" x14ac:dyDescent="0.35">
      <c r="A2063" s="31">
        <v>1031</v>
      </c>
      <c r="B2063" s="19" t="s">
        <v>17</v>
      </c>
      <c r="C2063" s="1"/>
      <c r="D2063" s="37">
        <v>45899</v>
      </c>
      <c r="E2063" s="31">
        <v>38954</v>
      </c>
      <c r="F2063" s="31" t="s">
        <v>924</v>
      </c>
      <c r="G2063" s="31">
        <v>933</v>
      </c>
      <c r="H2063" s="31" t="s">
        <v>1170</v>
      </c>
      <c r="I2063" s="38">
        <v>455</v>
      </c>
    </row>
    <row r="2064" spans="1:10" x14ac:dyDescent="0.35">
      <c r="A2064" s="31">
        <v>1031.5</v>
      </c>
      <c r="B2064" s="19"/>
      <c r="C2064" s="1" t="s">
        <v>150</v>
      </c>
      <c r="D2064" s="37">
        <v>45899</v>
      </c>
      <c r="E2064" s="31">
        <v>38954</v>
      </c>
      <c r="F2064" s="31" t="s">
        <v>924</v>
      </c>
      <c r="G2064" s="31">
        <v>933</v>
      </c>
      <c r="H2064" s="31" t="s">
        <v>1170</v>
      </c>
      <c r="J2064" s="38">
        <v>455</v>
      </c>
    </row>
    <row r="2065" spans="1:10" x14ac:dyDescent="0.35">
      <c r="A2065" s="31">
        <v>1032</v>
      </c>
      <c r="B2065" s="19" t="s">
        <v>17</v>
      </c>
      <c r="C2065" s="1"/>
      <c r="D2065" s="37">
        <v>45900</v>
      </c>
      <c r="E2065" s="31" t="s">
        <v>944</v>
      </c>
      <c r="F2065" s="31" t="s">
        <v>50</v>
      </c>
      <c r="G2065" s="31">
        <v>1938</v>
      </c>
      <c r="H2065" s="31" t="s">
        <v>1170</v>
      </c>
      <c r="I2065" s="38">
        <v>0</v>
      </c>
    </row>
    <row r="2066" spans="1:10" x14ac:dyDescent="0.35">
      <c r="A2066" s="31">
        <v>1032.5</v>
      </c>
      <c r="B2066" s="19"/>
      <c r="C2066" s="1" t="s">
        <v>150</v>
      </c>
      <c r="D2066" s="37">
        <v>45900</v>
      </c>
      <c r="E2066" s="31" t="s">
        <v>944</v>
      </c>
      <c r="F2066" s="31" t="s">
        <v>50</v>
      </c>
      <c r="G2066" s="31">
        <v>1938</v>
      </c>
      <c r="H2066" s="31" t="s">
        <v>1170</v>
      </c>
      <c r="J2066" s="38">
        <v>0</v>
      </c>
    </row>
    <row r="2067" spans="1:10" x14ac:dyDescent="0.35">
      <c r="A2067" s="31">
        <v>1033</v>
      </c>
      <c r="B2067" s="19" t="s">
        <v>17</v>
      </c>
      <c r="C2067" s="1"/>
      <c r="D2067" s="37">
        <v>45900</v>
      </c>
      <c r="E2067" s="31" t="s">
        <v>1172</v>
      </c>
      <c r="F2067" s="31" t="s">
        <v>932</v>
      </c>
      <c r="G2067" s="31">
        <v>506</v>
      </c>
      <c r="H2067" s="31" t="s">
        <v>1170</v>
      </c>
      <c r="I2067" s="38">
        <v>2907.31</v>
      </c>
    </row>
    <row r="2068" spans="1:10" x14ac:dyDescent="0.35">
      <c r="A2068" s="31">
        <v>1033.5</v>
      </c>
      <c r="B2068" s="19"/>
      <c r="C2068" s="1" t="s">
        <v>150</v>
      </c>
      <c r="D2068" s="37">
        <v>45900</v>
      </c>
      <c r="E2068" s="31" t="s">
        <v>1172</v>
      </c>
      <c r="F2068" s="31" t="s">
        <v>932</v>
      </c>
      <c r="G2068" s="31">
        <v>506</v>
      </c>
      <c r="H2068" s="31" t="s">
        <v>1170</v>
      </c>
      <c r="J2068" s="38">
        <v>2907.31</v>
      </c>
    </row>
    <row r="2069" spans="1:10" x14ac:dyDescent="0.35">
      <c r="A2069" s="31">
        <v>1034</v>
      </c>
      <c r="B2069" s="19" t="s">
        <v>17</v>
      </c>
      <c r="C2069" s="1"/>
      <c r="D2069" s="37">
        <v>45900</v>
      </c>
      <c r="E2069" s="31" t="s">
        <v>957</v>
      </c>
      <c r="F2069" s="31" t="s">
        <v>50</v>
      </c>
      <c r="G2069" s="31">
        <v>1938</v>
      </c>
      <c r="H2069" s="31" t="s">
        <v>1170</v>
      </c>
      <c r="I2069" s="38">
        <v>0</v>
      </c>
    </row>
    <row r="2070" spans="1:10" x14ac:dyDescent="0.35">
      <c r="A2070" s="31">
        <v>1034.5</v>
      </c>
      <c r="B2070" s="19"/>
      <c r="C2070" s="1" t="s">
        <v>150</v>
      </c>
      <c r="D2070" s="37">
        <v>45900</v>
      </c>
      <c r="E2070" s="31" t="s">
        <v>957</v>
      </c>
      <c r="F2070" s="31" t="s">
        <v>50</v>
      </c>
      <c r="G2070" s="31">
        <v>1938</v>
      </c>
      <c r="H2070" s="31" t="s">
        <v>1170</v>
      </c>
      <c r="J2070" s="38">
        <v>0</v>
      </c>
    </row>
    <row r="2071" spans="1:10" x14ac:dyDescent="0.35">
      <c r="A2071" s="31">
        <v>1035</v>
      </c>
      <c r="B2071" s="19" t="s">
        <v>17</v>
      </c>
      <c r="C2071" s="1"/>
      <c r="D2071" s="37">
        <v>45900</v>
      </c>
      <c r="E2071" s="31" t="s">
        <v>959</v>
      </c>
      <c r="F2071" s="31" t="s">
        <v>50</v>
      </c>
      <c r="G2071" s="31">
        <v>1938</v>
      </c>
      <c r="H2071" s="31" t="s">
        <v>1170</v>
      </c>
      <c r="I2071" s="38">
        <v>0</v>
      </c>
    </row>
    <row r="2072" spans="1:10" x14ac:dyDescent="0.35">
      <c r="A2072" s="31">
        <v>1035.5</v>
      </c>
      <c r="B2072" s="19"/>
      <c r="C2072" s="1" t="s">
        <v>150</v>
      </c>
      <c r="D2072" s="37">
        <v>45900</v>
      </c>
      <c r="E2072" s="31" t="s">
        <v>959</v>
      </c>
      <c r="F2072" s="31" t="s">
        <v>50</v>
      </c>
      <c r="G2072" s="31">
        <v>1938</v>
      </c>
      <c r="H2072" s="31" t="s">
        <v>1170</v>
      </c>
      <c r="J2072" s="38">
        <v>0</v>
      </c>
    </row>
    <row r="2073" spans="1:10" x14ac:dyDescent="0.35">
      <c r="A2073" s="31">
        <v>1036</v>
      </c>
      <c r="B2073" s="19" t="s">
        <v>17</v>
      </c>
      <c r="C2073" s="1"/>
      <c r="D2073" s="37">
        <v>45900</v>
      </c>
      <c r="E2073" s="31" t="s">
        <v>960</v>
      </c>
      <c r="F2073" s="31" t="s">
        <v>50</v>
      </c>
      <c r="G2073" s="31">
        <v>1938</v>
      </c>
      <c r="H2073" s="31" t="s">
        <v>1170</v>
      </c>
      <c r="I2073" s="38">
        <v>0</v>
      </c>
    </row>
    <row r="2074" spans="1:10" x14ac:dyDescent="0.35">
      <c r="A2074" s="31">
        <v>1036.5</v>
      </c>
      <c r="B2074" s="19"/>
      <c r="C2074" s="1" t="s">
        <v>150</v>
      </c>
      <c r="D2074" s="37">
        <v>45900</v>
      </c>
      <c r="E2074" s="31" t="s">
        <v>960</v>
      </c>
      <c r="F2074" s="31" t="s">
        <v>50</v>
      </c>
      <c r="G2074" s="31">
        <v>1938</v>
      </c>
      <c r="H2074" s="31" t="s">
        <v>1170</v>
      </c>
      <c r="J2074" s="38">
        <v>0</v>
      </c>
    </row>
    <row r="2075" spans="1:10" x14ac:dyDescent="0.35">
      <c r="A2075" s="31">
        <v>1037</v>
      </c>
      <c r="B2075" s="19" t="s">
        <v>17</v>
      </c>
      <c r="C2075" s="1"/>
      <c r="D2075" s="37">
        <v>45900</v>
      </c>
      <c r="E2075" s="31" t="s">
        <v>961</v>
      </c>
      <c r="F2075" s="31" t="s">
        <v>50</v>
      </c>
      <c r="G2075" s="31">
        <v>1938</v>
      </c>
      <c r="H2075" s="31" t="s">
        <v>1170</v>
      </c>
      <c r="I2075" s="38">
        <v>0</v>
      </c>
    </row>
    <row r="2076" spans="1:10" x14ac:dyDescent="0.35">
      <c r="A2076" s="31">
        <v>1037.5</v>
      </c>
      <c r="B2076" s="19"/>
      <c r="C2076" s="1" t="s">
        <v>150</v>
      </c>
      <c r="D2076" s="37">
        <v>45900</v>
      </c>
      <c r="E2076" s="31" t="s">
        <v>961</v>
      </c>
      <c r="F2076" s="31" t="s">
        <v>50</v>
      </c>
      <c r="G2076" s="31">
        <v>1938</v>
      </c>
      <c r="H2076" s="31" t="s">
        <v>1170</v>
      </c>
      <c r="J2076" s="38">
        <v>0</v>
      </c>
    </row>
    <row r="2077" spans="1:10" x14ac:dyDescent="0.35">
      <c r="A2077" s="31">
        <v>1038</v>
      </c>
      <c r="B2077" s="19" t="s">
        <v>17</v>
      </c>
      <c r="C2077" s="1"/>
      <c r="D2077" s="37">
        <v>45900</v>
      </c>
      <c r="E2077" s="31" t="s">
        <v>962</v>
      </c>
      <c r="F2077" s="31" t="s">
        <v>50</v>
      </c>
      <c r="G2077" s="31">
        <v>1938</v>
      </c>
      <c r="H2077" s="31" t="s">
        <v>1170</v>
      </c>
      <c r="I2077" s="38">
        <v>0</v>
      </c>
    </row>
    <row r="2078" spans="1:10" x14ac:dyDescent="0.35">
      <c r="A2078" s="31">
        <v>1038.5</v>
      </c>
      <c r="B2078" s="19"/>
      <c r="C2078" s="1" t="s">
        <v>150</v>
      </c>
      <c r="D2078" s="37">
        <v>45900</v>
      </c>
      <c r="E2078" s="31" t="s">
        <v>962</v>
      </c>
      <c r="F2078" s="31" t="s">
        <v>50</v>
      </c>
      <c r="G2078" s="31">
        <v>1938</v>
      </c>
      <c r="H2078" s="31" t="s">
        <v>1170</v>
      </c>
      <c r="J2078" s="38">
        <v>0</v>
      </c>
    </row>
    <row r="2079" spans="1:10" x14ac:dyDescent="0.35">
      <c r="A2079" s="31">
        <v>1039</v>
      </c>
      <c r="B2079" s="19" t="s">
        <v>17</v>
      </c>
      <c r="C2079" s="1"/>
      <c r="D2079" s="37">
        <v>45900</v>
      </c>
      <c r="E2079" s="31" t="s">
        <v>985</v>
      </c>
      <c r="F2079" s="31" t="s">
        <v>50</v>
      </c>
      <c r="G2079" s="31">
        <v>1938</v>
      </c>
      <c r="H2079" s="31" t="s">
        <v>1170</v>
      </c>
      <c r="I2079" s="38">
        <v>0</v>
      </c>
    </row>
    <row r="2080" spans="1:10" x14ac:dyDescent="0.35">
      <c r="A2080" s="31">
        <v>1039.5</v>
      </c>
      <c r="B2080" s="19"/>
      <c r="C2080" s="1" t="s">
        <v>150</v>
      </c>
      <c r="D2080" s="37">
        <v>45900</v>
      </c>
      <c r="E2080" s="31" t="s">
        <v>985</v>
      </c>
      <c r="F2080" s="31" t="s">
        <v>50</v>
      </c>
      <c r="G2080" s="31">
        <v>1938</v>
      </c>
      <c r="H2080" s="31" t="s">
        <v>1170</v>
      </c>
      <c r="J2080" s="38">
        <v>0</v>
      </c>
    </row>
    <row r="2081" spans="1:10" x14ac:dyDescent="0.35">
      <c r="A2081" s="31">
        <v>1040</v>
      </c>
      <c r="B2081" s="19" t="s">
        <v>17</v>
      </c>
      <c r="C2081" s="1"/>
      <c r="D2081" s="37">
        <v>45900</v>
      </c>
      <c r="E2081" s="31" t="s">
        <v>992</v>
      </c>
      <c r="F2081" s="31" t="s">
        <v>990</v>
      </c>
      <c r="G2081" s="31">
        <v>3560</v>
      </c>
      <c r="H2081" s="31" t="s">
        <v>1170</v>
      </c>
      <c r="I2081" s="38">
        <v>0</v>
      </c>
    </row>
    <row r="2082" spans="1:10" x14ac:dyDescent="0.35">
      <c r="A2082" s="31">
        <v>1040.5</v>
      </c>
      <c r="B2082" s="19"/>
      <c r="C2082" s="1" t="s">
        <v>150</v>
      </c>
      <c r="D2082" s="37">
        <v>45900</v>
      </c>
      <c r="E2082" s="31" t="s">
        <v>992</v>
      </c>
      <c r="F2082" s="31" t="s">
        <v>990</v>
      </c>
      <c r="G2082" s="31">
        <v>3560</v>
      </c>
      <c r="H2082" s="31" t="s">
        <v>1170</v>
      </c>
      <c r="J2082" s="38">
        <v>0</v>
      </c>
    </row>
    <row r="2083" spans="1:10" x14ac:dyDescent="0.35">
      <c r="A2083" s="31">
        <v>1041</v>
      </c>
      <c r="B2083" s="19" t="s">
        <v>17</v>
      </c>
      <c r="C2083" s="1"/>
      <c r="D2083" s="37">
        <v>45900</v>
      </c>
      <c r="E2083" s="31" t="s">
        <v>993</v>
      </c>
      <c r="F2083" s="31" t="s">
        <v>80</v>
      </c>
      <c r="G2083" s="31">
        <v>3351</v>
      </c>
      <c r="H2083" s="31" t="s">
        <v>1170</v>
      </c>
      <c r="I2083" s="38">
        <v>8003.78</v>
      </c>
    </row>
    <row r="2084" spans="1:10" x14ac:dyDescent="0.35">
      <c r="A2084" s="31">
        <v>1041.5</v>
      </c>
      <c r="B2084" s="19"/>
      <c r="C2084" s="1" t="s">
        <v>150</v>
      </c>
      <c r="D2084" s="37">
        <v>45900</v>
      </c>
      <c r="E2084" s="31" t="s">
        <v>993</v>
      </c>
      <c r="F2084" s="31" t="s">
        <v>80</v>
      </c>
      <c r="G2084" s="31">
        <v>3351</v>
      </c>
      <c r="H2084" s="31" t="s">
        <v>1170</v>
      </c>
      <c r="J2084" s="38">
        <v>8003.78</v>
      </c>
    </row>
    <row r="2085" spans="1:10" x14ac:dyDescent="0.35">
      <c r="A2085" s="31">
        <v>1042</v>
      </c>
      <c r="B2085" s="19" t="s">
        <v>17</v>
      </c>
      <c r="C2085" s="1"/>
      <c r="D2085" s="37">
        <v>45900</v>
      </c>
      <c r="E2085" s="31" t="s">
        <v>999</v>
      </c>
      <c r="F2085" s="31" t="s">
        <v>80</v>
      </c>
      <c r="G2085" s="31">
        <v>3351</v>
      </c>
      <c r="H2085" s="31" t="s">
        <v>1170</v>
      </c>
      <c r="I2085" s="38">
        <v>3603.25</v>
      </c>
    </row>
    <row r="2086" spans="1:10" x14ac:dyDescent="0.35">
      <c r="A2086" s="31">
        <v>1042.5</v>
      </c>
      <c r="B2086" s="19"/>
      <c r="C2086" s="1" t="s">
        <v>150</v>
      </c>
      <c r="D2086" s="37">
        <v>45900</v>
      </c>
      <c r="E2086" s="31" t="s">
        <v>999</v>
      </c>
      <c r="F2086" s="31" t="s">
        <v>80</v>
      </c>
      <c r="G2086" s="31">
        <v>3351</v>
      </c>
      <c r="H2086" s="31" t="s">
        <v>1170</v>
      </c>
      <c r="J2086" s="38">
        <v>3603.25</v>
      </c>
    </row>
    <row r="2087" spans="1:10" x14ac:dyDescent="0.35">
      <c r="A2087" s="31">
        <v>1043</v>
      </c>
      <c r="B2087" s="19" t="s">
        <v>17</v>
      </c>
      <c r="C2087" s="1"/>
      <c r="D2087" s="37">
        <v>45900</v>
      </c>
      <c r="E2087" s="31" t="s">
        <v>1009</v>
      </c>
      <c r="F2087" s="31" t="s">
        <v>453</v>
      </c>
      <c r="G2087" s="31">
        <v>3400</v>
      </c>
      <c r="H2087" s="31" t="s">
        <v>1170</v>
      </c>
      <c r="I2087" s="38">
        <v>121.39</v>
      </c>
    </row>
    <row r="2088" spans="1:10" x14ac:dyDescent="0.35">
      <c r="A2088" s="31">
        <v>1043.5</v>
      </c>
      <c r="B2088" s="19"/>
      <c r="C2088" s="1" t="s">
        <v>150</v>
      </c>
      <c r="D2088" s="37">
        <v>45900</v>
      </c>
      <c r="E2088" s="31" t="s">
        <v>1009</v>
      </c>
      <c r="F2088" s="31" t="s">
        <v>453</v>
      </c>
      <c r="G2088" s="31">
        <v>3400</v>
      </c>
      <c r="H2088" s="31" t="s">
        <v>1170</v>
      </c>
      <c r="J2088" s="38">
        <v>121.39</v>
      </c>
    </row>
    <row r="2089" spans="1:10" x14ac:dyDescent="0.35">
      <c r="A2089" s="31">
        <v>1044</v>
      </c>
      <c r="B2089" s="19" t="s">
        <v>17</v>
      </c>
      <c r="C2089" s="1"/>
      <c r="D2089" s="37">
        <v>45900</v>
      </c>
      <c r="E2089" s="31" t="s">
        <v>1026</v>
      </c>
      <c r="F2089" s="31" t="s">
        <v>1027</v>
      </c>
      <c r="G2089" s="31">
        <v>3397</v>
      </c>
      <c r="H2089" s="31" t="s">
        <v>1170</v>
      </c>
      <c r="I2089" s="38">
        <v>300</v>
      </c>
    </row>
    <row r="2090" spans="1:10" x14ac:dyDescent="0.35">
      <c r="A2090" s="31">
        <v>1044.5</v>
      </c>
      <c r="B2090" s="19"/>
      <c r="C2090" s="1" t="s">
        <v>150</v>
      </c>
      <c r="D2090" s="37">
        <v>45900</v>
      </c>
      <c r="E2090" s="31" t="s">
        <v>1026</v>
      </c>
      <c r="F2090" s="31" t="s">
        <v>1027</v>
      </c>
      <c r="G2090" s="31">
        <v>3397</v>
      </c>
      <c r="H2090" s="31" t="s">
        <v>1170</v>
      </c>
      <c r="J2090" s="38">
        <v>300</v>
      </c>
    </row>
    <row r="2091" spans="1:10" x14ac:dyDescent="0.35">
      <c r="A2091" s="31">
        <v>1045</v>
      </c>
      <c r="B2091" s="19" t="s">
        <v>17</v>
      </c>
      <c r="C2091" s="1"/>
      <c r="D2091" s="37">
        <v>45900</v>
      </c>
      <c r="E2091" s="31" t="s">
        <v>1173</v>
      </c>
      <c r="F2091" s="31" t="s">
        <v>1174</v>
      </c>
      <c r="G2091" s="31">
        <v>3630</v>
      </c>
      <c r="H2091" s="31" t="s">
        <v>1170</v>
      </c>
      <c r="I2091" s="38">
        <v>7000</v>
      </c>
    </row>
    <row r="2092" spans="1:10" x14ac:dyDescent="0.35">
      <c r="A2092" s="31">
        <v>1045.5</v>
      </c>
      <c r="B2092" s="19"/>
      <c r="C2092" s="1" t="s">
        <v>150</v>
      </c>
      <c r="D2092" s="37">
        <v>45900</v>
      </c>
      <c r="E2092" s="31" t="s">
        <v>1173</v>
      </c>
      <c r="F2092" s="31" t="s">
        <v>1174</v>
      </c>
      <c r="G2092" s="31">
        <v>3630</v>
      </c>
      <c r="H2092" s="31" t="s">
        <v>1170</v>
      </c>
      <c r="J2092" s="38">
        <v>7000</v>
      </c>
    </row>
    <row r="2093" spans="1:10" x14ac:dyDescent="0.35">
      <c r="A2093" s="31">
        <v>1046</v>
      </c>
      <c r="B2093" s="19" t="s">
        <v>17</v>
      </c>
      <c r="C2093" s="1"/>
      <c r="D2093" s="37">
        <v>45900</v>
      </c>
      <c r="E2093" s="31" t="s">
        <v>1030</v>
      </c>
      <c r="F2093" s="31" t="s">
        <v>50</v>
      </c>
      <c r="G2093" s="31">
        <v>1938</v>
      </c>
      <c r="H2093" s="31" t="s">
        <v>1170</v>
      </c>
      <c r="I2093" s="38">
        <v>0</v>
      </c>
    </row>
    <row r="2094" spans="1:10" x14ac:dyDescent="0.35">
      <c r="A2094" s="31">
        <v>1046.5</v>
      </c>
      <c r="B2094" s="19"/>
      <c r="C2094" s="1" t="s">
        <v>150</v>
      </c>
      <c r="D2094" s="37">
        <v>45900</v>
      </c>
      <c r="E2094" s="31" t="s">
        <v>1030</v>
      </c>
      <c r="F2094" s="31" t="s">
        <v>50</v>
      </c>
      <c r="G2094" s="31">
        <v>1938</v>
      </c>
      <c r="H2094" s="31" t="s">
        <v>1170</v>
      </c>
      <c r="J2094" s="38">
        <v>0</v>
      </c>
    </row>
    <row r="2095" spans="1:10" x14ac:dyDescent="0.35">
      <c r="A2095" s="31">
        <v>1047</v>
      </c>
      <c r="B2095" s="19" t="s">
        <v>17</v>
      </c>
      <c r="C2095" s="1"/>
      <c r="D2095" s="37">
        <v>45900</v>
      </c>
      <c r="E2095" s="31" t="s">
        <v>1031</v>
      </c>
      <c r="F2095" s="31" t="s">
        <v>50</v>
      </c>
      <c r="G2095" s="31">
        <v>1938</v>
      </c>
      <c r="H2095" s="31" t="s">
        <v>1170</v>
      </c>
      <c r="I2095" s="38">
        <v>0</v>
      </c>
    </row>
    <row r="2096" spans="1:10" x14ac:dyDescent="0.35">
      <c r="A2096" s="31">
        <v>1047.5</v>
      </c>
      <c r="B2096" s="19"/>
      <c r="C2096" s="1" t="s">
        <v>150</v>
      </c>
      <c r="D2096" s="37">
        <v>45900</v>
      </c>
      <c r="E2096" s="31" t="s">
        <v>1031</v>
      </c>
      <c r="F2096" s="31" t="s">
        <v>50</v>
      </c>
      <c r="G2096" s="31">
        <v>1938</v>
      </c>
      <c r="H2096" s="31" t="s">
        <v>1170</v>
      </c>
      <c r="J2096" s="38">
        <v>0</v>
      </c>
    </row>
    <row r="2097" spans="1:10" x14ac:dyDescent="0.35">
      <c r="A2097" s="31">
        <v>1048</v>
      </c>
      <c r="B2097" s="19" t="s">
        <v>17</v>
      </c>
      <c r="C2097" s="1"/>
      <c r="D2097" s="37">
        <v>45900</v>
      </c>
      <c r="E2097" s="31" t="s">
        <v>1032</v>
      </c>
      <c r="F2097" s="31" t="s">
        <v>50</v>
      </c>
      <c r="G2097" s="31">
        <v>1938</v>
      </c>
      <c r="H2097" s="31" t="s">
        <v>1170</v>
      </c>
      <c r="I2097" s="38">
        <v>0</v>
      </c>
    </row>
    <row r="2098" spans="1:10" x14ac:dyDescent="0.35">
      <c r="A2098" s="31">
        <v>1048.5</v>
      </c>
      <c r="B2098" s="19"/>
      <c r="C2098" s="1" t="s">
        <v>150</v>
      </c>
      <c r="D2098" s="37">
        <v>45900</v>
      </c>
      <c r="E2098" s="31" t="s">
        <v>1032</v>
      </c>
      <c r="F2098" s="31" t="s">
        <v>50</v>
      </c>
      <c r="G2098" s="31">
        <v>1938</v>
      </c>
      <c r="H2098" s="31" t="s">
        <v>1170</v>
      </c>
      <c r="J2098" s="38">
        <v>0</v>
      </c>
    </row>
    <row r="2099" spans="1:10" x14ac:dyDescent="0.35">
      <c r="A2099" s="31">
        <v>1049</v>
      </c>
      <c r="B2099" s="19" t="s">
        <v>17</v>
      </c>
      <c r="C2099" s="1"/>
      <c r="D2099" s="37">
        <v>45900</v>
      </c>
      <c r="E2099" s="31" t="s">
        <v>1033</v>
      </c>
      <c r="F2099" s="31" t="s">
        <v>50</v>
      </c>
      <c r="G2099" s="31">
        <v>1938</v>
      </c>
      <c r="H2099" s="31" t="s">
        <v>1170</v>
      </c>
      <c r="I2099" s="38">
        <v>0</v>
      </c>
    </row>
    <row r="2100" spans="1:10" x14ac:dyDescent="0.35">
      <c r="A2100" s="31">
        <v>1049.5</v>
      </c>
      <c r="B2100" s="19"/>
      <c r="C2100" s="1" t="s">
        <v>150</v>
      </c>
      <c r="D2100" s="37">
        <v>45900</v>
      </c>
      <c r="E2100" s="31" t="s">
        <v>1033</v>
      </c>
      <c r="F2100" s="31" t="s">
        <v>50</v>
      </c>
      <c r="G2100" s="31">
        <v>1938</v>
      </c>
      <c r="H2100" s="31" t="s">
        <v>1170</v>
      </c>
      <c r="J2100" s="38">
        <v>0</v>
      </c>
    </row>
    <row r="2101" spans="1:10" x14ac:dyDescent="0.35">
      <c r="A2101" s="31">
        <v>1050</v>
      </c>
      <c r="B2101" s="19" t="s">
        <v>17</v>
      </c>
      <c r="C2101" s="1"/>
      <c r="D2101" s="37">
        <v>45900</v>
      </c>
      <c r="E2101" s="31" t="s">
        <v>1045</v>
      </c>
      <c r="F2101" s="31" t="s">
        <v>148</v>
      </c>
      <c r="G2101" s="31">
        <v>3358</v>
      </c>
      <c r="H2101" s="31" t="s">
        <v>1170</v>
      </c>
      <c r="I2101" s="38">
        <v>3099.25</v>
      </c>
    </row>
    <row r="2102" spans="1:10" x14ac:dyDescent="0.35">
      <c r="A2102" s="31">
        <v>1050.5</v>
      </c>
      <c r="B2102" s="19"/>
      <c r="C2102" s="1" t="s">
        <v>150</v>
      </c>
      <c r="D2102" s="37">
        <v>45900</v>
      </c>
      <c r="E2102" s="31" t="s">
        <v>1045</v>
      </c>
      <c r="F2102" s="31" t="s">
        <v>148</v>
      </c>
      <c r="G2102" s="31">
        <v>3358</v>
      </c>
      <c r="H2102" s="31" t="s">
        <v>1170</v>
      </c>
      <c r="J2102" s="38">
        <v>3099.25</v>
      </c>
    </row>
    <row r="2103" spans="1:10" x14ac:dyDescent="0.35">
      <c r="A2103" s="31">
        <v>1051</v>
      </c>
      <c r="B2103" s="19" t="s">
        <v>17</v>
      </c>
      <c r="C2103" s="1"/>
      <c r="D2103" s="37">
        <v>45900</v>
      </c>
      <c r="E2103" s="31" t="s">
        <v>1049</v>
      </c>
      <c r="F2103" s="31" t="s">
        <v>50</v>
      </c>
      <c r="G2103" s="31">
        <v>1938</v>
      </c>
      <c r="H2103" s="31" t="s">
        <v>1170</v>
      </c>
      <c r="I2103" s="38">
        <v>0</v>
      </c>
    </row>
    <row r="2104" spans="1:10" x14ac:dyDescent="0.35">
      <c r="A2104" s="31">
        <v>1051.5</v>
      </c>
      <c r="B2104" s="19"/>
      <c r="C2104" s="1" t="s">
        <v>150</v>
      </c>
      <c r="D2104" s="37">
        <v>45900</v>
      </c>
      <c r="E2104" s="31" t="s">
        <v>1049</v>
      </c>
      <c r="F2104" s="31" t="s">
        <v>50</v>
      </c>
      <c r="G2104" s="31">
        <v>1938</v>
      </c>
      <c r="H2104" s="31" t="s">
        <v>1170</v>
      </c>
      <c r="J2104" s="38">
        <v>0</v>
      </c>
    </row>
    <row r="2105" spans="1:10" x14ac:dyDescent="0.35">
      <c r="A2105" s="31">
        <v>1052</v>
      </c>
      <c r="B2105" s="19" t="s">
        <v>17</v>
      </c>
      <c r="C2105" s="1"/>
      <c r="D2105" s="37">
        <v>45900</v>
      </c>
      <c r="E2105" s="31">
        <v>37354</v>
      </c>
      <c r="F2105" s="31" t="s">
        <v>1050</v>
      </c>
      <c r="G2105" s="31">
        <v>544</v>
      </c>
      <c r="H2105" s="31" t="s">
        <v>1170</v>
      </c>
      <c r="I2105" s="38">
        <v>400</v>
      </c>
    </row>
    <row r="2106" spans="1:10" x14ac:dyDescent="0.35">
      <c r="A2106" s="31">
        <v>1052.5</v>
      </c>
      <c r="B2106" s="19"/>
      <c r="C2106" s="1" t="s">
        <v>150</v>
      </c>
      <c r="D2106" s="37">
        <v>45900</v>
      </c>
      <c r="E2106" s="31">
        <v>37354</v>
      </c>
      <c r="F2106" s="31" t="s">
        <v>1050</v>
      </c>
      <c r="G2106" s="31">
        <v>544</v>
      </c>
      <c r="H2106" s="31" t="s">
        <v>1170</v>
      </c>
      <c r="J2106" s="38">
        <v>400</v>
      </c>
    </row>
    <row r="2107" spans="1:10" x14ac:dyDescent="0.35">
      <c r="A2107" s="31">
        <v>1053</v>
      </c>
      <c r="B2107" s="19" t="s">
        <v>17</v>
      </c>
      <c r="C2107" s="1"/>
      <c r="D2107" s="37">
        <v>45900</v>
      </c>
      <c r="E2107" s="31" t="s">
        <v>1063</v>
      </c>
      <c r="F2107" s="31" t="s">
        <v>284</v>
      </c>
      <c r="G2107" s="31">
        <v>3368</v>
      </c>
      <c r="H2107" s="31" t="s">
        <v>1170</v>
      </c>
      <c r="I2107" s="38">
        <v>15488.2</v>
      </c>
    </row>
    <row r="2108" spans="1:10" x14ac:dyDescent="0.35">
      <c r="A2108" s="31">
        <v>1053.5</v>
      </c>
      <c r="B2108" s="19"/>
      <c r="C2108" s="1" t="s">
        <v>150</v>
      </c>
      <c r="D2108" s="37">
        <v>45900</v>
      </c>
      <c r="E2108" s="31" t="s">
        <v>1063</v>
      </c>
      <c r="F2108" s="31" t="s">
        <v>284</v>
      </c>
      <c r="G2108" s="31">
        <v>3368</v>
      </c>
      <c r="H2108" s="31" t="s">
        <v>1170</v>
      </c>
      <c r="J2108" s="38">
        <v>15488.2</v>
      </c>
    </row>
    <row r="2109" spans="1:10" x14ac:dyDescent="0.35">
      <c r="A2109" s="31">
        <v>1054</v>
      </c>
      <c r="B2109" s="19" t="s">
        <v>17</v>
      </c>
      <c r="C2109" s="1"/>
      <c r="D2109" s="37">
        <v>45900</v>
      </c>
      <c r="E2109" s="31" t="s">
        <v>1069</v>
      </c>
      <c r="F2109" s="31" t="s">
        <v>59</v>
      </c>
      <c r="G2109" s="31">
        <v>1720</v>
      </c>
      <c r="H2109" s="31" t="s">
        <v>1170</v>
      </c>
      <c r="I2109" s="38">
        <v>78228.36</v>
      </c>
    </row>
    <row r="2110" spans="1:10" x14ac:dyDescent="0.35">
      <c r="A2110" s="31">
        <v>1054.5</v>
      </c>
      <c r="B2110" s="19"/>
      <c r="C2110" s="1" t="s">
        <v>150</v>
      </c>
      <c r="D2110" s="37">
        <v>45900</v>
      </c>
      <c r="E2110" s="31" t="s">
        <v>1069</v>
      </c>
      <c r="F2110" s="31" t="s">
        <v>59</v>
      </c>
      <c r="G2110" s="31">
        <v>1720</v>
      </c>
      <c r="H2110" s="31" t="s">
        <v>1170</v>
      </c>
      <c r="J2110" s="38">
        <v>78228.36</v>
      </c>
    </row>
    <row r="2111" spans="1:10" x14ac:dyDescent="0.35">
      <c r="A2111" s="31">
        <v>1055</v>
      </c>
      <c r="B2111" s="19" t="s">
        <v>17</v>
      </c>
      <c r="C2111" s="1"/>
      <c r="D2111" s="37">
        <v>45900</v>
      </c>
      <c r="E2111" s="31" t="s">
        <v>1081</v>
      </c>
      <c r="F2111" s="31" t="s">
        <v>50</v>
      </c>
      <c r="G2111" s="31">
        <v>1938</v>
      </c>
      <c r="H2111" s="31" t="s">
        <v>1170</v>
      </c>
      <c r="I2111" s="38">
        <v>0</v>
      </c>
    </row>
    <row r="2112" spans="1:10" x14ac:dyDescent="0.35">
      <c r="A2112" s="31">
        <v>1055.5</v>
      </c>
      <c r="B2112" s="19"/>
      <c r="C2112" s="1" t="s">
        <v>150</v>
      </c>
      <c r="D2112" s="37">
        <v>45900</v>
      </c>
      <c r="E2112" s="31" t="s">
        <v>1081</v>
      </c>
      <c r="F2112" s="31" t="s">
        <v>50</v>
      </c>
      <c r="G2112" s="31">
        <v>1938</v>
      </c>
      <c r="H2112" s="31" t="s">
        <v>1170</v>
      </c>
      <c r="J2112" s="38">
        <v>0</v>
      </c>
    </row>
    <row r="2113" spans="1:10" x14ac:dyDescent="0.35">
      <c r="A2113" s="31">
        <v>1056</v>
      </c>
      <c r="B2113" s="19" t="s">
        <v>17</v>
      </c>
      <c r="C2113" s="1"/>
      <c r="D2113" s="37">
        <v>45900</v>
      </c>
      <c r="E2113" s="31">
        <v>38262</v>
      </c>
      <c r="F2113" s="31" t="s">
        <v>177</v>
      </c>
      <c r="G2113" s="31">
        <v>3526</v>
      </c>
      <c r="H2113" s="31" t="s">
        <v>1170</v>
      </c>
      <c r="I2113" s="38">
        <v>9650</v>
      </c>
    </row>
    <row r="2114" spans="1:10" x14ac:dyDescent="0.35">
      <c r="A2114" s="31">
        <v>1056.5</v>
      </c>
      <c r="B2114" s="19"/>
      <c r="C2114" s="1" t="s">
        <v>150</v>
      </c>
      <c r="D2114" s="37">
        <v>45900</v>
      </c>
      <c r="E2114" s="31">
        <v>38262</v>
      </c>
      <c r="F2114" s="31" t="s">
        <v>177</v>
      </c>
      <c r="G2114" s="31">
        <v>3526</v>
      </c>
      <c r="H2114" s="31" t="s">
        <v>1170</v>
      </c>
      <c r="J2114" s="38">
        <v>9650</v>
      </c>
    </row>
    <row r="2115" spans="1:10" x14ac:dyDescent="0.35">
      <c r="A2115" s="31">
        <v>1057</v>
      </c>
      <c r="B2115" s="19" t="s">
        <v>17</v>
      </c>
      <c r="C2115" s="1"/>
      <c r="D2115" s="37">
        <v>45900</v>
      </c>
      <c r="E2115" s="31" t="s">
        <v>1086</v>
      </c>
      <c r="F2115" s="31" t="s">
        <v>177</v>
      </c>
      <c r="G2115" s="31">
        <v>3526</v>
      </c>
      <c r="H2115" s="31" t="s">
        <v>1170</v>
      </c>
      <c r="I2115" s="38">
        <v>3395.46</v>
      </c>
    </row>
    <row r="2116" spans="1:10" x14ac:dyDescent="0.35">
      <c r="A2116" s="31">
        <v>1057.5</v>
      </c>
      <c r="B2116" s="19"/>
      <c r="C2116" s="1" t="s">
        <v>150</v>
      </c>
      <c r="D2116" s="37">
        <v>45900</v>
      </c>
      <c r="E2116" s="31" t="s">
        <v>1086</v>
      </c>
      <c r="F2116" s="31" t="s">
        <v>177</v>
      </c>
      <c r="G2116" s="31">
        <v>3526</v>
      </c>
      <c r="H2116" s="31" t="s">
        <v>1170</v>
      </c>
      <c r="J2116" s="38">
        <v>3395.46</v>
      </c>
    </row>
    <row r="2117" spans="1:10" x14ac:dyDescent="0.35">
      <c r="A2117" s="31">
        <v>1058</v>
      </c>
      <c r="B2117" s="19" t="s">
        <v>17</v>
      </c>
      <c r="C2117" s="1"/>
      <c r="D2117" s="37">
        <v>45900</v>
      </c>
      <c r="E2117" s="31">
        <v>38527</v>
      </c>
      <c r="F2117" s="31" t="s">
        <v>1098</v>
      </c>
      <c r="G2117" s="31">
        <v>540</v>
      </c>
      <c r="H2117" s="31" t="s">
        <v>1170</v>
      </c>
      <c r="I2117" s="38">
        <v>500</v>
      </c>
    </row>
    <row r="2118" spans="1:10" x14ac:dyDescent="0.35">
      <c r="A2118" s="31">
        <v>1058.5</v>
      </c>
      <c r="B2118" s="19"/>
      <c r="C2118" s="1" t="s">
        <v>150</v>
      </c>
      <c r="D2118" s="37">
        <v>45900</v>
      </c>
      <c r="E2118" s="31">
        <v>38527</v>
      </c>
      <c r="F2118" s="31" t="s">
        <v>1098</v>
      </c>
      <c r="G2118" s="31">
        <v>540</v>
      </c>
      <c r="H2118" s="31" t="s">
        <v>1170</v>
      </c>
      <c r="J2118" s="38">
        <v>500</v>
      </c>
    </row>
    <row r="2119" spans="1:10" x14ac:dyDescent="0.35">
      <c r="A2119" s="31">
        <v>1059</v>
      </c>
      <c r="B2119" s="19" t="s">
        <v>17</v>
      </c>
      <c r="C2119" s="1"/>
      <c r="D2119" s="37">
        <v>45900</v>
      </c>
      <c r="E2119" s="31">
        <v>38557</v>
      </c>
      <c r="F2119" s="31" t="s">
        <v>50</v>
      </c>
      <c r="G2119" s="31">
        <v>1938</v>
      </c>
      <c r="H2119" s="31" t="s">
        <v>1170</v>
      </c>
      <c r="I2119" s="38">
        <v>4381.5</v>
      </c>
    </row>
    <row r="2120" spans="1:10" x14ac:dyDescent="0.35">
      <c r="A2120" s="31">
        <v>1059.5</v>
      </c>
      <c r="B2120" s="19"/>
      <c r="C2120" s="1" t="s">
        <v>150</v>
      </c>
      <c r="D2120" s="37">
        <v>45900</v>
      </c>
      <c r="E2120" s="31">
        <v>38557</v>
      </c>
      <c r="F2120" s="31" t="s">
        <v>50</v>
      </c>
      <c r="G2120" s="31">
        <v>1938</v>
      </c>
      <c r="H2120" s="31" t="s">
        <v>1170</v>
      </c>
      <c r="J2120" s="38">
        <v>4381.5</v>
      </c>
    </row>
    <row r="2121" spans="1:10" x14ac:dyDescent="0.35">
      <c r="A2121" s="31">
        <v>1060</v>
      </c>
      <c r="B2121" s="19" t="s">
        <v>17</v>
      </c>
      <c r="C2121" s="1"/>
      <c r="D2121" s="37">
        <v>45900</v>
      </c>
      <c r="E2121" s="31">
        <v>38621</v>
      </c>
      <c r="F2121" s="31" t="s">
        <v>1027</v>
      </c>
      <c r="G2121" s="31">
        <v>3397</v>
      </c>
      <c r="H2121" s="31" t="s">
        <v>1170</v>
      </c>
      <c r="I2121" s="38">
        <v>600</v>
      </c>
    </row>
    <row r="2122" spans="1:10" x14ac:dyDescent="0.35">
      <c r="A2122" s="31">
        <v>1060.5</v>
      </c>
      <c r="B2122" s="19"/>
      <c r="C2122" s="1" t="s">
        <v>150</v>
      </c>
      <c r="D2122" s="37">
        <v>45900</v>
      </c>
      <c r="E2122" s="31">
        <v>38621</v>
      </c>
      <c r="F2122" s="31" t="s">
        <v>1027</v>
      </c>
      <c r="G2122" s="31">
        <v>3397</v>
      </c>
      <c r="H2122" s="31" t="s">
        <v>1170</v>
      </c>
      <c r="J2122" s="38">
        <v>600</v>
      </c>
    </row>
    <row r="2123" spans="1:10" x14ac:dyDescent="0.35">
      <c r="A2123" s="31">
        <v>1061</v>
      </c>
      <c r="B2123" s="19" t="s">
        <v>17</v>
      </c>
      <c r="C2123" s="1"/>
      <c r="D2123" s="37">
        <v>45900</v>
      </c>
      <c r="E2123" s="31">
        <v>38726</v>
      </c>
      <c r="F2123" s="31" t="s">
        <v>1110</v>
      </c>
      <c r="G2123" s="31">
        <v>1933</v>
      </c>
      <c r="H2123" s="31" t="s">
        <v>1170</v>
      </c>
      <c r="I2123" s="38">
        <v>170</v>
      </c>
    </row>
    <row r="2124" spans="1:10" x14ac:dyDescent="0.35">
      <c r="A2124" s="31">
        <v>1061.5</v>
      </c>
      <c r="B2124" s="19"/>
      <c r="C2124" s="1" t="s">
        <v>150</v>
      </c>
      <c r="D2124" s="37">
        <v>45900</v>
      </c>
      <c r="E2124" s="31">
        <v>38726</v>
      </c>
      <c r="F2124" s="31" t="s">
        <v>1110</v>
      </c>
      <c r="G2124" s="31">
        <v>1933</v>
      </c>
      <c r="H2124" s="31" t="s">
        <v>1170</v>
      </c>
      <c r="J2124" s="38">
        <v>170</v>
      </c>
    </row>
    <row r="2125" spans="1:10" x14ac:dyDescent="0.35">
      <c r="A2125" s="31">
        <v>1062</v>
      </c>
      <c r="B2125" s="19" t="s">
        <v>17</v>
      </c>
      <c r="C2125" s="1"/>
      <c r="D2125" s="37">
        <v>45900</v>
      </c>
      <c r="E2125" s="31">
        <v>38744</v>
      </c>
      <c r="F2125" s="31" t="s">
        <v>1113</v>
      </c>
      <c r="G2125" s="31">
        <v>632</v>
      </c>
      <c r="H2125" s="31" t="s">
        <v>1170</v>
      </c>
      <c r="I2125" s="38">
        <v>650</v>
      </c>
    </row>
    <row r="2126" spans="1:10" x14ac:dyDescent="0.35">
      <c r="A2126" s="31">
        <v>1062.5</v>
      </c>
      <c r="B2126" s="19"/>
      <c r="C2126" s="1" t="s">
        <v>150</v>
      </c>
      <c r="D2126" s="37">
        <v>45900</v>
      </c>
      <c r="E2126" s="31">
        <v>38744</v>
      </c>
      <c r="F2126" s="31" t="s">
        <v>1113</v>
      </c>
      <c r="G2126" s="31">
        <v>632</v>
      </c>
      <c r="H2126" s="31" t="s">
        <v>1170</v>
      </c>
      <c r="J2126" s="38">
        <v>650</v>
      </c>
    </row>
    <row r="2127" spans="1:10" x14ac:dyDescent="0.35">
      <c r="A2127" s="31">
        <v>1063</v>
      </c>
      <c r="B2127" s="19" t="s">
        <v>17</v>
      </c>
      <c r="C2127" s="1"/>
      <c r="D2127" s="37">
        <v>45900</v>
      </c>
      <c r="E2127" s="31">
        <v>38758</v>
      </c>
      <c r="F2127" s="31" t="s">
        <v>722</v>
      </c>
      <c r="G2127" s="31">
        <v>2346</v>
      </c>
      <c r="H2127" s="31" t="s">
        <v>1170</v>
      </c>
      <c r="I2127" s="38">
        <v>16.260000000000002</v>
      </c>
    </row>
    <row r="2128" spans="1:10" x14ac:dyDescent="0.35">
      <c r="A2128" s="31">
        <v>1063.5</v>
      </c>
      <c r="B2128" s="19"/>
      <c r="C2128" s="1" t="s">
        <v>150</v>
      </c>
      <c r="D2128" s="37">
        <v>45900</v>
      </c>
      <c r="E2128" s="31">
        <v>38758</v>
      </c>
      <c r="F2128" s="31" t="s">
        <v>722</v>
      </c>
      <c r="G2128" s="31">
        <v>2346</v>
      </c>
      <c r="H2128" s="31" t="s">
        <v>1170</v>
      </c>
      <c r="J2128" s="38">
        <v>16.260000000000002</v>
      </c>
    </row>
    <row r="2129" spans="1:10" x14ac:dyDescent="0.35">
      <c r="A2129" s="31">
        <v>1064</v>
      </c>
      <c r="B2129" s="19" t="s">
        <v>17</v>
      </c>
      <c r="C2129" s="1"/>
      <c r="D2129" s="37">
        <v>45900</v>
      </c>
      <c r="E2129" s="31">
        <v>38800</v>
      </c>
      <c r="F2129" s="31" t="s">
        <v>1118</v>
      </c>
      <c r="G2129" s="31">
        <v>2415</v>
      </c>
      <c r="H2129" s="31" t="s">
        <v>1170</v>
      </c>
      <c r="I2129" s="38">
        <v>534.33000000000004</v>
      </c>
    </row>
    <row r="2130" spans="1:10" x14ac:dyDescent="0.35">
      <c r="A2130" s="31">
        <v>1064.5</v>
      </c>
      <c r="B2130" s="19"/>
      <c r="C2130" s="1" t="s">
        <v>150</v>
      </c>
      <c r="D2130" s="37">
        <v>45900</v>
      </c>
      <c r="E2130" s="31">
        <v>38800</v>
      </c>
      <c r="F2130" s="31" t="s">
        <v>1118</v>
      </c>
      <c r="G2130" s="31">
        <v>2415</v>
      </c>
      <c r="H2130" s="31" t="s">
        <v>1170</v>
      </c>
      <c r="J2130" s="38">
        <v>534.33000000000004</v>
      </c>
    </row>
    <row r="2131" spans="1:10" x14ac:dyDescent="0.35">
      <c r="A2131" s="31">
        <v>1065</v>
      </c>
      <c r="B2131" s="19" t="s">
        <v>17</v>
      </c>
      <c r="C2131" s="1"/>
      <c r="D2131" s="37">
        <v>45900</v>
      </c>
      <c r="E2131" s="31">
        <v>38801</v>
      </c>
      <c r="F2131" s="31" t="s">
        <v>1119</v>
      </c>
      <c r="G2131" s="31">
        <v>2334</v>
      </c>
      <c r="H2131" s="31" t="s">
        <v>1170</v>
      </c>
      <c r="I2131" s="38">
        <v>44.73</v>
      </c>
    </row>
    <row r="2132" spans="1:10" x14ac:dyDescent="0.35">
      <c r="A2132" s="31">
        <v>1065.5</v>
      </c>
      <c r="B2132" s="19"/>
      <c r="C2132" s="1" t="s">
        <v>150</v>
      </c>
      <c r="D2132" s="37">
        <v>45900</v>
      </c>
      <c r="E2132" s="31">
        <v>38801</v>
      </c>
      <c r="F2132" s="31" t="s">
        <v>1119</v>
      </c>
      <c r="G2132" s="31">
        <v>2334</v>
      </c>
      <c r="H2132" s="31" t="s">
        <v>1170</v>
      </c>
      <c r="J2132" s="38">
        <v>44.73</v>
      </c>
    </row>
    <row r="2133" spans="1:10" x14ac:dyDescent="0.35">
      <c r="A2133" s="31">
        <v>1066</v>
      </c>
      <c r="B2133" s="19" t="s">
        <v>17</v>
      </c>
      <c r="C2133" s="1"/>
      <c r="D2133" s="37">
        <v>45900</v>
      </c>
      <c r="E2133" s="31">
        <v>38803</v>
      </c>
      <c r="F2133" s="31" t="s">
        <v>1120</v>
      </c>
      <c r="G2133" s="31">
        <v>2349</v>
      </c>
      <c r="H2133" s="31" t="s">
        <v>1170</v>
      </c>
      <c r="I2133" s="38">
        <v>250</v>
      </c>
    </row>
    <row r="2134" spans="1:10" x14ac:dyDescent="0.35">
      <c r="A2134" s="31">
        <v>1066.5</v>
      </c>
      <c r="B2134" s="19"/>
      <c r="C2134" s="1" t="s">
        <v>150</v>
      </c>
      <c r="D2134" s="37">
        <v>45900</v>
      </c>
      <c r="E2134" s="31">
        <v>38803</v>
      </c>
      <c r="F2134" s="31" t="s">
        <v>1120</v>
      </c>
      <c r="G2134" s="31">
        <v>2349</v>
      </c>
      <c r="H2134" s="31" t="s">
        <v>1170</v>
      </c>
      <c r="J2134" s="38">
        <v>250</v>
      </c>
    </row>
    <row r="2135" spans="1:10" x14ac:dyDescent="0.35">
      <c r="A2135" s="31">
        <v>1067</v>
      </c>
      <c r="B2135" s="19" t="s">
        <v>17</v>
      </c>
      <c r="C2135" s="1"/>
      <c r="D2135" s="37">
        <v>45900</v>
      </c>
      <c r="E2135" s="31">
        <v>38807</v>
      </c>
      <c r="F2135" s="31" t="s">
        <v>1175</v>
      </c>
      <c r="G2135" s="31">
        <v>2329</v>
      </c>
      <c r="H2135" s="31" t="s">
        <v>1170</v>
      </c>
      <c r="I2135" s="38">
        <v>9967.1999999999989</v>
      </c>
    </row>
    <row r="2136" spans="1:10" x14ac:dyDescent="0.35">
      <c r="A2136" s="31">
        <v>1067.5</v>
      </c>
      <c r="B2136" s="19"/>
      <c r="C2136" s="1" t="s">
        <v>150</v>
      </c>
      <c r="D2136" s="37">
        <v>45900</v>
      </c>
      <c r="E2136" s="31">
        <v>38807</v>
      </c>
      <c r="F2136" s="31" t="s">
        <v>1175</v>
      </c>
      <c r="G2136" s="31">
        <v>2329</v>
      </c>
      <c r="H2136" s="31" t="s">
        <v>1170</v>
      </c>
      <c r="J2136" s="38">
        <v>9967.1999999999989</v>
      </c>
    </row>
    <row r="2137" spans="1:10" x14ac:dyDescent="0.35">
      <c r="A2137" s="31">
        <v>1068</v>
      </c>
      <c r="B2137" s="19" t="s">
        <v>17</v>
      </c>
      <c r="C2137" s="1"/>
      <c r="D2137" s="37">
        <v>45900</v>
      </c>
      <c r="E2137" s="31">
        <v>38820</v>
      </c>
      <c r="F2137" s="31" t="s">
        <v>1126</v>
      </c>
      <c r="G2137" s="31">
        <v>2347</v>
      </c>
      <c r="H2137" s="31" t="s">
        <v>1170</v>
      </c>
      <c r="I2137" s="38">
        <v>-50000</v>
      </c>
    </row>
    <row r="2138" spans="1:10" x14ac:dyDescent="0.35">
      <c r="A2138" s="31">
        <v>1068.5</v>
      </c>
      <c r="B2138" s="19"/>
      <c r="C2138" s="1" t="s">
        <v>150</v>
      </c>
      <c r="D2138" s="37">
        <v>45900</v>
      </c>
      <c r="E2138" s="31">
        <v>38820</v>
      </c>
      <c r="F2138" s="31" t="s">
        <v>1126</v>
      </c>
      <c r="G2138" s="31">
        <v>2347</v>
      </c>
      <c r="H2138" s="31" t="s">
        <v>1170</v>
      </c>
      <c r="J2138" s="38">
        <v>-50000</v>
      </c>
    </row>
    <row r="2139" spans="1:10" x14ac:dyDescent="0.35">
      <c r="A2139" s="31">
        <v>1069</v>
      </c>
      <c r="B2139" s="19" t="s">
        <v>17</v>
      </c>
      <c r="C2139" s="1"/>
      <c r="D2139" s="37">
        <v>45900</v>
      </c>
      <c r="E2139" s="31">
        <v>38822</v>
      </c>
      <c r="F2139" s="31" t="s">
        <v>1176</v>
      </c>
      <c r="G2139" s="31">
        <v>2273</v>
      </c>
      <c r="H2139" s="31" t="s">
        <v>1170</v>
      </c>
      <c r="I2139" s="38">
        <v>4332.9799999999996</v>
      </c>
    </row>
    <row r="2140" spans="1:10" x14ac:dyDescent="0.35">
      <c r="A2140" s="31">
        <v>1069.5</v>
      </c>
      <c r="B2140" s="19"/>
      <c r="C2140" s="1" t="s">
        <v>150</v>
      </c>
      <c r="D2140" s="37">
        <v>45900</v>
      </c>
      <c r="E2140" s="31">
        <v>38822</v>
      </c>
      <c r="F2140" s="31" t="s">
        <v>1176</v>
      </c>
      <c r="G2140" s="31">
        <v>2273</v>
      </c>
      <c r="H2140" s="31" t="s">
        <v>1170</v>
      </c>
      <c r="J2140" s="38">
        <v>4332.9799999999996</v>
      </c>
    </row>
    <row r="2141" spans="1:10" x14ac:dyDescent="0.35">
      <c r="A2141" s="31">
        <v>1070</v>
      </c>
      <c r="B2141" s="19" t="s">
        <v>17</v>
      </c>
      <c r="C2141" s="1"/>
      <c r="D2141" s="37">
        <v>45900</v>
      </c>
      <c r="E2141" s="31">
        <v>38835</v>
      </c>
      <c r="F2141" s="31" t="s">
        <v>1130</v>
      </c>
      <c r="G2141" s="31">
        <v>3566</v>
      </c>
      <c r="H2141" s="31" t="s">
        <v>1170</v>
      </c>
      <c r="I2141" s="38">
        <v>51.69</v>
      </c>
    </row>
    <row r="2142" spans="1:10" x14ac:dyDescent="0.35">
      <c r="A2142" s="31">
        <v>1070.5</v>
      </c>
      <c r="B2142" s="19"/>
      <c r="C2142" s="1" t="s">
        <v>150</v>
      </c>
      <c r="D2142" s="37">
        <v>45900</v>
      </c>
      <c r="E2142" s="31">
        <v>38835</v>
      </c>
      <c r="F2142" s="31" t="s">
        <v>1130</v>
      </c>
      <c r="G2142" s="31">
        <v>3566</v>
      </c>
      <c r="H2142" s="31" t="s">
        <v>1170</v>
      </c>
      <c r="J2142" s="38">
        <v>51.69</v>
      </c>
    </row>
    <row r="2143" spans="1:10" x14ac:dyDescent="0.35">
      <c r="A2143" s="31">
        <v>1071</v>
      </c>
      <c r="B2143" s="19" t="s">
        <v>17</v>
      </c>
      <c r="C2143" s="1"/>
      <c r="D2143" s="37">
        <v>45900</v>
      </c>
      <c r="E2143" s="31">
        <v>38843</v>
      </c>
      <c r="F2143" s="31" t="s">
        <v>918</v>
      </c>
      <c r="G2143" s="31">
        <v>596</v>
      </c>
      <c r="H2143" s="31" t="s">
        <v>1170</v>
      </c>
      <c r="I2143" s="38">
        <v>17.18</v>
      </c>
    </row>
    <row r="2144" spans="1:10" x14ac:dyDescent="0.35">
      <c r="A2144" s="31">
        <v>1071.5</v>
      </c>
      <c r="B2144" s="19"/>
      <c r="C2144" s="1" t="s">
        <v>150</v>
      </c>
      <c r="D2144" s="37">
        <v>45900</v>
      </c>
      <c r="E2144" s="31">
        <v>38843</v>
      </c>
      <c r="F2144" s="31" t="s">
        <v>918</v>
      </c>
      <c r="G2144" s="31">
        <v>596</v>
      </c>
      <c r="H2144" s="31" t="s">
        <v>1170</v>
      </c>
      <c r="J2144" s="38">
        <v>17.18</v>
      </c>
    </row>
    <row r="2145" spans="1:10" x14ac:dyDescent="0.35">
      <c r="A2145" s="31">
        <v>1072</v>
      </c>
      <c r="B2145" s="19" t="s">
        <v>17</v>
      </c>
      <c r="C2145" s="1"/>
      <c r="D2145" s="37">
        <v>45900</v>
      </c>
      <c r="E2145" s="31">
        <v>38852</v>
      </c>
      <c r="F2145" s="31" t="s">
        <v>886</v>
      </c>
      <c r="G2145" s="31">
        <v>2450</v>
      </c>
      <c r="H2145" s="31" t="s">
        <v>1170</v>
      </c>
      <c r="I2145" s="38">
        <v>2894.52</v>
      </c>
    </row>
    <row r="2146" spans="1:10" x14ac:dyDescent="0.35">
      <c r="A2146" s="31">
        <v>1072.5</v>
      </c>
      <c r="B2146" s="19"/>
      <c r="C2146" s="1" t="s">
        <v>150</v>
      </c>
      <c r="D2146" s="37">
        <v>45900</v>
      </c>
      <c r="E2146" s="31">
        <v>38852</v>
      </c>
      <c r="F2146" s="31" t="s">
        <v>886</v>
      </c>
      <c r="G2146" s="31">
        <v>2450</v>
      </c>
      <c r="H2146" s="31" t="s">
        <v>1170</v>
      </c>
      <c r="J2146" s="38">
        <v>2894.52</v>
      </c>
    </row>
    <row r="2147" spans="1:10" x14ac:dyDescent="0.35">
      <c r="A2147" s="31">
        <v>1073</v>
      </c>
      <c r="B2147" s="19" t="s">
        <v>17</v>
      </c>
      <c r="C2147" s="1"/>
      <c r="D2147" s="37">
        <v>45900</v>
      </c>
      <c r="E2147" s="31">
        <v>38853</v>
      </c>
      <c r="F2147" s="31" t="s">
        <v>1133</v>
      </c>
      <c r="G2147" s="31">
        <v>2524</v>
      </c>
      <c r="H2147" s="31" t="s">
        <v>1170</v>
      </c>
      <c r="I2147" s="38">
        <v>55</v>
      </c>
    </row>
    <row r="2148" spans="1:10" x14ac:dyDescent="0.35">
      <c r="A2148" s="31">
        <v>1073.5</v>
      </c>
      <c r="B2148" s="19"/>
      <c r="C2148" s="1" t="s">
        <v>150</v>
      </c>
      <c r="D2148" s="37">
        <v>45900</v>
      </c>
      <c r="E2148" s="31">
        <v>38853</v>
      </c>
      <c r="F2148" s="31" t="s">
        <v>1133</v>
      </c>
      <c r="G2148" s="31">
        <v>2524</v>
      </c>
      <c r="H2148" s="31" t="s">
        <v>1170</v>
      </c>
      <c r="J2148" s="38">
        <v>55</v>
      </c>
    </row>
    <row r="2149" spans="1:10" x14ac:dyDescent="0.35">
      <c r="A2149" s="31">
        <v>1074</v>
      </c>
      <c r="B2149" s="19" t="s">
        <v>17</v>
      </c>
      <c r="C2149" s="1"/>
      <c r="D2149" s="37">
        <v>45900</v>
      </c>
      <c r="E2149" s="31">
        <v>38854</v>
      </c>
      <c r="F2149" s="31" t="s">
        <v>1134</v>
      </c>
      <c r="G2149" s="31">
        <v>2441</v>
      </c>
      <c r="H2149" s="31" t="s">
        <v>1170</v>
      </c>
      <c r="I2149" s="38">
        <v>189.46</v>
      </c>
    </row>
    <row r="2150" spans="1:10" x14ac:dyDescent="0.35">
      <c r="A2150" s="31">
        <v>1074.5</v>
      </c>
      <c r="B2150" s="19"/>
      <c r="C2150" s="1" t="s">
        <v>150</v>
      </c>
      <c r="D2150" s="37">
        <v>45900</v>
      </c>
      <c r="E2150" s="31">
        <v>38854</v>
      </c>
      <c r="F2150" s="31" t="s">
        <v>1134</v>
      </c>
      <c r="G2150" s="31">
        <v>2441</v>
      </c>
      <c r="H2150" s="31" t="s">
        <v>1170</v>
      </c>
      <c r="J2150" s="38">
        <v>189.46</v>
      </c>
    </row>
    <row r="2151" spans="1:10" x14ac:dyDescent="0.35">
      <c r="A2151" s="31">
        <v>1075</v>
      </c>
      <c r="B2151" s="19" t="s">
        <v>17</v>
      </c>
      <c r="C2151" s="1"/>
      <c r="D2151" s="37">
        <v>45900</v>
      </c>
      <c r="E2151" s="31">
        <v>38865</v>
      </c>
      <c r="F2151" s="31" t="s">
        <v>1137</v>
      </c>
      <c r="G2151" s="31">
        <v>2455</v>
      </c>
      <c r="H2151" s="31" t="s">
        <v>1170</v>
      </c>
      <c r="I2151" s="38">
        <v>10.41</v>
      </c>
    </row>
    <row r="2152" spans="1:10" x14ac:dyDescent="0.35">
      <c r="A2152" s="31">
        <v>1075.5</v>
      </c>
      <c r="B2152" s="19"/>
      <c r="C2152" s="1" t="s">
        <v>150</v>
      </c>
      <c r="D2152" s="37">
        <v>45900</v>
      </c>
      <c r="E2152" s="31">
        <v>38865</v>
      </c>
      <c r="F2152" s="31" t="s">
        <v>1137</v>
      </c>
      <c r="G2152" s="31">
        <v>2455</v>
      </c>
      <c r="H2152" s="31" t="s">
        <v>1170</v>
      </c>
      <c r="J2152" s="38">
        <v>10.41</v>
      </c>
    </row>
    <row r="2153" spans="1:10" x14ac:dyDescent="0.35">
      <c r="A2153" s="31">
        <v>1076</v>
      </c>
      <c r="B2153" s="19" t="s">
        <v>17</v>
      </c>
      <c r="C2153" s="1"/>
      <c r="D2153" s="37">
        <v>45900</v>
      </c>
      <c r="E2153" s="31">
        <v>38884</v>
      </c>
      <c r="F2153" s="31" t="s">
        <v>1136</v>
      </c>
      <c r="G2153" s="31">
        <v>2306</v>
      </c>
      <c r="H2153" s="31" t="s">
        <v>1170</v>
      </c>
      <c r="I2153" s="38">
        <v>13.39</v>
      </c>
    </row>
    <row r="2154" spans="1:10" x14ac:dyDescent="0.35">
      <c r="A2154" s="31">
        <v>1076.5</v>
      </c>
      <c r="B2154" s="19"/>
      <c r="C2154" s="1" t="s">
        <v>150</v>
      </c>
      <c r="D2154" s="37">
        <v>45900</v>
      </c>
      <c r="E2154" s="31">
        <v>38884</v>
      </c>
      <c r="F2154" s="31" t="s">
        <v>1136</v>
      </c>
      <c r="G2154" s="31">
        <v>2306</v>
      </c>
      <c r="H2154" s="31" t="s">
        <v>1170</v>
      </c>
      <c r="J2154" s="38">
        <v>13.39</v>
      </c>
    </row>
    <row r="2155" spans="1:10" x14ac:dyDescent="0.35">
      <c r="A2155" s="31">
        <v>1077</v>
      </c>
      <c r="B2155" s="19" t="s">
        <v>17</v>
      </c>
      <c r="C2155" s="1"/>
      <c r="D2155" s="37">
        <v>45900</v>
      </c>
      <c r="E2155" s="31">
        <v>38905</v>
      </c>
      <c r="F2155" s="31" t="s">
        <v>1177</v>
      </c>
      <c r="G2155" s="31">
        <v>2166</v>
      </c>
      <c r="H2155" s="31" t="s">
        <v>1170</v>
      </c>
      <c r="I2155" s="38">
        <v>45000</v>
      </c>
    </row>
    <row r="2156" spans="1:10" x14ac:dyDescent="0.35">
      <c r="A2156" s="31">
        <v>1077.5</v>
      </c>
      <c r="B2156" s="19"/>
      <c r="C2156" s="1" t="s">
        <v>150</v>
      </c>
      <c r="D2156" s="37">
        <v>45900</v>
      </c>
      <c r="E2156" s="31">
        <v>38905</v>
      </c>
      <c r="F2156" s="31" t="s">
        <v>1177</v>
      </c>
      <c r="G2156" s="31">
        <v>2166</v>
      </c>
      <c r="H2156" s="31" t="s">
        <v>1170</v>
      </c>
      <c r="J2156" s="38">
        <v>45000</v>
      </c>
    </row>
    <row r="2157" spans="1:10" x14ac:dyDescent="0.35">
      <c r="A2157" s="31">
        <v>1078</v>
      </c>
      <c r="B2157" s="19" t="s">
        <v>17</v>
      </c>
      <c r="C2157" s="1"/>
      <c r="D2157" s="37">
        <v>45900</v>
      </c>
      <c r="E2157" s="31">
        <v>38942</v>
      </c>
      <c r="F2157" s="31" t="s">
        <v>1149</v>
      </c>
      <c r="G2157" s="31">
        <v>2413</v>
      </c>
      <c r="H2157" s="31" t="s">
        <v>1170</v>
      </c>
      <c r="I2157" s="38">
        <v>14.91</v>
      </c>
    </row>
    <row r="2158" spans="1:10" x14ac:dyDescent="0.35">
      <c r="A2158" s="31">
        <v>1078.5</v>
      </c>
      <c r="B2158" s="19"/>
      <c r="C2158" s="1" t="s">
        <v>150</v>
      </c>
      <c r="D2158" s="37">
        <v>45900</v>
      </c>
      <c r="E2158" s="31">
        <v>38942</v>
      </c>
      <c r="F2158" s="31" t="s">
        <v>1149</v>
      </c>
      <c r="G2158" s="31">
        <v>2413</v>
      </c>
      <c r="H2158" s="31" t="s">
        <v>1170</v>
      </c>
      <c r="J2158" s="38">
        <v>14.91</v>
      </c>
    </row>
    <row r="2159" spans="1:10" x14ac:dyDescent="0.35">
      <c r="A2159" s="31">
        <v>1079</v>
      </c>
      <c r="B2159" s="19" t="s">
        <v>17</v>
      </c>
      <c r="C2159" s="1"/>
      <c r="D2159" s="37">
        <v>45900</v>
      </c>
      <c r="E2159" s="31">
        <v>38959</v>
      </c>
      <c r="F2159" s="31" t="s">
        <v>228</v>
      </c>
      <c r="G2159" s="31">
        <v>1934</v>
      </c>
      <c r="H2159" s="31" t="s">
        <v>1170</v>
      </c>
      <c r="I2159" s="38">
        <v>1415.38</v>
      </c>
    </row>
    <row r="2160" spans="1:10" x14ac:dyDescent="0.35">
      <c r="A2160" s="31">
        <v>1079.5</v>
      </c>
      <c r="B2160" s="19"/>
      <c r="C2160" s="1" t="s">
        <v>150</v>
      </c>
      <c r="D2160" s="37">
        <v>45900</v>
      </c>
      <c r="E2160" s="31">
        <v>38959</v>
      </c>
      <c r="F2160" s="31" t="s">
        <v>228</v>
      </c>
      <c r="G2160" s="31">
        <v>1934</v>
      </c>
      <c r="H2160" s="31" t="s">
        <v>1170</v>
      </c>
      <c r="J2160" s="38">
        <v>1415.38</v>
      </c>
    </row>
    <row r="2161" spans="1:10" x14ac:dyDescent="0.35">
      <c r="A2161" s="31">
        <v>1080</v>
      </c>
      <c r="B2161" s="19" t="s">
        <v>17</v>
      </c>
      <c r="C2161" s="1"/>
      <c r="D2161" s="37">
        <v>45900</v>
      </c>
      <c r="E2161" s="31">
        <v>38987</v>
      </c>
      <c r="F2161" s="31" t="s">
        <v>248</v>
      </c>
      <c r="G2161" s="31">
        <v>2348</v>
      </c>
      <c r="H2161" s="31" t="s">
        <v>1170</v>
      </c>
      <c r="I2161" s="38">
        <v>514.48</v>
      </c>
    </row>
    <row r="2162" spans="1:10" x14ac:dyDescent="0.35">
      <c r="A2162" s="31">
        <v>1080.5</v>
      </c>
      <c r="B2162" s="19"/>
      <c r="C2162" s="1" t="s">
        <v>150</v>
      </c>
      <c r="D2162" s="37">
        <v>45900</v>
      </c>
      <c r="E2162" s="31">
        <v>38987</v>
      </c>
      <c r="F2162" s="31" t="s">
        <v>248</v>
      </c>
      <c r="G2162" s="31">
        <v>2348</v>
      </c>
      <c r="H2162" s="31" t="s">
        <v>1170</v>
      </c>
      <c r="J2162" s="38">
        <v>514.48</v>
      </c>
    </row>
    <row r="2163" spans="1:10" x14ac:dyDescent="0.35">
      <c r="A2163" s="31">
        <v>1081</v>
      </c>
      <c r="B2163" s="19" t="s">
        <v>17</v>
      </c>
      <c r="C2163" s="1"/>
      <c r="D2163" s="37">
        <v>45900</v>
      </c>
      <c r="E2163" s="31">
        <v>38997</v>
      </c>
      <c r="F2163" s="31" t="s">
        <v>128</v>
      </c>
      <c r="G2163" s="31">
        <v>2442</v>
      </c>
      <c r="H2163" s="31" t="s">
        <v>1170</v>
      </c>
      <c r="I2163" s="38">
        <v>1094.5</v>
      </c>
    </row>
    <row r="2164" spans="1:10" x14ac:dyDescent="0.35">
      <c r="A2164" s="31">
        <v>1081.5</v>
      </c>
      <c r="B2164" s="19"/>
      <c r="C2164" s="1" t="s">
        <v>150</v>
      </c>
      <c r="D2164" s="37">
        <v>45900</v>
      </c>
      <c r="E2164" s="31">
        <v>38997</v>
      </c>
      <c r="F2164" s="31" t="s">
        <v>128</v>
      </c>
      <c r="G2164" s="31">
        <v>2442</v>
      </c>
      <c r="H2164" s="31" t="s">
        <v>1170</v>
      </c>
      <c r="J2164" s="38">
        <v>1094.5</v>
      </c>
    </row>
    <row r="2165" spans="1:10" x14ac:dyDescent="0.35">
      <c r="A2165" s="31">
        <v>1082</v>
      </c>
      <c r="B2165" s="19" t="s">
        <v>17</v>
      </c>
      <c r="C2165" s="1"/>
      <c r="D2165" s="37">
        <v>45900</v>
      </c>
      <c r="E2165" s="31">
        <v>39012</v>
      </c>
      <c r="F2165" s="31" t="s">
        <v>918</v>
      </c>
      <c r="G2165" s="31">
        <v>596</v>
      </c>
      <c r="H2165" s="31" t="s">
        <v>1170</v>
      </c>
      <c r="I2165" s="38">
        <v>36000</v>
      </c>
    </row>
    <row r="2166" spans="1:10" x14ac:dyDescent="0.35">
      <c r="A2166" s="31">
        <v>1082.5</v>
      </c>
      <c r="B2166" s="19"/>
      <c r="C2166" s="1" t="s">
        <v>150</v>
      </c>
      <c r="D2166" s="37">
        <v>45900</v>
      </c>
      <c r="E2166" s="31">
        <v>39012</v>
      </c>
      <c r="F2166" s="31" t="s">
        <v>918</v>
      </c>
      <c r="G2166" s="31">
        <v>596</v>
      </c>
      <c r="H2166" s="31" t="s">
        <v>1170</v>
      </c>
      <c r="J2166" s="38">
        <v>36000</v>
      </c>
    </row>
    <row r="2167" spans="1:10" x14ac:dyDescent="0.35">
      <c r="A2167" s="31">
        <v>1083</v>
      </c>
      <c r="B2167" s="19" t="s">
        <v>17</v>
      </c>
      <c r="C2167" s="1"/>
      <c r="D2167" s="37">
        <v>45900</v>
      </c>
      <c r="E2167" s="31">
        <v>39073</v>
      </c>
      <c r="F2167" s="31" t="s">
        <v>1135</v>
      </c>
      <c r="G2167" s="31">
        <v>693</v>
      </c>
      <c r="H2167" s="31" t="s">
        <v>1170</v>
      </c>
      <c r="I2167" s="38">
        <v>425</v>
      </c>
    </row>
    <row r="2168" spans="1:10" x14ac:dyDescent="0.35">
      <c r="A2168" s="31">
        <v>1083.5</v>
      </c>
      <c r="B2168" s="19"/>
      <c r="C2168" s="1" t="s">
        <v>150</v>
      </c>
      <c r="D2168" s="37">
        <v>45900</v>
      </c>
      <c r="E2168" s="31">
        <v>39073</v>
      </c>
      <c r="F2168" s="31" t="s">
        <v>1135</v>
      </c>
      <c r="G2168" s="31">
        <v>693</v>
      </c>
      <c r="H2168" s="31" t="s">
        <v>1170</v>
      </c>
      <c r="J2168" s="38">
        <v>425</v>
      </c>
    </row>
    <row r="2169" spans="1:10" x14ac:dyDescent="0.35">
      <c r="A2169" s="31">
        <v>1084</v>
      </c>
      <c r="B2169" s="19" t="s">
        <v>17</v>
      </c>
      <c r="C2169" s="1"/>
      <c r="D2169" s="37">
        <v>45900</v>
      </c>
      <c r="E2169" s="31">
        <v>39074</v>
      </c>
      <c r="F2169" s="31" t="s">
        <v>1135</v>
      </c>
      <c r="G2169" s="31">
        <v>693</v>
      </c>
      <c r="H2169" s="31" t="s">
        <v>1170</v>
      </c>
      <c r="I2169" s="38">
        <v>425</v>
      </c>
    </row>
    <row r="2170" spans="1:10" x14ac:dyDescent="0.35">
      <c r="A2170" s="31">
        <v>1084.5</v>
      </c>
      <c r="B2170" s="19"/>
      <c r="C2170" s="1" t="s">
        <v>150</v>
      </c>
      <c r="D2170" s="37">
        <v>45900</v>
      </c>
      <c r="E2170" s="31">
        <v>39074</v>
      </c>
      <c r="F2170" s="31" t="s">
        <v>1135</v>
      </c>
      <c r="G2170" s="31">
        <v>693</v>
      </c>
      <c r="H2170" s="31" t="s">
        <v>1170</v>
      </c>
      <c r="J2170" s="38">
        <v>425</v>
      </c>
    </row>
    <row r="2171" spans="1:10" x14ac:dyDescent="0.35">
      <c r="A2171" s="31">
        <v>1085</v>
      </c>
      <c r="B2171" s="19" t="s">
        <v>17</v>
      </c>
      <c r="C2171" s="1"/>
      <c r="D2171" s="37">
        <v>45900</v>
      </c>
      <c r="E2171" s="31">
        <v>39084</v>
      </c>
      <c r="F2171" s="31" t="s">
        <v>1027</v>
      </c>
      <c r="G2171" s="31">
        <v>3397</v>
      </c>
      <c r="H2171" s="31" t="s">
        <v>1170</v>
      </c>
      <c r="I2171" s="38">
        <v>600</v>
      </c>
    </row>
    <row r="2172" spans="1:10" x14ac:dyDescent="0.35">
      <c r="A2172" s="31">
        <v>1085.5</v>
      </c>
      <c r="B2172" s="19"/>
      <c r="C2172" s="1" t="s">
        <v>150</v>
      </c>
      <c r="D2172" s="37">
        <v>45900</v>
      </c>
      <c r="E2172" s="31">
        <v>39084</v>
      </c>
      <c r="F2172" s="31" t="s">
        <v>1027</v>
      </c>
      <c r="G2172" s="31">
        <v>3397</v>
      </c>
      <c r="H2172" s="31" t="s">
        <v>1170</v>
      </c>
      <c r="J2172" s="38">
        <v>600</v>
      </c>
    </row>
    <row r="2173" spans="1:10" x14ac:dyDescent="0.35">
      <c r="A2173" s="31">
        <v>1086</v>
      </c>
      <c r="B2173" s="19" t="s">
        <v>17</v>
      </c>
      <c r="C2173" s="1"/>
      <c r="D2173" s="37">
        <v>45900</v>
      </c>
      <c r="E2173" s="31">
        <v>39086</v>
      </c>
      <c r="F2173" s="31" t="s">
        <v>50</v>
      </c>
      <c r="G2173" s="31">
        <v>1938</v>
      </c>
      <c r="H2173" s="31" t="s">
        <v>1170</v>
      </c>
      <c r="I2173" s="38">
        <v>0</v>
      </c>
    </row>
    <row r="2174" spans="1:10" x14ac:dyDescent="0.35">
      <c r="A2174" s="31">
        <v>1086.5</v>
      </c>
      <c r="B2174" s="19"/>
      <c r="C2174" s="1" t="s">
        <v>150</v>
      </c>
      <c r="D2174" s="37">
        <v>45900</v>
      </c>
      <c r="E2174" s="31">
        <v>39086</v>
      </c>
      <c r="F2174" s="31" t="s">
        <v>50</v>
      </c>
      <c r="G2174" s="31">
        <v>1938</v>
      </c>
      <c r="H2174" s="31" t="s">
        <v>1170</v>
      </c>
      <c r="J2174" s="38">
        <v>0</v>
      </c>
    </row>
    <row r="2175" spans="1:10" x14ac:dyDescent="0.35">
      <c r="A2175" s="31">
        <v>1087</v>
      </c>
      <c r="B2175" s="19" t="s">
        <v>17</v>
      </c>
      <c r="C2175" s="1"/>
      <c r="D2175" s="37">
        <v>45900</v>
      </c>
      <c r="E2175" s="31" t="s">
        <v>1162</v>
      </c>
      <c r="F2175" s="31" t="s">
        <v>50</v>
      </c>
      <c r="G2175" s="31">
        <v>1938</v>
      </c>
      <c r="H2175" s="31" t="s">
        <v>1170</v>
      </c>
      <c r="I2175" s="38">
        <v>0</v>
      </c>
    </row>
    <row r="2176" spans="1:10" x14ac:dyDescent="0.35">
      <c r="A2176" s="31">
        <v>1087.5</v>
      </c>
      <c r="B2176" s="19"/>
      <c r="C2176" s="1" t="s">
        <v>150</v>
      </c>
      <c r="D2176" s="37">
        <v>45900</v>
      </c>
      <c r="E2176" s="31" t="s">
        <v>1162</v>
      </c>
      <c r="F2176" s="31" t="s">
        <v>50</v>
      </c>
      <c r="G2176" s="31">
        <v>1938</v>
      </c>
      <c r="H2176" s="31" t="s">
        <v>1170</v>
      </c>
      <c r="J2176" s="38">
        <v>0</v>
      </c>
    </row>
    <row r="2177" spans="1:10" x14ac:dyDescent="0.35">
      <c r="A2177" s="31">
        <v>1088</v>
      </c>
      <c r="B2177" s="19" t="s">
        <v>17</v>
      </c>
      <c r="D2177" s="37">
        <v>45873</v>
      </c>
      <c r="E2177" s="31" t="s">
        <v>162</v>
      </c>
      <c r="F2177" s="31" t="s">
        <v>55</v>
      </c>
      <c r="G2177" s="31">
        <v>3335</v>
      </c>
      <c r="H2177" s="31" t="s">
        <v>1178</v>
      </c>
      <c r="I2177" s="38">
        <v>22599.1</v>
      </c>
    </row>
    <row r="2178" spans="1:10" x14ac:dyDescent="0.35">
      <c r="A2178" s="31">
        <v>1088.5</v>
      </c>
      <c r="B2178" s="19"/>
      <c r="C2178" s="31" t="s">
        <v>151</v>
      </c>
      <c r="D2178" s="37">
        <v>45873</v>
      </c>
      <c r="E2178" s="31" t="s">
        <v>162</v>
      </c>
      <c r="F2178" s="31" t="s">
        <v>55</v>
      </c>
      <c r="G2178" s="31">
        <v>3335</v>
      </c>
      <c r="H2178" s="31" t="s">
        <v>1178</v>
      </c>
      <c r="J2178" s="38">
        <v>22599.1</v>
      </c>
    </row>
    <row r="2179" spans="1:10" x14ac:dyDescent="0.35">
      <c r="A2179" s="31">
        <v>1089</v>
      </c>
      <c r="B2179" s="19" t="s">
        <v>17</v>
      </c>
      <c r="D2179" s="37">
        <v>45873</v>
      </c>
      <c r="E2179" s="31">
        <v>38633</v>
      </c>
      <c r="F2179" s="31" t="s">
        <v>164</v>
      </c>
      <c r="G2179" s="31">
        <v>2708</v>
      </c>
      <c r="H2179" s="31" t="s">
        <v>1178</v>
      </c>
      <c r="I2179" s="38">
        <v>257.11</v>
      </c>
    </row>
    <row r="2180" spans="1:10" x14ac:dyDescent="0.35">
      <c r="A2180" s="31">
        <v>1089.5</v>
      </c>
      <c r="B2180" s="19"/>
      <c r="C2180" s="31" t="s">
        <v>151</v>
      </c>
      <c r="D2180" s="37">
        <v>45873</v>
      </c>
      <c r="E2180" s="31">
        <v>38633</v>
      </c>
      <c r="F2180" s="31" t="s">
        <v>164</v>
      </c>
      <c r="G2180" s="31">
        <v>2708</v>
      </c>
      <c r="H2180" s="31" t="s">
        <v>1178</v>
      </c>
      <c r="J2180" s="38">
        <v>257.11</v>
      </c>
    </row>
    <row r="2181" spans="1:10" x14ac:dyDescent="0.35">
      <c r="A2181" s="31">
        <v>1090</v>
      </c>
      <c r="B2181" s="19" t="s">
        <v>17</v>
      </c>
      <c r="D2181" s="37">
        <v>45876</v>
      </c>
      <c r="E2181" s="31">
        <v>37687</v>
      </c>
      <c r="F2181" s="31" t="s">
        <v>75</v>
      </c>
      <c r="G2181" s="31">
        <v>3320</v>
      </c>
      <c r="H2181" s="31" t="s">
        <v>1178</v>
      </c>
      <c r="I2181" s="38">
        <v>50.4</v>
      </c>
    </row>
    <row r="2182" spans="1:10" x14ac:dyDescent="0.35">
      <c r="A2182" s="31">
        <v>1090.5</v>
      </c>
      <c r="B2182" s="19"/>
      <c r="C2182" s="31" t="s">
        <v>151</v>
      </c>
      <c r="D2182" s="37">
        <v>45876</v>
      </c>
      <c r="E2182" s="31">
        <v>37687</v>
      </c>
      <c r="F2182" s="31" t="s">
        <v>75</v>
      </c>
      <c r="G2182" s="31">
        <v>3320</v>
      </c>
      <c r="H2182" s="31" t="s">
        <v>1178</v>
      </c>
      <c r="J2182" s="38">
        <v>50.4</v>
      </c>
    </row>
    <row r="2183" spans="1:10" x14ac:dyDescent="0.35">
      <c r="A2183" s="31">
        <v>1091</v>
      </c>
      <c r="B2183" s="19" t="s">
        <v>17</v>
      </c>
      <c r="D2183" s="37">
        <v>45876</v>
      </c>
      <c r="E2183" s="31">
        <v>38661</v>
      </c>
      <c r="F2183" s="31" t="s">
        <v>170</v>
      </c>
      <c r="G2183" s="31">
        <v>2640</v>
      </c>
      <c r="H2183" s="31" t="s">
        <v>1178</v>
      </c>
      <c r="I2183" s="38">
        <v>2100</v>
      </c>
    </row>
    <row r="2184" spans="1:10" x14ac:dyDescent="0.35">
      <c r="A2184" s="31">
        <v>1091.5</v>
      </c>
      <c r="B2184" s="19"/>
      <c r="C2184" s="31" t="s">
        <v>151</v>
      </c>
      <c r="D2184" s="37">
        <v>45876</v>
      </c>
      <c r="E2184" s="31">
        <v>38661</v>
      </c>
      <c r="F2184" s="31" t="s">
        <v>170</v>
      </c>
      <c r="G2184" s="31">
        <v>2640</v>
      </c>
      <c r="H2184" s="31" t="s">
        <v>1178</v>
      </c>
      <c r="J2184" s="38">
        <v>2100</v>
      </c>
    </row>
    <row r="2185" spans="1:10" x14ac:dyDescent="0.35">
      <c r="A2185" s="31">
        <v>1092</v>
      </c>
      <c r="B2185" s="19" t="s">
        <v>17</v>
      </c>
      <c r="D2185" s="37">
        <v>45877</v>
      </c>
      <c r="E2185" s="31">
        <v>36248</v>
      </c>
      <c r="F2185" s="31" t="s">
        <v>171</v>
      </c>
      <c r="G2185" s="31">
        <v>3354</v>
      </c>
      <c r="H2185" s="31" t="s">
        <v>1178</v>
      </c>
      <c r="I2185" s="38">
        <v>7.28</v>
      </c>
    </row>
    <row r="2186" spans="1:10" x14ac:dyDescent="0.35">
      <c r="A2186" s="31">
        <v>1092.5</v>
      </c>
      <c r="B2186" s="19"/>
      <c r="C2186" s="31" t="s">
        <v>151</v>
      </c>
      <c r="D2186" s="37">
        <v>45877</v>
      </c>
      <c r="E2186" s="31">
        <v>36248</v>
      </c>
      <c r="F2186" s="31" t="s">
        <v>171</v>
      </c>
      <c r="G2186" s="31">
        <v>3354</v>
      </c>
      <c r="H2186" s="31" t="s">
        <v>1178</v>
      </c>
      <c r="J2186" s="38">
        <v>7.28</v>
      </c>
    </row>
    <row r="2187" spans="1:10" x14ac:dyDescent="0.35">
      <c r="A2187" s="31">
        <v>1093</v>
      </c>
      <c r="B2187" s="19" t="s">
        <v>17</v>
      </c>
      <c r="D2187" s="37">
        <v>45877</v>
      </c>
      <c r="E2187" s="31">
        <v>36250</v>
      </c>
      <c r="F2187" s="31" t="s">
        <v>171</v>
      </c>
      <c r="G2187" s="31">
        <v>3354</v>
      </c>
      <c r="H2187" s="31" t="s">
        <v>1178</v>
      </c>
      <c r="I2187" s="38">
        <v>1499.88</v>
      </c>
    </row>
    <row r="2188" spans="1:10" x14ac:dyDescent="0.35">
      <c r="A2188" s="31">
        <v>1093.5</v>
      </c>
      <c r="B2188" s="19"/>
      <c r="C2188" s="31" t="s">
        <v>151</v>
      </c>
      <c r="D2188" s="37">
        <v>45877</v>
      </c>
      <c r="E2188" s="31">
        <v>36250</v>
      </c>
      <c r="F2188" s="31" t="s">
        <v>171</v>
      </c>
      <c r="G2188" s="31">
        <v>3354</v>
      </c>
      <c r="H2188" s="31" t="s">
        <v>1178</v>
      </c>
      <c r="J2188" s="38">
        <v>1499.88</v>
      </c>
    </row>
    <row r="2189" spans="1:10" x14ac:dyDescent="0.35">
      <c r="A2189" s="31">
        <v>1094</v>
      </c>
      <c r="B2189" s="19" t="s">
        <v>17</v>
      </c>
      <c r="D2189" s="37">
        <v>45880</v>
      </c>
      <c r="E2189" s="31">
        <v>38260</v>
      </c>
      <c r="F2189" s="31" t="s">
        <v>177</v>
      </c>
      <c r="G2189" s="31">
        <v>3526</v>
      </c>
      <c r="H2189" s="31" t="s">
        <v>1178</v>
      </c>
      <c r="I2189" s="38">
        <v>770.3</v>
      </c>
    </row>
    <row r="2190" spans="1:10" x14ac:dyDescent="0.35">
      <c r="A2190" s="31">
        <v>1094.5</v>
      </c>
      <c r="B2190" s="19"/>
      <c r="C2190" s="31" t="s">
        <v>151</v>
      </c>
      <c r="D2190" s="37">
        <v>45880</v>
      </c>
      <c r="E2190" s="31">
        <v>38260</v>
      </c>
      <c r="F2190" s="31" t="s">
        <v>177</v>
      </c>
      <c r="G2190" s="31">
        <v>3526</v>
      </c>
      <c r="H2190" s="31" t="s">
        <v>1178</v>
      </c>
      <c r="J2190" s="38">
        <v>770.3</v>
      </c>
    </row>
    <row r="2191" spans="1:10" x14ac:dyDescent="0.35">
      <c r="A2191" s="31">
        <v>1095</v>
      </c>
      <c r="B2191" s="19" t="s">
        <v>17</v>
      </c>
      <c r="D2191" s="37">
        <v>45880</v>
      </c>
      <c r="E2191" s="31">
        <v>38579</v>
      </c>
      <c r="F2191" s="31" t="s">
        <v>178</v>
      </c>
      <c r="G2191" s="31">
        <v>1554</v>
      </c>
      <c r="H2191" s="31" t="s">
        <v>1178</v>
      </c>
      <c r="I2191" s="38">
        <v>1455</v>
      </c>
    </row>
    <row r="2192" spans="1:10" x14ac:dyDescent="0.35">
      <c r="A2192" s="31">
        <v>1095.5</v>
      </c>
      <c r="B2192" s="19"/>
      <c r="C2192" s="31" t="s">
        <v>151</v>
      </c>
      <c r="D2192" s="37">
        <v>45880</v>
      </c>
      <c r="E2192" s="31">
        <v>38579</v>
      </c>
      <c r="F2192" s="31" t="s">
        <v>178</v>
      </c>
      <c r="G2192" s="31">
        <v>1554</v>
      </c>
      <c r="H2192" s="31" t="s">
        <v>1178</v>
      </c>
      <c r="J2192" s="38">
        <v>1455</v>
      </c>
    </row>
    <row r="2193" spans="1:10" x14ac:dyDescent="0.35">
      <c r="A2193" s="31">
        <v>1096</v>
      </c>
      <c r="B2193" s="19" t="s">
        <v>17</v>
      </c>
      <c r="D2193" s="37">
        <v>45881</v>
      </c>
      <c r="E2193" s="31" t="s">
        <v>191</v>
      </c>
      <c r="F2193" s="31" t="s">
        <v>75</v>
      </c>
      <c r="G2193" s="31">
        <v>3320</v>
      </c>
      <c r="H2193" s="31" t="s">
        <v>1178</v>
      </c>
      <c r="I2193" s="38">
        <v>4433.1099999999997</v>
      </c>
    </row>
    <row r="2194" spans="1:10" x14ac:dyDescent="0.35">
      <c r="A2194" s="31">
        <v>1096.5</v>
      </c>
      <c r="B2194" s="19"/>
      <c r="C2194" s="31" t="s">
        <v>151</v>
      </c>
      <c r="D2194" s="37">
        <v>45881</v>
      </c>
      <c r="E2194" s="31" t="s">
        <v>191</v>
      </c>
      <c r="F2194" s="31" t="s">
        <v>75</v>
      </c>
      <c r="G2194" s="31">
        <v>3320</v>
      </c>
      <c r="H2194" s="31" t="s">
        <v>1178</v>
      </c>
      <c r="J2194" s="38">
        <v>4433.1099999999997</v>
      </c>
    </row>
    <row r="2195" spans="1:10" x14ac:dyDescent="0.35">
      <c r="A2195" s="31">
        <v>1097</v>
      </c>
      <c r="B2195" s="19" t="s">
        <v>17</v>
      </c>
      <c r="D2195" s="37">
        <v>45881</v>
      </c>
      <c r="E2195" s="31" t="s">
        <v>196</v>
      </c>
      <c r="F2195" s="31" t="s">
        <v>177</v>
      </c>
      <c r="G2195" s="31">
        <v>3526</v>
      </c>
      <c r="H2195" s="31" t="s">
        <v>1178</v>
      </c>
      <c r="I2195" s="38">
        <v>3119.06</v>
      </c>
    </row>
    <row r="2196" spans="1:10" x14ac:dyDescent="0.35">
      <c r="A2196" s="31">
        <v>1097.5</v>
      </c>
      <c r="B2196" s="19"/>
      <c r="C2196" s="31" t="s">
        <v>151</v>
      </c>
      <c r="D2196" s="37">
        <v>45881</v>
      </c>
      <c r="E2196" s="31" t="s">
        <v>196</v>
      </c>
      <c r="F2196" s="31" t="s">
        <v>177</v>
      </c>
      <c r="G2196" s="31">
        <v>3526</v>
      </c>
      <c r="H2196" s="31" t="s">
        <v>1178</v>
      </c>
      <c r="J2196" s="38">
        <v>3119.06</v>
      </c>
    </row>
    <row r="2197" spans="1:10" x14ac:dyDescent="0.35">
      <c r="A2197" s="31">
        <v>1098</v>
      </c>
      <c r="B2197" s="19" t="s">
        <v>17</v>
      </c>
      <c r="D2197" s="37">
        <v>45881</v>
      </c>
      <c r="E2197" s="31">
        <v>38268</v>
      </c>
      <c r="F2197" s="31" t="s">
        <v>177</v>
      </c>
      <c r="G2197" s="31">
        <v>3526</v>
      </c>
      <c r="H2197" s="31" t="s">
        <v>1178</v>
      </c>
      <c r="I2197" s="38">
        <v>59.89</v>
      </c>
    </row>
    <row r="2198" spans="1:10" x14ac:dyDescent="0.35">
      <c r="A2198" s="31">
        <v>1098.5</v>
      </c>
      <c r="B2198" s="19"/>
      <c r="C2198" s="31" t="s">
        <v>151</v>
      </c>
      <c r="D2198" s="37">
        <v>45881</v>
      </c>
      <c r="E2198" s="31">
        <v>38268</v>
      </c>
      <c r="F2198" s="31" t="s">
        <v>177</v>
      </c>
      <c r="G2198" s="31">
        <v>3526</v>
      </c>
      <c r="H2198" s="31" t="s">
        <v>1178</v>
      </c>
      <c r="J2198" s="38">
        <v>59.89</v>
      </c>
    </row>
    <row r="2199" spans="1:10" x14ac:dyDescent="0.35">
      <c r="A2199" s="31">
        <v>1099</v>
      </c>
      <c r="B2199" s="19" t="s">
        <v>17</v>
      </c>
      <c r="D2199" s="37">
        <v>45882</v>
      </c>
      <c r="E2199" s="31" t="s">
        <v>201</v>
      </c>
      <c r="F2199" s="31" t="s">
        <v>70</v>
      </c>
      <c r="G2199" s="31">
        <v>3412</v>
      </c>
      <c r="H2199" s="31" t="s">
        <v>1178</v>
      </c>
      <c r="I2199" s="38">
        <v>538.21</v>
      </c>
    </row>
    <row r="2200" spans="1:10" x14ac:dyDescent="0.35">
      <c r="A2200" s="31">
        <v>1099.5</v>
      </c>
      <c r="B2200" s="19"/>
      <c r="C2200" s="31" t="s">
        <v>151</v>
      </c>
      <c r="D2200" s="37">
        <v>45882</v>
      </c>
      <c r="E2200" s="31" t="s">
        <v>201</v>
      </c>
      <c r="F2200" s="31" t="s">
        <v>70</v>
      </c>
      <c r="G2200" s="31">
        <v>3412</v>
      </c>
      <c r="H2200" s="31" t="s">
        <v>1178</v>
      </c>
      <c r="J2200" s="38">
        <v>538.21</v>
      </c>
    </row>
    <row r="2201" spans="1:10" x14ac:dyDescent="0.35">
      <c r="A2201" s="31">
        <v>1100</v>
      </c>
      <c r="B2201" s="19" t="s">
        <v>17</v>
      </c>
      <c r="D2201" s="37">
        <v>45887</v>
      </c>
      <c r="E2201" s="31">
        <v>38857</v>
      </c>
      <c r="F2201" s="31" t="s">
        <v>202</v>
      </c>
      <c r="G2201" s="31">
        <v>2553</v>
      </c>
      <c r="H2201" s="31" t="s">
        <v>1178</v>
      </c>
      <c r="I2201" s="38">
        <v>1820</v>
      </c>
    </row>
    <row r="2202" spans="1:10" x14ac:dyDescent="0.35">
      <c r="A2202" s="31">
        <v>1100.5</v>
      </c>
      <c r="B2202" s="19"/>
      <c r="C2202" s="31" t="s">
        <v>151</v>
      </c>
      <c r="D2202" s="37">
        <v>45887</v>
      </c>
      <c r="E2202" s="31">
        <v>38857</v>
      </c>
      <c r="F2202" s="31" t="s">
        <v>202</v>
      </c>
      <c r="G2202" s="31">
        <v>2553</v>
      </c>
      <c r="H2202" s="31" t="s">
        <v>1178</v>
      </c>
      <c r="J2202" s="38">
        <v>1820</v>
      </c>
    </row>
    <row r="2203" spans="1:10" x14ac:dyDescent="0.35">
      <c r="A2203" s="31">
        <v>1101</v>
      </c>
      <c r="B2203" s="19" t="s">
        <v>17</v>
      </c>
      <c r="D2203" s="37">
        <v>45894</v>
      </c>
      <c r="E2203" s="31">
        <v>33571</v>
      </c>
      <c r="F2203" s="31" t="s">
        <v>33</v>
      </c>
      <c r="G2203" s="31">
        <v>2678</v>
      </c>
      <c r="H2203" s="31" t="s">
        <v>1178</v>
      </c>
      <c r="I2203" s="38">
        <v>109.04</v>
      </c>
    </row>
    <row r="2204" spans="1:10" x14ac:dyDescent="0.35">
      <c r="A2204" s="31">
        <v>1101.5</v>
      </c>
      <c r="B2204" s="19"/>
      <c r="C2204" s="31" t="s">
        <v>151</v>
      </c>
      <c r="D2204" s="37">
        <v>45894</v>
      </c>
      <c r="E2204" s="31">
        <v>33571</v>
      </c>
      <c r="F2204" s="31" t="s">
        <v>33</v>
      </c>
      <c r="G2204" s="31">
        <v>2678</v>
      </c>
      <c r="H2204" s="31" t="s">
        <v>1178</v>
      </c>
      <c r="J2204" s="38">
        <v>109.04</v>
      </c>
    </row>
    <row r="2205" spans="1:10" x14ac:dyDescent="0.35">
      <c r="A2205" s="31">
        <v>1102</v>
      </c>
      <c r="B2205" s="19" t="s">
        <v>17</v>
      </c>
      <c r="D2205" s="37">
        <v>45894</v>
      </c>
      <c r="E2205" s="31" t="s">
        <v>1179</v>
      </c>
      <c r="F2205" s="31" t="s">
        <v>33</v>
      </c>
      <c r="G2205" s="31">
        <v>2678</v>
      </c>
      <c r="H2205" s="31" t="s">
        <v>1178</v>
      </c>
      <c r="I2205" s="38">
        <v>1.83</v>
      </c>
    </row>
    <row r="2206" spans="1:10" x14ac:dyDescent="0.35">
      <c r="A2206" s="31">
        <v>1102.5</v>
      </c>
      <c r="B2206" s="19"/>
      <c r="C2206" s="31" t="s">
        <v>151</v>
      </c>
      <c r="D2206" s="37">
        <v>45894</v>
      </c>
      <c r="E2206" s="31" t="s">
        <v>1179</v>
      </c>
      <c r="F2206" s="31" t="s">
        <v>33</v>
      </c>
      <c r="G2206" s="31">
        <v>2678</v>
      </c>
      <c r="H2206" s="31" t="s">
        <v>1178</v>
      </c>
      <c r="J2206" s="38">
        <v>1.83</v>
      </c>
    </row>
    <row r="2207" spans="1:10" x14ac:dyDescent="0.35">
      <c r="A2207" s="31">
        <v>1103</v>
      </c>
      <c r="B2207" s="19" t="s">
        <v>17</v>
      </c>
      <c r="D2207" s="37">
        <v>45894</v>
      </c>
      <c r="E2207" s="31" t="s">
        <v>214</v>
      </c>
      <c r="F2207" s="31" t="s">
        <v>33</v>
      </c>
      <c r="G2207" s="31">
        <v>2678</v>
      </c>
      <c r="H2207" s="31" t="s">
        <v>1178</v>
      </c>
      <c r="I2207" s="38">
        <v>5434.29</v>
      </c>
    </row>
    <row r="2208" spans="1:10" x14ac:dyDescent="0.35">
      <c r="A2208" s="31">
        <v>1103.5</v>
      </c>
      <c r="B2208" s="19"/>
      <c r="C2208" s="31" t="s">
        <v>151</v>
      </c>
      <c r="D2208" s="37">
        <v>45894</v>
      </c>
      <c r="E2208" s="31" t="s">
        <v>214</v>
      </c>
      <c r="F2208" s="31" t="s">
        <v>33</v>
      </c>
      <c r="G2208" s="31">
        <v>2678</v>
      </c>
      <c r="H2208" s="31" t="s">
        <v>1178</v>
      </c>
      <c r="J2208" s="38">
        <v>5434.29</v>
      </c>
    </row>
    <row r="2209" spans="1:10" x14ac:dyDescent="0.35">
      <c r="A2209" s="31">
        <v>1104</v>
      </c>
      <c r="B2209" s="19" t="s">
        <v>17</v>
      </c>
      <c r="D2209" s="37">
        <v>45894</v>
      </c>
      <c r="E2209" s="31" t="s">
        <v>218</v>
      </c>
      <c r="F2209" s="31" t="s">
        <v>33</v>
      </c>
      <c r="G2209" s="31">
        <v>2678</v>
      </c>
      <c r="H2209" s="31" t="s">
        <v>1178</v>
      </c>
      <c r="I2209" s="38">
        <v>13225.78</v>
      </c>
    </row>
    <row r="2210" spans="1:10" x14ac:dyDescent="0.35">
      <c r="A2210" s="31">
        <v>1104.5</v>
      </c>
      <c r="B2210" s="19"/>
      <c r="C2210" s="31" t="s">
        <v>151</v>
      </c>
      <c r="D2210" s="37">
        <v>45894</v>
      </c>
      <c r="E2210" s="31" t="s">
        <v>218</v>
      </c>
      <c r="F2210" s="31" t="s">
        <v>33</v>
      </c>
      <c r="G2210" s="31">
        <v>2678</v>
      </c>
      <c r="H2210" s="31" t="s">
        <v>1178</v>
      </c>
      <c r="J2210" s="38">
        <v>13225.78</v>
      </c>
    </row>
    <row r="2211" spans="1:10" x14ac:dyDescent="0.35">
      <c r="A2211" s="31">
        <v>1105</v>
      </c>
      <c r="B2211" s="19" t="s">
        <v>17</v>
      </c>
      <c r="D2211" s="37">
        <v>45894</v>
      </c>
      <c r="E2211" s="31">
        <v>36943</v>
      </c>
      <c r="F2211" s="31" t="s">
        <v>131</v>
      </c>
      <c r="G2211" s="31">
        <v>464</v>
      </c>
      <c r="H2211" s="31" t="s">
        <v>1178</v>
      </c>
      <c r="I2211" s="38">
        <v>0</v>
      </c>
    </row>
    <row r="2212" spans="1:10" x14ac:dyDescent="0.35">
      <c r="A2212" s="31">
        <v>1105.5</v>
      </c>
      <c r="B2212" s="19"/>
      <c r="C2212" s="31" t="s">
        <v>151</v>
      </c>
      <c r="D2212" s="37">
        <v>45894</v>
      </c>
      <c r="E2212" s="31">
        <v>36943</v>
      </c>
      <c r="F2212" s="31" t="s">
        <v>131</v>
      </c>
      <c r="G2212" s="31">
        <v>464</v>
      </c>
      <c r="H2212" s="31" t="s">
        <v>1178</v>
      </c>
      <c r="J2212" s="38">
        <v>0</v>
      </c>
    </row>
    <row r="2213" spans="1:10" x14ac:dyDescent="0.35">
      <c r="A2213" s="31">
        <v>1106</v>
      </c>
      <c r="B2213" s="19" t="s">
        <v>17</v>
      </c>
      <c r="D2213" s="37">
        <v>45898</v>
      </c>
      <c r="E2213" s="31">
        <v>38185</v>
      </c>
      <c r="F2213" s="31" t="s">
        <v>70</v>
      </c>
      <c r="G2213" s="31">
        <v>3412</v>
      </c>
      <c r="H2213" s="31" t="s">
        <v>1178</v>
      </c>
      <c r="I2213" s="38">
        <v>4800.01</v>
      </c>
    </row>
    <row r="2214" spans="1:10" x14ac:dyDescent="0.35">
      <c r="A2214" s="31">
        <v>1106.5</v>
      </c>
      <c r="B2214" s="19"/>
      <c r="C2214" s="31" t="s">
        <v>151</v>
      </c>
      <c r="D2214" s="37">
        <v>45898</v>
      </c>
      <c r="E2214" s="31">
        <v>38185</v>
      </c>
      <c r="F2214" s="31" t="s">
        <v>70</v>
      </c>
      <c r="G2214" s="31">
        <v>3412</v>
      </c>
      <c r="H2214" s="31" t="s">
        <v>1178</v>
      </c>
      <c r="J2214" s="38">
        <v>4800.01</v>
      </c>
    </row>
    <row r="2215" spans="1:10" x14ac:dyDescent="0.35">
      <c r="A2215" s="31">
        <v>1107</v>
      </c>
      <c r="B2215" s="19" t="s">
        <v>17</v>
      </c>
      <c r="D2215" s="37">
        <v>45898</v>
      </c>
      <c r="E2215" s="31">
        <v>38199</v>
      </c>
      <c r="F2215" s="31" t="s">
        <v>70</v>
      </c>
      <c r="G2215" s="31">
        <v>3412</v>
      </c>
      <c r="H2215" s="31" t="s">
        <v>1178</v>
      </c>
      <c r="I2215" s="38">
        <v>5718.88</v>
      </c>
    </row>
    <row r="2216" spans="1:10" x14ac:dyDescent="0.35">
      <c r="A2216" s="31">
        <v>1107.5</v>
      </c>
      <c r="B2216" s="19"/>
      <c r="C2216" s="31" t="s">
        <v>151</v>
      </c>
      <c r="D2216" s="37">
        <v>45898</v>
      </c>
      <c r="E2216" s="31">
        <v>38199</v>
      </c>
      <c r="F2216" s="31" t="s">
        <v>70</v>
      </c>
      <c r="G2216" s="31">
        <v>3412</v>
      </c>
      <c r="H2216" s="31" t="s">
        <v>1178</v>
      </c>
      <c r="J2216" s="38">
        <v>5718.88</v>
      </c>
    </row>
    <row r="2217" spans="1:10" x14ac:dyDescent="0.35">
      <c r="A2217" s="31">
        <v>1108</v>
      </c>
      <c r="B2217" s="19" t="s">
        <v>17</v>
      </c>
      <c r="D2217" s="37">
        <v>45898</v>
      </c>
      <c r="E2217" s="31" t="s">
        <v>236</v>
      </c>
      <c r="F2217" s="31" t="s">
        <v>70</v>
      </c>
      <c r="G2217" s="31">
        <v>3412</v>
      </c>
      <c r="H2217" s="31" t="s">
        <v>1178</v>
      </c>
      <c r="I2217" s="38">
        <v>4539.33</v>
      </c>
    </row>
    <row r="2218" spans="1:10" x14ac:dyDescent="0.35">
      <c r="A2218" s="31">
        <v>1108.5</v>
      </c>
      <c r="B2218" s="19"/>
      <c r="C2218" s="31" t="s">
        <v>151</v>
      </c>
      <c r="D2218" s="37">
        <v>45898</v>
      </c>
      <c r="E2218" s="31" t="s">
        <v>236</v>
      </c>
      <c r="F2218" s="31" t="s">
        <v>70</v>
      </c>
      <c r="G2218" s="31">
        <v>3412</v>
      </c>
      <c r="H2218" s="31" t="s">
        <v>1178</v>
      </c>
      <c r="J2218" s="38">
        <v>4539.33</v>
      </c>
    </row>
    <row r="2219" spans="1:10" x14ac:dyDescent="0.35">
      <c r="A2219" s="31">
        <v>1109</v>
      </c>
      <c r="B2219" s="19" t="s">
        <v>17</v>
      </c>
      <c r="D2219" s="37">
        <v>45898</v>
      </c>
      <c r="E2219" s="31">
        <v>38851</v>
      </c>
      <c r="F2219" s="31" t="s">
        <v>238</v>
      </c>
      <c r="G2219" s="31">
        <v>487</v>
      </c>
      <c r="H2219" s="31" t="s">
        <v>1178</v>
      </c>
      <c r="I2219" s="38">
        <v>4550</v>
      </c>
    </row>
    <row r="2220" spans="1:10" x14ac:dyDescent="0.35">
      <c r="A2220" s="31">
        <v>1109.5</v>
      </c>
      <c r="B2220" s="19"/>
      <c r="C2220" s="31" t="s">
        <v>151</v>
      </c>
      <c r="D2220" s="37">
        <v>45898</v>
      </c>
      <c r="E2220" s="31">
        <v>38851</v>
      </c>
      <c r="F2220" s="31" t="s">
        <v>238</v>
      </c>
      <c r="G2220" s="31">
        <v>487</v>
      </c>
      <c r="H2220" s="31" t="s">
        <v>1178</v>
      </c>
      <c r="J2220" s="38">
        <v>4550</v>
      </c>
    </row>
    <row r="2221" spans="1:10" x14ac:dyDescent="0.35">
      <c r="A2221" s="31">
        <v>1110</v>
      </c>
      <c r="B2221" s="19" t="s">
        <v>17</v>
      </c>
      <c r="D2221" s="37">
        <v>45898</v>
      </c>
      <c r="E2221" s="31">
        <v>38881</v>
      </c>
      <c r="F2221" s="31" t="s">
        <v>239</v>
      </c>
      <c r="G2221" s="31">
        <v>2485</v>
      </c>
      <c r="H2221" s="31" t="s">
        <v>1178</v>
      </c>
      <c r="I2221" s="38">
        <v>250</v>
      </c>
    </row>
    <row r="2222" spans="1:10" x14ac:dyDescent="0.35">
      <c r="A2222" s="31">
        <v>1110.5</v>
      </c>
      <c r="B2222" s="19"/>
      <c r="C2222" s="31" t="s">
        <v>151</v>
      </c>
      <c r="D2222" s="37">
        <v>45898</v>
      </c>
      <c r="E2222" s="31">
        <v>38881</v>
      </c>
      <c r="F2222" s="31" t="s">
        <v>239</v>
      </c>
      <c r="G2222" s="31">
        <v>2485</v>
      </c>
      <c r="H2222" s="31" t="s">
        <v>1178</v>
      </c>
      <c r="J2222" s="38">
        <v>250</v>
      </c>
    </row>
    <row r="2223" spans="1:10" x14ac:dyDescent="0.35">
      <c r="A2223" s="31">
        <v>1111</v>
      </c>
      <c r="B2223" s="19" t="s">
        <v>17</v>
      </c>
      <c r="D2223" s="37">
        <v>45898</v>
      </c>
      <c r="E2223" s="31">
        <v>38893</v>
      </c>
      <c r="F2223" s="31" t="s">
        <v>239</v>
      </c>
      <c r="G2223" s="31">
        <v>2485</v>
      </c>
      <c r="H2223" s="31" t="s">
        <v>1178</v>
      </c>
      <c r="I2223" s="38">
        <v>887</v>
      </c>
    </row>
    <row r="2224" spans="1:10" x14ac:dyDescent="0.35">
      <c r="A2224" s="31">
        <v>1111.5</v>
      </c>
      <c r="B2224" s="19"/>
      <c r="C2224" s="31" t="s">
        <v>151</v>
      </c>
      <c r="D2224" s="37">
        <v>45898</v>
      </c>
      <c r="E2224" s="31">
        <v>38893</v>
      </c>
      <c r="F2224" s="31" t="s">
        <v>239</v>
      </c>
      <c r="G2224" s="31">
        <v>2485</v>
      </c>
      <c r="H2224" s="31" t="s">
        <v>1178</v>
      </c>
      <c r="J2224" s="38">
        <v>887</v>
      </c>
    </row>
    <row r="2225" spans="1:10" x14ac:dyDescent="0.35">
      <c r="A2225" s="31">
        <v>1112</v>
      </c>
      <c r="B2225" s="19" t="s">
        <v>17</v>
      </c>
      <c r="D2225" s="37">
        <v>45898</v>
      </c>
      <c r="E2225" s="31">
        <v>39125</v>
      </c>
      <c r="F2225" s="31" t="s">
        <v>137</v>
      </c>
      <c r="G2225" s="31">
        <v>3318</v>
      </c>
      <c r="H2225" s="31" t="s">
        <v>1178</v>
      </c>
      <c r="I2225" s="38">
        <v>509579.86</v>
      </c>
    </row>
    <row r="2226" spans="1:10" x14ac:dyDescent="0.35">
      <c r="A2226" s="31">
        <v>1112.5</v>
      </c>
      <c r="B2226" s="19"/>
      <c r="C2226" s="31" t="s">
        <v>151</v>
      </c>
      <c r="D2226" s="37">
        <v>45898</v>
      </c>
      <c r="E2226" s="31">
        <v>39125</v>
      </c>
      <c r="F2226" s="31" t="s">
        <v>137</v>
      </c>
      <c r="G2226" s="31">
        <v>3318</v>
      </c>
      <c r="H2226" s="31" t="s">
        <v>1178</v>
      </c>
      <c r="J2226" s="38">
        <v>509579.86</v>
      </c>
    </row>
    <row r="2227" spans="1:10" x14ac:dyDescent="0.35">
      <c r="A2227" s="31">
        <v>1113</v>
      </c>
      <c r="B2227" s="19" t="s">
        <v>17</v>
      </c>
      <c r="D2227" s="37">
        <v>45899</v>
      </c>
      <c r="E2227" s="31">
        <v>35818</v>
      </c>
      <c r="F2227" s="31" t="s">
        <v>370</v>
      </c>
      <c r="G2227" s="31">
        <v>474</v>
      </c>
      <c r="H2227" s="31" t="s">
        <v>1178</v>
      </c>
      <c r="I2227" s="38">
        <v>7735.76</v>
      </c>
    </row>
    <row r="2228" spans="1:10" x14ac:dyDescent="0.35">
      <c r="A2228" s="31">
        <v>1113.5</v>
      </c>
      <c r="B2228" s="19"/>
      <c r="C2228" s="31" t="s">
        <v>151</v>
      </c>
      <c r="D2228" s="37">
        <v>45899</v>
      </c>
      <c r="E2228" s="31">
        <v>35818</v>
      </c>
      <c r="F2228" s="31" t="s">
        <v>370</v>
      </c>
      <c r="G2228" s="31">
        <v>474</v>
      </c>
      <c r="H2228" s="31" t="s">
        <v>1178</v>
      </c>
      <c r="J2228" s="38">
        <v>7735.76</v>
      </c>
    </row>
    <row r="2229" spans="1:10" x14ac:dyDescent="0.35">
      <c r="A2229" s="31">
        <v>1114</v>
      </c>
      <c r="B2229" s="19" t="s">
        <v>17</v>
      </c>
      <c r="D2229" s="37">
        <v>45899</v>
      </c>
      <c r="E2229" s="31">
        <v>36512</v>
      </c>
      <c r="F2229" s="31" t="s">
        <v>586</v>
      </c>
      <c r="G2229" s="31">
        <v>2702</v>
      </c>
      <c r="H2229" s="31" t="s">
        <v>1178</v>
      </c>
      <c r="I2229" s="38">
        <v>2472.11</v>
      </c>
    </row>
    <row r="2230" spans="1:10" x14ac:dyDescent="0.35">
      <c r="A2230" s="31">
        <v>1114.5</v>
      </c>
      <c r="B2230" s="19"/>
      <c r="C2230" s="31" t="s">
        <v>151</v>
      </c>
      <c r="D2230" s="37">
        <v>45899</v>
      </c>
      <c r="E2230" s="31">
        <v>36512</v>
      </c>
      <c r="F2230" s="31" t="s">
        <v>586</v>
      </c>
      <c r="G2230" s="31">
        <v>2702</v>
      </c>
      <c r="H2230" s="31" t="s">
        <v>1178</v>
      </c>
      <c r="J2230" s="38">
        <v>2472.11</v>
      </c>
    </row>
    <row r="2231" spans="1:10" x14ac:dyDescent="0.35">
      <c r="A2231" s="31">
        <v>1115</v>
      </c>
      <c r="B2231" s="19" t="s">
        <v>17</v>
      </c>
      <c r="D2231" s="37">
        <v>45899</v>
      </c>
      <c r="E2231" s="31" t="s">
        <v>706</v>
      </c>
      <c r="F2231" s="31" t="s">
        <v>707</v>
      </c>
      <c r="G2231" s="31">
        <v>440</v>
      </c>
      <c r="H2231" s="31" t="s">
        <v>1178</v>
      </c>
      <c r="I2231" s="38">
        <v>632.30999999999995</v>
      </c>
    </row>
    <row r="2232" spans="1:10" x14ac:dyDescent="0.35">
      <c r="A2232" s="31">
        <v>1115.5</v>
      </c>
      <c r="B2232" s="19"/>
      <c r="C2232" s="31" t="s">
        <v>151</v>
      </c>
      <c r="D2232" s="37">
        <v>45899</v>
      </c>
      <c r="E2232" s="31" t="s">
        <v>706</v>
      </c>
      <c r="F2232" s="31" t="s">
        <v>707</v>
      </c>
      <c r="G2232" s="31">
        <v>440</v>
      </c>
      <c r="H2232" s="31" t="s">
        <v>1178</v>
      </c>
      <c r="J2232" s="38">
        <v>632.30999999999995</v>
      </c>
    </row>
    <row r="2233" spans="1:10" x14ac:dyDescent="0.35">
      <c r="A2233" s="31">
        <v>1116</v>
      </c>
      <c r="B2233" s="19" t="s">
        <v>17</v>
      </c>
      <c r="D2233" s="37">
        <v>45899</v>
      </c>
      <c r="E2233" s="31">
        <v>38051</v>
      </c>
      <c r="F2233" s="31" t="s">
        <v>682</v>
      </c>
      <c r="G2233" s="31">
        <v>3273</v>
      </c>
      <c r="H2233" s="31" t="s">
        <v>1178</v>
      </c>
      <c r="I2233" s="38">
        <v>2440</v>
      </c>
    </row>
    <row r="2234" spans="1:10" x14ac:dyDescent="0.35">
      <c r="A2234" s="31">
        <v>1116.5</v>
      </c>
      <c r="B2234" s="19"/>
      <c r="C2234" s="31" t="s">
        <v>151</v>
      </c>
      <c r="D2234" s="37">
        <v>45899</v>
      </c>
      <c r="E2234" s="31">
        <v>38051</v>
      </c>
      <c r="F2234" s="31" t="s">
        <v>682</v>
      </c>
      <c r="G2234" s="31">
        <v>3273</v>
      </c>
      <c r="H2234" s="31" t="s">
        <v>1178</v>
      </c>
      <c r="J2234" s="38">
        <v>2440</v>
      </c>
    </row>
    <row r="2235" spans="1:10" x14ac:dyDescent="0.35">
      <c r="A2235" s="31">
        <v>1117</v>
      </c>
      <c r="B2235" s="19" t="s">
        <v>17</v>
      </c>
      <c r="D2235" s="37">
        <v>45899</v>
      </c>
      <c r="E2235" s="31">
        <v>38229</v>
      </c>
      <c r="F2235" s="31" t="s">
        <v>57</v>
      </c>
      <c r="G2235" s="31">
        <v>3330</v>
      </c>
      <c r="H2235" s="31" t="s">
        <v>1178</v>
      </c>
      <c r="I2235" s="38">
        <v>749.08</v>
      </c>
    </row>
    <row r="2236" spans="1:10" x14ac:dyDescent="0.35">
      <c r="A2236" s="31">
        <v>1117.5</v>
      </c>
      <c r="B2236" s="19"/>
      <c r="C2236" s="31" t="s">
        <v>151</v>
      </c>
      <c r="D2236" s="37">
        <v>45899</v>
      </c>
      <c r="E2236" s="31">
        <v>38229</v>
      </c>
      <c r="F2236" s="31" t="s">
        <v>57</v>
      </c>
      <c r="G2236" s="31">
        <v>3330</v>
      </c>
      <c r="H2236" s="31" t="s">
        <v>1178</v>
      </c>
      <c r="J2236" s="38">
        <v>749.08</v>
      </c>
    </row>
    <row r="2237" spans="1:10" x14ac:dyDescent="0.35">
      <c r="A2237" s="31">
        <v>1118</v>
      </c>
      <c r="B2237" s="19" t="s">
        <v>17</v>
      </c>
      <c r="D2237" s="37">
        <v>45899</v>
      </c>
      <c r="E2237" s="31">
        <v>38230</v>
      </c>
      <c r="F2237" s="31" t="s">
        <v>831</v>
      </c>
      <c r="G2237" s="31">
        <v>2631</v>
      </c>
      <c r="H2237" s="31" t="s">
        <v>1178</v>
      </c>
      <c r="I2237" s="38">
        <v>1725</v>
      </c>
    </row>
    <row r="2238" spans="1:10" x14ac:dyDescent="0.35">
      <c r="A2238" s="31">
        <v>1118.5</v>
      </c>
      <c r="B2238" s="19"/>
      <c r="C2238" s="31" t="s">
        <v>151</v>
      </c>
      <c r="D2238" s="37">
        <v>45899</v>
      </c>
      <c r="E2238" s="31">
        <v>38230</v>
      </c>
      <c r="F2238" s="31" t="s">
        <v>831</v>
      </c>
      <c r="G2238" s="31">
        <v>2631</v>
      </c>
      <c r="H2238" s="31" t="s">
        <v>1178</v>
      </c>
      <c r="J2238" s="38">
        <v>1725</v>
      </c>
    </row>
    <row r="2239" spans="1:10" x14ac:dyDescent="0.35">
      <c r="A2239" s="31">
        <v>1119</v>
      </c>
      <c r="B2239" s="19" t="s">
        <v>17</v>
      </c>
      <c r="D2239" s="37">
        <v>45899</v>
      </c>
      <c r="E2239" s="31" t="s">
        <v>838</v>
      </c>
      <c r="F2239" s="31" t="s">
        <v>177</v>
      </c>
      <c r="G2239" s="31">
        <v>3526</v>
      </c>
      <c r="H2239" s="31" t="s">
        <v>1178</v>
      </c>
      <c r="I2239" s="38">
        <v>3894.55</v>
      </c>
    </row>
    <row r="2240" spans="1:10" x14ac:dyDescent="0.35">
      <c r="A2240" s="31">
        <v>1119.5</v>
      </c>
      <c r="B2240" s="19"/>
      <c r="C2240" s="31" t="s">
        <v>151</v>
      </c>
      <c r="D2240" s="37">
        <v>45899</v>
      </c>
      <c r="E2240" s="31" t="s">
        <v>838</v>
      </c>
      <c r="F2240" s="31" t="s">
        <v>177</v>
      </c>
      <c r="G2240" s="31">
        <v>3526</v>
      </c>
      <c r="H2240" s="31" t="s">
        <v>1178</v>
      </c>
      <c r="J2240" s="38">
        <v>3894.55</v>
      </c>
    </row>
    <row r="2241" spans="1:10" x14ac:dyDescent="0.35">
      <c r="A2241" s="31">
        <v>1120</v>
      </c>
      <c r="B2241" s="19" t="s">
        <v>17</v>
      </c>
      <c r="D2241" s="37">
        <v>45899</v>
      </c>
      <c r="E2241" s="31">
        <v>38254</v>
      </c>
      <c r="F2241" s="31" t="s">
        <v>177</v>
      </c>
      <c r="G2241" s="31">
        <v>3526</v>
      </c>
      <c r="H2241" s="31" t="s">
        <v>1178</v>
      </c>
      <c r="I2241" s="38">
        <v>9126.7800000000007</v>
      </c>
    </row>
    <row r="2242" spans="1:10" x14ac:dyDescent="0.35">
      <c r="A2242" s="31">
        <v>1120.5</v>
      </c>
      <c r="B2242" s="19"/>
      <c r="C2242" s="31" t="s">
        <v>151</v>
      </c>
      <c r="D2242" s="37">
        <v>45899</v>
      </c>
      <c r="E2242" s="31">
        <v>38254</v>
      </c>
      <c r="F2242" s="31" t="s">
        <v>177</v>
      </c>
      <c r="G2242" s="31">
        <v>3526</v>
      </c>
      <c r="H2242" s="31" t="s">
        <v>1178</v>
      </c>
      <c r="J2242" s="38">
        <v>9126.7800000000007</v>
      </c>
    </row>
    <row r="2243" spans="1:10" x14ac:dyDescent="0.35">
      <c r="A2243" s="31">
        <v>1121</v>
      </c>
      <c r="B2243" s="19" t="s">
        <v>17</v>
      </c>
      <c r="D2243" s="37">
        <v>45899</v>
      </c>
      <c r="E2243" s="31" t="s">
        <v>839</v>
      </c>
      <c r="F2243" s="31" t="s">
        <v>177</v>
      </c>
      <c r="G2243" s="31">
        <v>3526</v>
      </c>
      <c r="H2243" s="31" t="s">
        <v>1178</v>
      </c>
      <c r="I2243" s="38">
        <v>36013.69</v>
      </c>
    </row>
    <row r="2244" spans="1:10" x14ac:dyDescent="0.35">
      <c r="A2244" s="31">
        <v>1121.5</v>
      </c>
      <c r="B2244" s="19"/>
      <c r="C2244" s="31" t="s">
        <v>151</v>
      </c>
      <c r="D2244" s="37">
        <v>45899</v>
      </c>
      <c r="E2244" s="31" t="s">
        <v>839</v>
      </c>
      <c r="F2244" s="31" t="s">
        <v>177</v>
      </c>
      <c r="G2244" s="31">
        <v>3526</v>
      </c>
      <c r="H2244" s="31" t="s">
        <v>1178</v>
      </c>
      <c r="J2244" s="38">
        <v>36013.69</v>
      </c>
    </row>
    <row r="2245" spans="1:10" x14ac:dyDescent="0.35">
      <c r="A2245" s="31">
        <v>1122</v>
      </c>
      <c r="B2245" s="19" t="s">
        <v>17</v>
      </c>
      <c r="D2245" s="37">
        <v>45899</v>
      </c>
      <c r="E2245" s="31" t="s">
        <v>840</v>
      </c>
      <c r="F2245" s="31" t="s">
        <v>177</v>
      </c>
      <c r="G2245" s="31">
        <v>3526</v>
      </c>
      <c r="H2245" s="31" t="s">
        <v>1178</v>
      </c>
      <c r="I2245" s="38">
        <v>3623.9</v>
      </c>
    </row>
    <row r="2246" spans="1:10" x14ac:dyDescent="0.35">
      <c r="A2246" s="31">
        <v>1122.5</v>
      </c>
      <c r="B2246" s="19"/>
      <c r="C2246" s="31" t="s">
        <v>151</v>
      </c>
      <c r="D2246" s="37">
        <v>45899</v>
      </c>
      <c r="E2246" s="31" t="s">
        <v>840</v>
      </c>
      <c r="F2246" s="31" t="s">
        <v>177</v>
      </c>
      <c r="G2246" s="31">
        <v>3526</v>
      </c>
      <c r="H2246" s="31" t="s">
        <v>1178</v>
      </c>
      <c r="J2246" s="38">
        <v>3623.9</v>
      </c>
    </row>
    <row r="2247" spans="1:10" x14ac:dyDescent="0.35">
      <c r="A2247" s="31">
        <v>1123</v>
      </c>
      <c r="B2247" s="19" t="s">
        <v>17</v>
      </c>
      <c r="D2247" s="37">
        <v>45899</v>
      </c>
      <c r="E2247" s="31" t="s">
        <v>841</v>
      </c>
      <c r="F2247" s="31" t="s">
        <v>177</v>
      </c>
      <c r="G2247" s="31">
        <v>3526</v>
      </c>
      <c r="H2247" s="31" t="s">
        <v>1178</v>
      </c>
      <c r="I2247" s="38">
        <v>15172</v>
      </c>
    </row>
    <row r="2248" spans="1:10" x14ac:dyDescent="0.35">
      <c r="A2248" s="31">
        <v>1123.5</v>
      </c>
      <c r="B2248" s="19"/>
      <c r="C2248" s="31" t="s">
        <v>151</v>
      </c>
      <c r="D2248" s="37">
        <v>45899</v>
      </c>
      <c r="E2248" s="31" t="s">
        <v>841</v>
      </c>
      <c r="F2248" s="31" t="s">
        <v>177</v>
      </c>
      <c r="G2248" s="31">
        <v>3526</v>
      </c>
      <c r="H2248" s="31" t="s">
        <v>1178</v>
      </c>
      <c r="J2248" s="38">
        <v>15172</v>
      </c>
    </row>
    <row r="2249" spans="1:10" x14ac:dyDescent="0.35">
      <c r="A2249" s="31">
        <v>1124</v>
      </c>
      <c r="B2249" s="19" t="s">
        <v>17</v>
      </c>
      <c r="D2249" s="37">
        <v>45899</v>
      </c>
      <c r="E2249" s="31">
        <v>38263</v>
      </c>
      <c r="F2249" s="31" t="s">
        <v>177</v>
      </c>
      <c r="G2249" s="31">
        <v>3526</v>
      </c>
      <c r="H2249" s="31" t="s">
        <v>1178</v>
      </c>
      <c r="I2249" s="38">
        <v>156.41999999999999</v>
      </c>
    </row>
    <row r="2250" spans="1:10" x14ac:dyDescent="0.35">
      <c r="A2250" s="31">
        <v>1124.5</v>
      </c>
      <c r="B2250" s="19"/>
      <c r="C2250" s="31" t="s">
        <v>151</v>
      </c>
      <c r="D2250" s="37">
        <v>45899</v>
      </c>
      <c r="E2250" s="31">
        <v>38263</v>
      </c>
      <c r="F2250" s="31" t="s">
        <v>177</v>
      </c>
      <c r="G2250" s="31">
        <v>3526</v>
      </c>
      <c r="H2250" s="31" t="s">
        <v>1178</v>
      </c>
      <c r="J2250" s="38">
        <v>156.41999999999999</v>
      </c>
    </row>
    <row r="2251" spans="1:10" x14ac:dyDescent="0.35">
      <c r="A2251" s="31">
        <v>1125</v>
      </c>
      <c r="B2251" s="19" t="s">
        <v>17</v>
      </c>
      <c r="D2251" s="37">
        <v>45899</v>
      </c>
      <c r="E2251" s="31">
        <v>38265</v>
      </c>
      <c r="F2251" s="31" t="s">
        <v>177</v>
      </c>
      <c r="G2251" s="31">
        <v>3526</v>
      </c>
      <c r="H2251" s="31" t="s">
        <v>1178</v>
      </c>
      <c r="I2251" s="38">
        <v>2826.34</v>
      </c>
    </row>
    <row r="2252" spans="1:10" x14ac:dyDescent="0.35">
      <c r="A2252" s="31">
        <v>1125.5</v>
      </c>
      <c r="B2252" s="19"/>
      <c r="C2252" s="31" t="s">
        <v>151</v>
      </c>
      <c r="D2252" s="37">
        <v>45899</v>
      </c>
      <c r="E2252" s="31">
        <v>38265</v>
      </c>
      <c r="F2252" s="31" t="s">
        <v>177</v>
      </c>
      <c r="G2252" s="31">
        <v>3526</v>
      </c>
      <c r="H2252" s="31" t="s">
        <v>1178</v>
      </c>
      <c r="J2252" s="38">
        <v>2826.34</v>
      </c>
    </row>
    <row r="2253" spans="1:10" x14ac:dyDescent="0.35">
      <c r="A2253" s="31">
        <v>1126</v>
      </c>
      <c r="B2253" s="19" t="s">
        <v>17</v>
      </c>
      <c r="D2253" s="37">
        <v>45899</v>
      </c>
      <c r="E2253" s="31">
        <v>38266</v>
      </c>
      <c r="F2253" s="31" t="s">
        <v>177</v>
      </c>
      <c r="G2253" s="31">
        <v>3526</v>
      </c>
      <c r="H2253" s="31" t="s">
        <v>1178</v>
      </c>
      <c r="I2253" s="38">
        <v>2840.25</v>
      </c>
    </row>
    <row r="2254" spans="1:10" x14ac:dyDescent="0.35">
      <c r="A2254" s="31">
        <v>1126.5</v>
      </c>
      <c r="B2254" s="19"/>
      <c r="C2254" s="31" t="s">
        <v>151</v>
      </c>
      <c r="D2254" s="37">
        <v>45899</v>
      </c>
      <c r="E2254" s="31">
        <v>38266</v>
      </c>
      <c r="F2254" s="31" t="s">
        <v>177</v>
      </c>
      <c r="G2254" s="31">
        <v>3526</v>
      </c>
      <c r="H2254" s="31" t="s">
        <v>1178</v>
      </c>
      <c r="J2254" s="38">
        <v>2840.25</v>
      </c>
    </row>
    <row r="2255" spans="1:10" x14ac:dyDescent="0.35">
      <c r="A2255" s="31">
        <v>1127</v>
      </c>
      <c r="B2255" s="19" t="s">
        <v>17</v>
      </c>
      <c r="D2255" s="37">
        <v>45899</v>
      </c>
      <c r="E2255" s="31">
        <v>38546</v>
      </c>
      <c r="F2255" s="31" t="s">
        <v>86</v>
      </c>
      <c r="G2255" s="31">
        <v>3375</v>
      </c>
      <c r="H2255" s="31" t="s">
        <v>1178</v>
      </c>
      <c r="I2255" s="38">
        <v>2018</v>
      </c>
    </row>
    <row r="2256" spans="1:10" x14ac:dyDescent="0.35">
      <c r="A2256" s="31">
        <v>1127.5</v>
      </c>
      <c r="B2256" s="19"/>
      <c r="C2256" s="31" t="s">
        <v>151</v>
      </c>
      <c r="D2256" s="37">
        <v>45899</v>
      </c>
      <c r="E2256" s="31">
        <v>38546</v>
      </c>
      <c r="F2256" s="31" t="s">
        <v>86</v>
      </c>
      <c r="G2256" s="31">
        <v>3375</v>
      </c>
      <c r="H2256" s="31" t="s">
        <v>1178</v>
      </c>
      <c r="J2256" s="38">
        <v>2018</v>
      </c>
    </row>
    <row r="2257" spans="1:10" x14ac:dyDescent="0.35">
      <c r="A2257" s="31">
        <v>1128</v>
      </c>
      <c r="B2257" s="19" t="s">
        <v>17</v>
      </c>
      <c r="D2257" s="37">
        <v>45899</v>
      </c>
      <c r="E2257" s="31" t="s">
        <v>904</v>
      </c>
      <c r="F2257" s="31" t="s">
        <v>64</v>
      </c>
      <c r="G2257" s="31">
        <v>3338</v>
      </c>
      <c r="H2257" s="31" t="s">
        <v>1178</v>
      </c>
      <c r="I2257" s="38">
        <v>26382.55</v>
      </c>
    </row>
    <row r="2258" spans="1:10" x14ac:dyDescent="0.35">
      <c r="A2258" s="31">
        <v>1128.5</v>
      </c>
      <c r="B2258" s="19"/>
      <c r="C2258" s="31" t="s">
        <v>151</v>
      </c>
      <c r="D2258" s="37">
        <v>45899</v>
      </c>
      <c r="E2258" s="31" t="s">
        <v>904</v>
      </c>
      <c r="F2258" s="31" t="s">
        <v>64</v>
      </c>
      <c r="G2258" s="31">
        <v>3338</v>
      </c>
      <c r="H2258" s="31" t="s">
        <v>1178</v>
      </c>
      <c r="J2258" s="38">
        <v>26382.55</v>
      </c>
    </row>
    <row r="2259" spans="1:10" x14ac:dyDescent="0.35">
      <c r="A2259" s="31">
        <v>1129</v>
      </c>
      <c r="B2259" s="19" t="s">
        <v>17</v>
      </c>
      <c r="D2259" s="37">
        <v>45899</v>
      </c>
      <c r="E2259" s="31">
        <v>38651</v>
      </c>
      <c r="F2259" s="31" t="s">
        <v>586</v>
      </c>
      <c r="G2259" s="31">
        <v>2702</v>
      </c>
      <c r="H2259" s="31" t="s">
        <v>1178</v>
      </c>
      <c r="I2259" s="38">
        <v>2064.11</v>
      </c>
    </row>
    <row r="2260" spans="1:10" x14ac:dyDescent="0.35">
      <c r="A2260" s="31">
        <v>1129.5</v>
      </c>
      <c r="B2260" s="19"/>
      <c r="C2260" s="31" t="s">
        <v>151</v>
      </c>
      <c r="D2260" s="37">
        <v>45899</v>
      </c>
      <c r="E2260" s="31">
        <v>38651</v>
      </c>
      <c r="F2260" s="31" t="s">
        <v>586</v>
      </c>
      <c r="G2260" s="31">
        <v>2702</v>
      </c>
      <c r="H2260" s="31" t="s">
        <v>1178</v>
      </c>
      <c r="J2260" s="38">
        <v>2064.11</v>
      </c>
    </row>
    <row r="2261" spans="1:10" x14ac:dyDescent="0.35">
      <c r="A2261" s="31">
        <v>1130</v>
      </c>
      <c r="B2261" s="19" t="s">
        <v>17</v>
      </c>
      <c r="D2261" s="37">
        <v>45899</v>
      </c>
      <c r="E2261" s="31">
        <v>38791</v>
      </c>
      <c r="F2261" s="31" t="s">
        <v>917</v>
      </c>
      <c r="G2261" s="31">
        <v>2307</v>
      </c>
      <c r="H2261" s="31" t="s">
        <v>1178</v>
      </c>
      <c r="I2261" s="38">
        <v>847.22</v>
      </c>
    </row>
    <row r="2262" spans="1:10" x14ac:dyDescent="0.35">
      <c r="A2262" s="31">
        <v>1130.5</v>
      </c>
      <c r="B2262" s="19"/>
      <c r="C2262" s="31" t="s">
        <v>151</v>
      </c>
      <c r="D2262" s="37">
        <v>45899</v>
      </c>
      <c r="E2262" s="31">
        <v>38791</v>
      </c>
      <c r="F2262" s="31" t="s">
        <v>917</v>
      </c>
      <c r="G2262" s="31">
        <v>2307</v>
      </c>
      <c r="H2262" s="31" t="s">
        <v>1178</v>
      </c>
      <c r="J2262" s="38">
        <v>847.22</v>
      </c>
    </row>
    <row r="2263" spans="1:10" x14ac:dyDescent="0.35">
      <c r="A2263" s="31">
        <v>1131</v>
      </c>
      <c r="B2263" s="19" t="s">
        <v>17</v>
      </c>
      <c r="D2263" s="37">
        <v>45899</v>
      </c>
      <c r="E2263" s="31">
        <v>38817</v>
      </c>
      <c r="F2263" s="31" t="s">
        <v>919</v>
      </c>
      <c r="G2263" s="31">
        <v>524</v>
      </c>
      <c r="H2263" s="31" t="s">
        <v>1178</v>
      </c>
      <c r="I2263" s="38">
        <v>665.5</v>
      </c>
    </row>
    <row r="2264" spans="1:10" x14ac:dyDescent="0.35">
      <c r="A2264" s="31">
        <v>1131.5</v>
      </c>
      <c r="B2264" s="19"/>
      <c r="C2264" s="31" t="s">
        <v>151</v>
      </c>
      <c r="D2264" s="37">
        <v>45899</v>
      </c>
      <c r="E2264" s="31">
        <v>38817</v>
      </c>
      <c r="F2264" s="31" t="s">
        <v>919</v>
      </c>
      <c r="G2264" s="31">
        <v>524</v>
      </c>
      <c r="H2264" s="31" t="s">
        <v>1178</v>
      </c>
      <c r="J2264" s="38">
        <v>665.5</v>
      </c>
    </row>
    <row r="2265" spans="1:10" x14ac:dyDescent="0.35">
      <c r="A2265" s="31">
        <v>1132</v>
      </c>
      <c r="B2265" s="19" t="s">
        <v>17</v>
      </c>
      <c r="D2265" s="37">
        <v>45899</v>
      </c>
      <c r="E2265" s="31">
        <v>38834</v>
      </c>
      <c r="F2265" s="31" t="s">
        <v>920</v>
      </c>
      <c r="G2265" s="31">
        <v>2537</v>
      </c>
      <c r="H2265" s="31" t="s">
        <v>1178</v>
      </c>
      <c r="I2265" s="38">
        <v>4313.13</v>
      </c>
    </row>
    <row r="2266" spans="1:10" x14ac:dyDescent="0.35">
      <c r="A2266" s="31">
        <v>1132.5</v>
      </c>
      <c r="B2266" s="19"/>
      <c r="C2266" s="31" t="s">
        <v>151</v>
      </c>
      <c r="D2266" s="37">
        <v>45899</v>
      </c>
      <c r="E2266" s="31">
        <v>38834</v>
      </c>
      <c r="F2266" s="31" t="s">
        <v>920</v>
      </c>
      <c r="G2266" s="31">
        <v>2537</v>
      </c>
      <c r="H2266" s="31" t="s">
        <v>1178</v>
      </c>
      <c r="J2266" s="38">
        <v>4313.13</v>
      </c>
    </row>
    <row r="2267" spans="1:10" x14ac:dyDescent="0.35">
      <c r="A2267" s="31">
        <v>1133</v>
      </c>
      <c r="B2267" s="19" t="s">
        <v>17</v>
      </c>
      <c r="D2267" s="37">
        <v>45899</v>
      </c>
      <c r="E2267" s="31">
        <v>38839</v>
      </c>
      <c r="F2267" s="31" t="s">
        <v>921</v>
      </c>
      <c r="G2267" s="31">
        <v>2191</v>
      </c>
      <c r="H2267" s="31" t="s">
        <v>1178</v>
      </c>
      <c r="I2267" s="38">
        <v>500</v>
      </c>
    </row>
    <row r="2268" spans="1:10" x14ac:dyDescent="0.35">
      <c r="A2268" s="31">
        <v>1133.5</v>
      </c>
      <c r="B2268" s="19"/>
      <c r="C2268" s="31" t="s">
        <v>151</v>
      </c>
      <c r="D2268" s="37">
        <v>45899</v>
      </c>
      <c r="E2268" s="31">
        <v>38839</v>
      </c>
      <c r="F2268" s="31" t="s">
        <v>921</v>
      </c>
      <c r="G2268" s="31">
        <v>2191</v>
      </c>
      <c r="H2268" s="31" t="s">
        <v>1178</v>
      </c>
      <c r="J2268" s="38">
        <v>500</v>
      </c>
    </row>
    <row r="2269" spans="1:10" x14ac:dyDescent="0.35">
      <c r="A2269" s="31">
        <v>1134</v>
      </c>
      <c r="B2269" s="19" t="s">
        <v>17</v>
      </c>
      <c r="D2269" s="37">
        <v>45899</v>
      </c>
      <c r="E2269" s="31">
        <v>38846</v>
      </c>
      <c r="F2269" s="31" t="s">
        <v>922</v>
      </c>
      <c r="G2269" s="31">
        <v>498</v>
      </c>
      <c r="H2269" s="31" t="s">
        <v>1178</v>
      </c>
      <c r="I2269" s="38">
        <v>1600</v>
      </c>
    </row>
    <row r="2270" spans="1:10" x14ac:dyDescent="0.35">
      <c r="A2270" s="31">
        <v>1134.5</v>
      </c>
      <c r="B2270" s="19"/>
      <c r="C2270" s="31" t="s">
        <v>151</v>
      </c>
      <c r="D2270" s="37">
        <v>45899</v>
      </c>
      <c r="E2270" s="31">
        <v>38846</v>
      </c>
      <c r="F2270" s="31" t="s">
        <v>922</v>
      </c>
      <c r="G2270" s="31">
        <v>498</v>
      </c>
      <c r="H2270" s="31" t="s">
        <v>1178</v>
      </c>
      <c r="J2270" s="38">
        <v>1600</v>
      </c>
    </row>
    <row r="2271" spans="1:10" x14ac:dyDescent="0.35">
      <c r="A2271" s="31">
        <v>1135</v>
      </c>
      <c r="B2271" s="19" t="s">
        <v>17</v>
      </c>
      <c r="D2271" s="37">
        <v>45899</v>
      </c>
      <c r="E2271" s="31">
        <v>38874</v>
      </c>
      <c r="F2271" s="31" t="s">
        <v>923</v>
      </c>
      <c r="G2271" s="31">
        <v>454</v>
      </c>
      <c r="H2271" s="31" t="s">
        <v>1178</v>
      </c>
      <c r="I2271" s="38">
        <v>2200</v>
      </c>
    </row>
    <row r="2272" spans="1:10" x14ac:dyDescent="0.35">
      <c r="A2272" s="31">
        <v>1135.5</v>
      </c>
      <c r="B2272" s="19"/>
      <c r="C2272" s="31" t="s">
        <v>151</v>
      </c>
      <c r="D2272" s="37">
        <v>45899</v>
      </c>
      <c r="E2272" s="31">
        <v>38874</v>
      </c>
      <c r="F2272" s="31" t="s">
        <v>923</v>
      </c>
      <c r="G2272" s="31">
        <v>454</v>
      </c>
      <c r="H2272" s="31" t="s">
        <v>1178</v>
      </c>
      <c r="J2272" s="38">
        <v>2200</v>
      </c>
    </row>
    <row r="2273" spans="1:10" x14ac:dyDescent="0.35">
      <c r="A2273" s="31">
        <v>1136</v>
      </c>
      <c r="B2273" s="19" t="s">
        <v>17</v>
      </c>
      <c r="D2273" s="37">
        <v>45899</v>
      </c>
      <c r="E2273" s="31">
        <v>38889</v>
      </c>
      <c r="F2273" s="31" t="s">
        <v>107</v>
      </c>
      <c r="G2273" s="31">
        <v>2466</v>
      </c>
      <c r="H2273" s="31" t="s">
        <v>1178</v>
      </c>
      <c r="I2273" s="38">
        <v>2057.27</v>
      </c>
    </row>
    <row r="2274" spans="1:10" x14ac:dyDescent="0.35">
      <c r="A2274" s="31">
        <v>1136.5</v>
      </c>
      <c r="B2274" s="19"/>
      <c r="C2274" s="31" t="s">
        <v>151</v>
      </c>
      <c r="D2274" s="37">
        <v>45899</v>
      </c>
      <c r="E2274" s="31">
        <v>38889</v>
      </c>
      <c r="F2274" s="31" t="s">
        <v>107</v>
      </c>
      <c r="G2274" s="31">
        <v>2466</v>
      </c>
      <c r="H2274" s="31" t="s">
        <v>1178</v>
      </c>
      <c r="J2274" s="38">
        <v>2057.27</v>
      </c>
    </row>
    <row r="2275" spans="1:10" x14ac:dyDescent="0.35">
      <c r="A2275" s="31">
        <v>1137</v>
      </c>
      <c r="B2275" s="19" t="s">
        <v>17</v>
      </c>
      <c r="D2275" s="37">
        <v>45899</v>
      </c>
      <c r="E2275" s="31">
        <v>38953</v>
      </c>
      <c r="F2275" s="31" t="s">
        <v>917</v>
      </c>
      <c r="G2275" s="31">
        <v>2307</v>
      </c>
      <c r="H2275" s="31" t="s">
        <v>1178</v>
      </c>
      <c r="I2275" s="38">
        <v>600</v>
      </c>
    </row>
    <row r="2276" spans="1:10" x14ac:dyDescent="0.35">
      <c r="A2276" s="31">
        <v>1137.5</v>
      </c>
      <c r="B2276" s="19"/>
      <c r="C2276" s="31" t="s">
        <v>151</v>
      </c>
      <c r="D2276" s="37">
        <v>45899</v>
      </c>
      <c r="E2276" s="31">
        <v>38953</v>
      </c>
      <c r="F2276" s="31" t="s">
        <v>917</v>
      </c>
      <c r="G2276" s="31">
        <v>2307</v>
      </c>
      <c r="H2276" s="31" t="s">
        <v>1178</v>
      </c>
      <c r="J2276" s="38">
        <v>600</v>
      </c>
    </row>
    <row r="2277" spans="1:10" x14ac:dyDescent="0.35">
      <c r="A2277" s="31">
        <v>1138</v>
      </c>
      <c r="B2277" s="19" t="s">
        <v>17</v>
      </c>
      <c r="D2277" s="37">
        <v>45899</v>
      </c>
      <c r="E2277" s="31">
        <v>38954</v>
      </c>
      <c r="F2277" s="31" t="s">
        <v>924</v>
      </c>
      <c r="G2277" s="31">
        <v>933</v>
      </c>
      <c r="H2277" s="31" t="s">
        <v>1178</v>
      </c>
      <c r="I2277" s="38">
        <v>350</v>
      </c>
    </row>
    <row r="2278" spans="1:10" x14ac:dyDescent="0.35">
      <c r="A2278" s="31">
        <v>1138.5</v>
      </c>
      <c r="B2278" s="19"/>
      <c r="C2278" s="31" t="s">
        <v>151</v>
      </c>
      <c r="D2278" s="37">
        <v>45899</v>
      </c>
      <c r="E2278" s="31">
        <v>38954</v>
      </c>
      <c r="F2278" s="31" t="s">
        <v>924</v>
      </c>
      <c r="G2278" s="31">
        <v>933</v>
      </c>
      <c r="H2278" s="31" t="s">
        <v>1178</v>
      </c>
      <c r="J2278" s="38">
        <v>350</v>
      </c>
    </row>
    <row r="2279" spans="1:10" x14ac:dyDescent="0.35">
      <c r="A2279" s="31">
        <v>1139</v>
      </c>
      <c r="B2279" s="19" t="s">
        <v>17</v>
      </c>
      <c r="D2279" s="37">
        <v>45899</v>
      </c>
      <c r="E2279" s="31">
        <v>38970</v>
      </c>
      <c r="F2279" s="31" t="s">
        <v>925</v>
      </c>
      <c r="G2279" s="31">
        <v>2499</v>
      </c>
      <c r="H2279" s="31" t="s">
        <v>1178</v>
      </c>
      <c r="I2279" s="38">
        <v>350</v>
      </c>
    </row>
    <row r="2280" spans="1:10" x14ac:dyDescent="0.35">
      <c r="A2280" s="31">
        <v>1139.5</v>
      </c>
      <c r="B2280" s="19"/>
      <c r="C2280" s="31" t="s">
        <v>151</v>
      </c>
      <c r="D2280" s="37">
        <v>45899</v>
      </c>
      <c r="E2280" s="31">
        <v>38970</v>
      </c>
      <c r="F2280" s="31" t="s">
        <v>925</v>
      </c>
      <c r="G2280" s="31">
        <v>2499</v>
      </c>
      <c r="H2280" s="31" t="s">
        <v>1178</v>
      </c>
      <c r="J2280" s="38">
        <v>350</v>
      </c>
    </row>
    <row r="2281" spans="1:10" x14ac:dyDescent="0.35">
      <c r="A2281" s="31">
        <v>1140</v>
      </c>
      <c r="B2281" s="19" t="s">
        <v>17</v>
      </c>
      <c r="D2281" s="37">
        <v>45899</v>
      </c>
      <c r="E2281" s="31">
        <v>38981</v>
      </c>
      <c r="F2281" s="31" t="s">
        <v>917</v>
      </c>
      <c r="G2281" s="31">
        <v>2307</v>
      </c>
      <c r="H2281" s="31" t="s">
        <v>1178</v>
      </c>
      <c r="I2281" s="38">
        <v>370</v>
      </c>
    </row>
    <row r="2282" spans="1:10" x14ac:dyDescent="0.35">
      <c r="A2282" s="31">
        <v>1140.5</v>
      </c>
      <c r="B2282" s="19"/>
      <c r="C2282" s="31" t="s">
        <v>151</v>
      </c>
      <c r="D2282" s="37">
        <v>45899</v>
      </c>
      <c r="E2282" s="31">
        <v>38981</v>
      </c>
      <c r="F2282" s="31" t="s">
        <v>917</v>
      </c>
      <c r="G2282" s="31">
        <v>2307</v>
      </c>
      <c r="H2282" s="31" t="s">
        <v>1178</v>
      </c>
      <c r="J2282" s="38">
        <v>370</v>
      </c>
    </row>
    <row r="2283" spans="1:10" x14ac:dyDescent="0.35">
      <c r="A2283" s="31">
        <v>1141</v>
      </c>
      <c r="B2283" s="19" t="s">
        <v>17</v>
      </c>
      <c r="D2283" s="37">
        <v>45899</v>
      </c>
      <c r="E2283" s="31">
        <v>38993</v>
      </c>
      <c r="F2283" s="31" t="s">
        <v>55</v>
      </c>
      <c r="G2283" s="31">
        <v>3335</v>
      </c>
      <c r="H2283" s="31" t="s">
        <v>1178</v>
      </c>
      <c r="I2283" s="38">
        <v>6712.5</v>
      </c>
    </row>
    <row r="2284" spans="1:10" x14ac:dyDescent="0.35">
      <c r="A2284" s="31">
        <v>1141.5</v>
      </c>
      <c r="B2284" s="19"/>
      <c r="C2284" s="31" t="s">
        <v>151</v>
      </c>
      <c r="D2284" s="37">
        <v>45899</v>
      </c>
      <c r="E2284" s="31">
        <v>38993</v>
      </c>
      <c r="F2284" s="31" t="s">
        <v>55</v>
      </c>
      <c r="G2284" s="31">
        <v>3335</v>
      </c>
      <c r="H2284" s="31" t="s">
        <v>1178</v>
      </c>
      <c r="J2284" s="38">
        <v>6712.5</v>
      </c>
    </row>
    <row r="2285" spans="1:10" x14ac:dyDescent="0.35">
      <c r="A2285" s="31">
        <v>1142</v>
      </c>
      <c r="B2285" s="19" t="s">
        <v>17</v>
      </c>
      <c r="D2285" s="37">
        <v>45899</v>
      </c>
      <c r="E2285" s="31">
        <v>38996</v>
      </c>
      <c r="F2285" s="31" t="s">
        <v>128</v>
      </c>
      <c r="G2285" s="31">
        <v>2442</v>
      </c>
      <c r="H2285" s="31" t="s">
        <v>1178</v>
      </c>
      <c r="I2285" s="38">
        <v>350</v>
      </c>
    </row>
    <row r="2286" spans="1:10" x14ac:dyDescent="0.35">
      <c r="A2286" s="31">
        <v>1142.5</v>
      </c>
      <c r="B2286" s="19"/>
      <c r="C2286" s="31" t="s">
        <v>151</v>
      </c>
      <c r="D2286" s="37">
        <v>45899</v>
      </c>
      <c r="E2286" s="31">
        <v>38996</v>
      </c>
      <c r="F2286" s="31" t="s">
        <v>128</v>
      </c>
      <c r="G2286" s="31">
        <v>2442</v>
      </c>
      <c r="H2286" s="31" t="s">
        <v>1178</v>
      </c>
      <c r="J2286" s="38">
        <v>350</v>
      </c>
    </row>
    <row r="2287" spans="1:10" x14ac:dyDescent="0.35">
      <c r="A2287" s="31">
        <v>1143</v>
      </c>
      <c r="B2287" s="19" t="s">
        <v>17</v>
      </c>
      <c r="D2287" s="37">
        <v>45899</v>
      </c>
      <c r="E2287" s="31">
        <v>39002</v>
      </c>
      <c r="F2287" s="31" t="s">
        <v>926</v>
      </c>
      <c r="G2287" s="31">
        <v>733</v>
      </c>
      <c r="H2287" s="31" t="s">
        <v>1178</v>
      </c>
      <c r="I2287" s="38">
        <v>1900</v>
      </c>
    </row>
    <row r="2288" spans="1:10" x14ac:dyDescent="0.35">
      <c r="A2288" s="31">
        <v>1143.5</v>
      </c>
      <c r="B2288" s="19"/>
      <c r="C2288" s="31" t="s">
        <v>151</v>
      </c>
      <c r="D2288" s="37">
        <v>45899</v>
      </c>
      <c r="E2288" s="31">
        <v>39002</v>
      </c>
      <c r="F2288" s="31" t="s">
        <v>926</v>
      </c>
      <c r="G2288" s="31">
        <v>733</v>
      </c>
      <c r="H2288" s="31" t="s">
        <v>1178</v>
      </c>
      <c r="J2288" s="38">
        <v>1900</v>
      </c>
    </row>
    <row r="2289" spans="1:10" x14ac:dyDescent="0.35">
      <c r="A2289" s="31">
        <v>1144</v>
      </c>
      <c r="B2289" s="19" t="s">
        <v>17</v>
      </c>
      <c r="D2289" s="37">
        <v>45899</v>
      </c>
      <c r="E2289" s="31">
        <v>39010</v>
      </c>
      <c r="F2289" s="31" t="s">
        <v>927</v>
      </c>
      <c r="G2289" s="31">
        <v>1576</v>
      </c>
      <c r="H2289" s="31" t="s">
        <v>1178</v>
      </c>
      <c r="I2289" s="38">
        <v>693</v>
      </c>
    </row>
    <row r="2290" spans="1:10" x14ac:dyDescent="0.35">
      <c r="A2290" s="31">
        <v>1144.5</v>
      </c>
      <c r="B2290" s="19"/>
      <c r="C2290" s="31" t="s">
        <v>151</v>
      </c>
      <c r="D2290" s="37">
        <v>45899</v>
      </c>
      <c r="E2290" s="31">
        <v>39010</v>
      </c>
      <c r="F2290" s="31" t="s">
        <v>927</v>
      </c>
      <c r="G2290" s="31">
        <v>1576</v>
      </c>
      <c r="H2290" s="31" t="s">
        <v>1178</v>
      </c>
      <c r="J2290" s="38">
        <v>693</v>
      </c>
    </row>
    <row r="2291" spans="1:10" x14ac:dyDescent="0.35">
      <c r="A2291" s="31">
        <v>1145</v>
      </c>
      <c r="B2291" s="19" t="s">
        <v>17</v>
      </c>
      <c r="D2291" s="37">
        <v>45900</v>
      </c>
      <c r="E2291" s="31" t="s">
        <v>1180</v>
      </c>
      <c r="F2291" s="31" t="s">
        <v>1181</v>
      </c>
      <c r="G2291" s="31">
        <v>3631</v>
      </c>
      <c r="H2291" s="31" t="s">
        <v>1178</v>
      </c>
      <c r="I2291" s="38">
        <v>541.25</v>
      </c>
    </row>
    <row r="2292" spans="1:10" x14ac:dyDescent="0.35">
      <c r="A2292" s="31">
        <v>1145.5</v>
      </c>
      <c r="B2292" s="19"/>
      <c r="C2292" s="31" t="s">
        <v>151</v>
      </c>
      <c r="D2292" s="37">
        <v>45900</v>
      </c>
      <c r="E2292" s="31" t="s">
        <v>1180</v>
      </c>
      <c r="F2292" s="31" t="s">
        <v>1181</v>
      </c>
      <c r="G2292" s="31">
        <v>3631</v>
      </c>
      <c r="H2292" s="31" t="s">
        <v>1178</v>
      </c>
      <c r="J2292" s="38">
        <v>541.25</v>
      </c>
    </row>
    <row r="2293" spans="1:10" x14ac:dyDescent="0.35">
      <c r="A2293" s="31">
        <v>1146</v>
      </c>
      <c r="B2293" s="19" t="s">
        <v>17</v>
      </c>
      <c r="D2293" s="37">
        <v>45900</v>
      </c>
      <c r="E2293" s="31" t="s">
        <v>955</v>
      </c>
      <c r="F2293" s="31" t="s">
        <v>29</v>
      </c>
      <c r="G2293" s="31">
        <v>2328</v>
      </c>
      <c r="H2293" s="31" t="s">
        <v>1178</v>
      </c>
      <c r="I2293" s="38">
        <v>730.89</v>
      </c>
    </row>
    <row r="2294" spans="1:10" x14ac:dyDescent="0.35">
      <c r="A2294" s="31">
        <v>1146.5</v>
      </c>
      <c r="B2294" s="19"/>
      <c r="C2294" s="31" t="s">
        <v>151</v>
      </c>
      <c r="D2294" s="37">
        <v>45900</v>
      </c>
      <c r="E2294" s="31" t="s">
        <v>955</v>
      </c>
      <c r="F2294" s="31" t="s">
        <v>29</v>
      </c>
      <c r="G2294" s="31">
        <v>2328</v>
      </c>
      <c r="H2294" s="31" t="s">
        <v>1178</v>
      </c>
      <c r="J2294" s="38">
        <v>730.89</v>
      </c>
    </row>
    <row r="2295" spans="1:10" x14ac:dyDescent="0.35">
      <c r="A2295" s="31">
        <v>1147</v>
      </c>
      <c r="B2295" s="19" t="s">
        <v>17</v>
      </c>
      <c r="D2295" s="37">
        <v>45900</v>
      </c>
      <c r="E2295" s="31">
        <v>33967</v>
      </c>
      <c r="F2295" s="31" t="s">
        <v>50</v>
      </c>
      <c r="G2295" s="31">
        <v>1938</v>
      </c>
      <c r="H2295" s="31" t="s">
        <v>1178</v>
      </c>
      <c r="I2295" s="38">
        <v>0</v>
      </c>
    </row>
    <row r="2296" spans="1:10" x14ac:dyDescent="0.35">
      <c r="A2296" s="31">
        <v>1147.5</v>
      </c>
      <c r="B2296" s="19"/>
      <c r="C2296" s="31" t="s">
        <v>151</v>
      </c>
      <c r="D2296" s="37">
        <v>45900</v>
      </c>
      <c r="E2296" s="31">
        <v>33967</v>
      </c>
      <c r="F2296" s="31" t="s">
        <v>50</v>
      </c>
      <c r="G2296" s="31">
        <v>1938</v>
      </c>
      <c r="H2296" s="31" t="s">
        <v>1178</v>
      </c>
      <c r="J2296" s="38">
        <v>0</v>
      </c>
    </row>
    <row r="2297" spans="1:10" x14ac:dyDescent="0.35">
      <c r="A2297" s="31">
        <v>1148</v>
      </c>
      <c r="B2297" s="19" t="s">
        <v>17</v>
      </c>
      <c r="D2297" s="37">
        <v>45900</v>
      </c>
      <c r="E2297" s="31" t="s">
        <v>967</v>
      </c>
      <c r="F2297" s="31" t="s">
        <v>44</v>
      </c>
      <c r="G2297" s="31">
        <v>3361</v>
      </c>
      <c r="H2297" s="31" t="s">
        <v>1178</v>
      </c>
      <c r="I2297" s="38">
        <v>7230.75</v>
      </c>
    </row>
    <row r="2298" spans="1:10" x14ac:dyDescent="0.35">
      <c r="A2298" s="31">
        <v>1148.5</v>
      </c>
      <c r="B2298" s="19"/>
      <c r="C2298" s="31" t="s">
        <v>151</v>
      </c>
      <c r="D2298" s="37">
        <v>45900</v>
      </c>
      <c r="E2298" s="31" t="s">
        <v>967</v>
      </c>
      <c r="F2298" s="31" t="s">
        <v>44</v>
      </c>
      <c r="G2298" s="31">
        <v>3361</v>
      </c>
      <c r="H2298" s="31" t="s">
        <v>1178</v>
      </c>
      <c r="J2298" s="38">
        <v>7230.75</v>
      </c>
    </row>
    <row r="2299" spans="1:10" x14ac:dyDescent="0.35">
      <c r="A2299" s="31">
        <v>1149</v>
      </c>
      <c r="B2299" s="19" t="s">
        <v>17</v>
      </c>
      <c r="D2299" s="37">
        <v>45900</v>
      </c>
      <c r="E2299" s="31">
        <v>34382</v>
      </c>
      <c r="F2299" s="31" t="s">
        <v>50</v>
      </c>
      <c r="G2299" s="31">
        <v>1938</v>
      </c>
      <c r="H2299" s="31" t="s">
        <v>1178</v>
      </c>
      <c r="I2299" s="38">
        <v>0</v>
      </c>
    </row>
    <row r="2300" spans="1:10" x14ac:dyDescent="0.35">
      <c r="A2300" s="31">
        <v>1149.5</v>
      </c>
      <c r="B2300" s="19"/>
      <c r="C2300" s="31" t="s">
        <v>151</v>
      </c>
      <c r="D2300" s="37">
        <v>45900</v>
      </c>
      <c r="E2300" s="31">
        <v>34382</v>
      </c>
      <c r="F2300" s="31" t="s">
        <v>50</v>
      </c>
      <c r="G2300" s="31">
        <v>1938</v>
      </c>
      <c r="H2300" s="31" t="s">
        <v>1178</v>
      </c>
      <c r="J2300" s="38">
        <v>0</v>
      </c>
    </row>
    <row r="2301" spans="1:10" x14ac:dyDescent="0.35">
      <c r="A2301" s="31">
        <v>1150</v>
      </c>
      <c r="B2301" s="19" t="s">
        <v>17</v>
      </c>
      <c r="D2301" s="37">
        <v>45900</v>
      </c>
      <c r="E2301" s="31" t="s">
        <v>1182</v>
      </c>
      <c r="F2301" s="31" t="s">
        <v>405</v>
      </c>
      <c r="G2301" s="31">
        <v>690</v>
      </c>
      <c r="H2301" s="31" t="s">
        <v>1178</v>
      </c>
      <c r="I2301" s="38">
        <v>0.28000000000000003</v>
      </c>
    </row>
    <row r="2302" spans="1:10" x14ac:dyDescent="0.35">
      <c r="A2302" s="31">
        <v>1150.5</v>
      </c>
      <c r="B2302" s="19"/>
      <c r="C2302" s="31" t="s">
        <v>151</v>
      </c>
      <c r="D2302" s="37">
        <v>45900</v>
      </c>
      <c r="E2302" s="31" t="s">
        <v>1182</v>
      </c>
      <c r="F2302" s="31" t="s">
        <v>405</v>
      </c>
      <c r="G2302" s="31">
        <v>690</v>
      </c>
      <c r="H2302" s="31" t="s">
        <v>1178</v>
      </c>
      <c r="J2302" s="38">
        <v>0.28000000000000003</v>
      </c>
    </row>
    <row r="2303" spans="1:10" x14ac:dyDescent="0.35">
      <c r="A2303" s="31">
        <v>1151</v>
      </c>
      <c r="B2303" s="19" t="s">
        <v>17</v>
      </c>
      <c r="D2303" s="37">
        <v>45900</v>
      </c>
      <c r="E2303" s="31" t="s">
        <v>978</v>
      </c>
      <c r="F2303" s="31" t="s">
        <v>408</v>
      </c>
      <c r="G2303" s="31">
        <v>3539</v>
      </c>
      <c r="H2303" s="31" t="s">
        <v>1178</v>
      </c>
      <c r="I2303" s="38">
        <v>13366.38</v>
      </c>
    </row>
    <row r="2304" spans="1:10" x14ac:dyDescent="0.35">
      <c r="A2304" s="31">
        <v>1151.5</v>
      </c>
      <c r="B2304" s="19"/>
      <c r="C2304" s="31" t="s">
        <v>151</v>
      </c>
      <c r="D2304" s="37">
        <v>45900</v>
      </c>
      <c r="E2304" s="31" t="s">
        <v>978</v>
      </c>
      <c r="F2304" s="31" t="s">
        <v>408</v>
      </c>
      <c r="G2304" s="31">
        <v>3539</v>
      </c>
      <c r="H2304" s="31" t="s">
        <v>1178</v>
      </c>
      <c r="J2304" s="38">
        <v>13366.38</v>
      </c>
    </row>
    <row r="2305" spans="1:10" x14ac:dyDescent="0.35">
      <c r="A2305" s="31">
        <v>1152</v>
      </c>
      <c r="B2305" s="19" t="s">
        <v>17</v>
      </c>
      <c r="D2305" s="37">
        <v>45900</v>
      </c>
      <c r="E2305" s="31" t="s">
        <v>993</v>
      </c>
      <c r="F2305" s="31" t="s">
        <v>80</v>
      </c>
      <c r="G2305" s="31">
        <v>3351</v>
      </c>
      <c r="H2305" s="31" t="s">
        <v>1178</v>
      </c>
      <c r="I2305" s="38">
        <v>12512.58</v>
      </c>
    </row>
    <row r="2306" spans="1:10" x14ac:dyDescent="0.35">
      <c r="A2306" s="31">
        <v>1152.5</v>
      </c>
      <c r="B2306" s="19"/>
      <c r="C2306" s="31" t="s">
        <v>151</v>
      </c>
      <c r="D2306" s="37">
        <v>45900</v>
      </c>
      <c r="E2306" s="31" t="s">
        <v>993</v>
      </c>
      <c r="F2306" s="31" t="s">
        <v>80</v>
      </c>
      <c r="G2306" s="31">
        <v>3351</v>
      </c>
      <c r="H2306" s="31" t="s">
        <v>1178</v>
      </c>
      <c r="J2306" s="38">
        <v>12512.58</v>
      </c>
    </row>
    <row r="2307" spans="1:10" x14ac:dyDescent="0.35">
      <c r="A2307" s="31">
        <v>1153</v>
      </c>
      <c r="B2307" s="19" t="s">
        <v>17</v>
      </c>
      <c r="D2307" s="37">
        <v>45900</v>
      </c>
      <c r="E2307" s="31">
        <v>35434</v>
      </c>
      <c r="F2307" s="31" t="s">
        <v>80</v>
      </c>
      <c r="G2307" s="31">
        <v>3351</v>
      </c>
      <c r="H2307" s="31" t="s">
        <v>1178</v>
      </c>
      <c r="I2307" s="38">
        <v>1847.68</v>
      </c>
    </row>
    <row r="2308" spans="1:10" x14ac:dyDescent="0.35">
      <c r="A2308" s="31">
        <v>1153.5</v>
      </c>
      <c r="B2308" s="19"/>
      <c r="C2308" s="31" t="s">
        <v>151</v>
      </c>
      <c r="D2308" s="37">
        <v>45900</v>
      </c>
      <c r="E2308" s="31">
        <v>35434</v>
      </c>
      <c r="F2308" s="31" t="s">
        <v>80</v>
      </c>
      <c r="G2308" s="31">
        <v>3351</v>
      </c>
      <c r="H2308" s="31" t="s">
        <v>1178</v>
      </c>
      <c r="J2308" s="38">
        <v>1847.68</v>
      </c>
    </row>
    <row r="2309" spans="1:10" x14ac:dyDescent="0.35">
      <c r="A2309" s="31">
        <v>1154</v>
      </c>
      <c r="B2309" s="19" t="s">
        <v>17</v>
      </c>
      <c r="D2309" s="37">
        <v>45900</v>
      </c>
      <c r="E2309" s="31" t="s">
        <v>1002</v>
      </c>
      <c r="F2309" s="31" t="s">
        <v>80</v>
      </c>
      <c r="G2309" s="31">
        <v>3351</v>
      </c>
      <c r="H2309" s="31" t="s">
        <v>1178</v>
      </c>
      <c r="I2309" s="38">
        <v>1471.5</v>
      </c>
    </row>
    <row r="2310" spans="1:10" x14ac:dyDescent="0.35">
      <c r="A2310" s="31">
        <v>1154.5</v>
      </c>
      <c r="B2310" s="19"/>
      <c r="C2310" s="31" t="s">
        <v>151</v>
      </c>
      <c r="D2310" s="37">
        <v>45900</v>
      </c>
      <c r="E2310" s="31" t="s">
        <v>1002</v>
      </c>
      <c r="F2310" s="31" t="s">
        <v>80</v>
      </c>
      <c r="G2310" s="31">
        <v>3351</v>
      </c>
      <c r="H2310" s="31" t="s">
        <v>1178</v>
      </c>
      <c r="J2310" s="38">
        <v>1471.5</v>
      </c>
    </row>
    <row r="2311" spans="1:10" x14ac:dyDescent="0.35">
      <c r="A2311" s="31">
        <v>1155</v>
      </c>
      <c r="B2311" s="19" t="s">
        <v>17</v>
      </c>
      <c r="D2311" s="37">
        <v>45900</v>
      </c>
      <c r="E2311" s="31">
        <v>35494</v>
      </c>
      <c r="F2311" s="31" t="s">
        <v>449</v>
      </c>
      <c r="G2311" s="31">
        <v>3542</v>
      </c>
      <c r="H2311" s="31" t="s">
        <v>1178</v>
      </c>
      <c r="I2311" s="38">
        <v>292.52</v>
      </c>
    </row>
    <row r="2312" spans="1:10" x14ac:dyDescent="0.35">
      <c r="A2312" s="31">
        <v>1155.5</v>
      </c>
      <c r="B2312" s="19"/>
      <c r="C2312" s="31" t="s">
        <v>151</v>
      </c>
      <c r="D2312" s="37">
        <v>45900</v>
      </c>
      <c r="E2312" s="31">
        <v>35494</v>
      </c>
      <c r="F2312" s="31" t="s">
        <v>449</v>
      </c>
      <c r="G2312" s="31">
        <v>3542</v>
      </c>
      <c r="H2312" s="31" t="s">
        <v>1178</v>
      </c>
      <c r="J2312" s="38">
        <v>292.52</v>
      </c>
    </row>
    <row r="2313" spans="1:10" x14ac:dyDescent="0.35">
      <c r="A2313" s="31">
        <v>1156</v>
      </c>
      <c r="B2313" s="19" t="s">
        <v>17</v>
      </c>
      <c r="D2313" s="37">
        <v>45900</v>
      </c>
      <c r="E2313" s="31" t="s">
        <v>1009</v>
      </c>
      <c r="F2313" s="31" t="s">
        <v>453</v>
      </c>
      <c r="G2313" s="31">
        <v>3400</v>
      </c>
      <c r="H2313" s="31" t="s">
        <v>1178</v>
      </c>
      <c r="I2313" s="38">
        <v>4315.75</v>
      </c>
    </row>
    <row r="2314" spans="1:10" x14ac:dyDescent="0.35">
      <c r="A2314" s="31">
        <v>1156.5</v>
      </c>
      <c r="B2314" s="19"/>
      <c r="C2314" s="31" t="s">
        <v>151</v>
      </c>
      <c r="D2314" s="37">
        <v>45900</v>
      </c>
      <c r="E2314" s="31" t="s">
        <v>1009</v>
      </c>
      <c r="F2314" s="31" t="s">
        <v>453</v>
      </c>
      <c r="G2314" s="31">
        <v>3400</v>
      </c>
      <c r="H2314" s="31" t="s">
        <v>1178</v>
      </c>
      <c r="J2314" s="38">
        <v>4315.75</v>
      </c>
    </row>
    <row r="2315" spans="1:10" x14ac:dyDescent="0.35">
      <c r="A2315" s="31">
        <v>1157</v>
      </c>
      <c r="B2315" s="19" t="s">
        <v>17</v>
      </c>
      <c r="D2315" s="37">
        <v>45900</v>
      </c>
      <c r="E2315" s="31" t="s">
        <v>1011</v>
      </c>
      <c r="F2315" s="31" t="s">
        <v>453</v>
      </c>
      <c r="G2315" s="31">
        <v>3400</v>
      </c>
      <c r="H2315" s="31" t="s">
        <v>1178</v>
      </c>
      <c r="I2315" s="38">
        <v>1194.6300000000001</v>
      </c>
    </row>
    <row r="2316" spans="1:10" x14ac:dyDescent="0.35">
      <c r="A2316" s="31">
        <v>1157.5</v>
      </c>
      <c r="B2316" s="19"/>
      <c r="C2316" s="31" t="s">
        <v>151</v>
      </c>
      <c r="D2316" s="37">
        <v>45900</v>
      </c>
      <c r="E2316" s="31" t="s">
        <v>1011</v>
      </c>
      <c r="F2316" s="31" t="s">
        <v>453</v>
      </c>
      <c r="G2316" s="31">
        <v>3400</v>
      </c>
      <c r="H2316" s="31" t="s">
        <v>1178</v>
      </c>
      <c r="J2316" s="38">
        <v>1194.6300000000001</v>
      </c>
    </row>
    <row r="2317" spans="1:10" x14ac:dyDescent="0.35">
      <c r="A2317" s="31">
        <v>1158</v>
      </c>
      <c r="B2317" s="19" t="s">
        <v>17</v>
      </c>
      <c r="D2317" s="37">
        <v>45900</v>
      </c>
      <c r="E2317" s="31" t="s">
        <v>1018</v>
      </c>
      <c r="F2317" s="31" t="s">
        <v>55</v>
      </c>
      <c r="G2317" s="31">
        <v>3335</v>
      </c>
      <c r="H2317" s="31" t="s">
        <v>1178</v>
      </c>
      <c r="I2317" s="38">
        <v>4817.0200000000004</v>
      </c>
    </row>
    <row r="2318" spans="1:10" x14ac:dyDescent="0.35">
      <c r="A2318" s="31">
        <v>1158.5</v>
      </c>
      <c r="B2318" s="19"/>
      <c r="C2318" s="31" t="s">
        <v>151</v>
      </c>
      <c r="D2318" s="37">
        <v>45900</v>
      </c>
      <c r="E2318" s="31" t="s">
        <v>1018</v>
      </c>
      <c r="F2318" s="31" t="s">
        <v>55</v>
      </c>
      <c r="G2318" s="31">
        <v>3335</v>
      </c>
      <c r="H2318" s="31" t="s">
        <v>1178</v>
      </c>
      <c r="J2318" s="38">
        <v>4817.0200000000004</v>
      </c>
    </row>
    <row r="2319" spans="1:10" x14ac:dyDescent="0.35">
      <c r="A2319" s="31">
        <v>1159</v>
      </c>
      <c r="B2319" s="19" t="s">
        <v>17</v>
      </c>
      <c r="D2319" s="37">
        <v>45900</v>
      </c>
      <c r="E2319" s="31" t="s">
        <v>1020</v>
      </c>
      <c r="F2319" s="31" t="s">
        <v>55</v>
      </c>
      <c r="G2319" s="31">
        <v>3335</v>
      </c>
      <c r="H2319" s="31" t="s">
        <v>1178</v>
      </c>
      <c r="I2319" s="38">
        <v>9505.74</v>
      </c>
    </row>
    <row r="2320" spans="1:10" x14ac:dyDescent="0.35">
      <c r="A2320" s="31">
        <v>1159.5</v>
      </c>
      <c r="B2320" s="19"/>
      <c r="C2320" s="31" t="s">
        <v>151</v>
      </c>
      <c r="D2320" s="37">
        <v>45900</v>
      </c>
      <c r="E2320" s="31" t="s">
        <v>1020</v>
      </c>
      <c r="F2320" s="31" t="s">
        <v>55</v>
      </c>
      <c r="G2320" s="31">
        <v>3335</v>
      </c>
      <c r="H2320" s="31" t="s">
        <v>1178</v>
      </c>
      <c r="J2320" s="38">
        <v>9505.74</v>
      </c>
    </row>
    <row r="2321" spans="1:10" x14ac:dyDescent="0.35">
      <c r="A2321" s="31">
        <v>1160</v>
      </c>
      <c r="B2321" s="19" t="s">
        <v>17</v>
      </c>
      <c r="D2321" s="37">
        <v>45900</v>
      </c>
      <c r="E2321" s="31">
        <v>35797</v>
      </c>
      <c r="F2321" s="31" t="s">
        <v>55</v>
      </c>
      <c r="G2321" s="31">
        <v>3335</v>
      </c>
      <c r="H2321" s="31" t="s">
        <v>1178</v>
      </c>
      <c r="I2321" s="38">
        <v>10327.44</v>
      </c>
    </row>
    <row r="2322" spans="1:10" x14ac:dyDescent="0.35">
      <c r="A2322" s="31">
        <v>1160.5</v>
      </c>
      <c r="B2322" s="19"/>
      <c r="C2322" s="31" t="s">
        <v>151</v>
      </c>
      <c r="D2322" s="37">
        <v>45900</v>
      </c>
      <c r="E2322" s="31">
        <v>35797</v>
      </c>
      <c r="F2322" s="31" t="s">
        <v>55</v>
      </c>
      <c r="G2322" s="31">
        <v>3335</v>
      </c>
      <c r="H2322" s="31" t="s">
        <v>1178</v>
      </c>
      <c r="J2322" s="38">
        <v>10327.44</v>
      </c>
    </row>
    <row r="2323" spans="1:10" x14ac:dyDescent="0.35">
      <c r="A2323" s="31">
        <v>1161</v>
      </c>
      <c r="B2323" s="19" t="s">
        <v>17</v>
      </c>
      <c r="D2323" s="37">
        <v>45900</v>
      </c>
      <c r="E2323" s="31" t="s">
        <v>1021</v>
      </c>
      <c r="F2323" s="31" t="s">
        <v>55</v>
      </c>
      <c r="G2323" s="31">
        <v>3335</v>
      </c>
      <c r="H2323" s="31" t="s">
        <v>1178</v>
      </c>
      <c r="I2323" s="38">
        <v>8252.7000000000007</v>
      </c>
    </row>
    <row r="2324" spans="1:10" x14ac:dyDescent="0.35">
      <c r="A2324" s="31">
        <v>1161.5</v>
      </c>
      <c r="B2324" s="19"/>
      <c r="C2324" s="31" t="s">
        <v>151</v>
      </c>
      <c r="D2324" s="37">
        <v>45900</v>
      </c>
      <c r="E2324" s="31" t="s">
        <v>1021</v>
      </c>
      <c r="F2324" s="31" t="s">
        <v>55</v>
      </c>
      <c r="G2324" s="31">
        <v>3335</v>
      </c>
      <c r="H2324" s="31" t="s">
        <v>1178</v>
      </c>
      <c r="J2324" s="38">
        <v>8252.7000000000007</v>
      </c>
    </row>
    <row r="2325" spans="1:10" x14ac:dyDescent="0.35">
      <c r="A2325" s="31">
        <v>1162</v>
      </c>
      <c r="B2325" s="19" t="s">
        <v>17</v>
      </c>
      <c r="D2325" s="37">
        <v>45900</v>
      </c>
      <c r="E2325" s="31" t="s">
        <v>1022</v>
      </c>
      <c r="F2325" s="31" t="s">
        <v>55</v>
      </c>
      <c r="G2325" s="31">
        <v>3335</v>
      </c>
      <c r="H2325" s="31" t="s">
        <v>1178</v>
      </c>
      <c r="I2325" s="38">
        <v>11819.71</v>
      </c>
    </row>
    <row r="2326" spans="1:10" x14ac:dyDescent="0.35">
      <c r="A2326" s="31">
        <v>1162.5</v>
      </c>
      <c r="B2326" s="19"/>
      <c r="C2326" s="31" t="s">
        <v>151</v>
      </c>
      <c r="D2326" s="37">
        <v>45900</v>
      </c>
      <c r="E2326" s="31" t="s">
        <v>1022</v>
      </c>
      <c r="F2326" s="31" t="s">
        <v>55</v>
      </c>
      <c r="G2326" s="31">
        <v>3335</v>
      </c>
      <c r="H2326" s="31" t="s">
        <v>1178</v>
      </c>
      <c r="J2326" s="38">
        <v>11819.71</v>
      </c>
    </row>
    <row r="2327" spans="1:10" x14ac:dyDescent="0.35">
      <c r="A2327" s="31">
        <v>1163</v>
      </c>
      <c r="B2327" s="19" t="s">
        <v>17</v>
      </c>
      <c r="D2327" s="37">
        <v>45900</v>
      </c>
      <c r="E2327" s="31">
        <v>35806</v>
      </c>
      <c r="F2327" s="31" t="s">
        <v>55</v>
      </c>
      <c r="G2327" s="31">
        <v>3335</v>
      </c>
      <c r="H2327" s="31" t="s">
        <v>1178</v>
      </c>
      <c r="I2327" s="38">
        <v>1022.42</v>
      </c>
    </row>
    <row r="2328" spans="1:10" x14ac:dyDescent="0.35">
      <c r="A2328" s="31">
        <v>1163.5</v>
      </c>
      <c r="B2328" s="19"/>
      <c r="C2328" s="31" t="s">
        <v>151</v>
      </c>
      <c r="D2328" s="37">
        <v>45900</v>
      </c>
      <c r="E2328" s="31">
        <v>35806</v>
      </c>
      <c r="F2328" s="31" t="s">
        <v>55</v>
      </c>
      <c r="G2328" s="31">
        <v>3335</v>
      </c>
      <c r="H2328" s="31" t="s">
        <v>1178</v>
      </c>
      <c r="J2328" s="38">
        <v>1022.42</v>
      </c>
    </row>
    <row r="2329" spans="1:10" x14ac:dyDescent="0.35">
      <c r="A2329" s="31">
        <v>1164</v>
      </c>
      <c r="B2329" s="19" t="s">
        <v>17</v>
      </c>
      <c r="D2329" s="37">
        <v>45900</v>
      </c>
      <c r="E2329" s="31" t="s">
        <v>1023</v>
      </c>
      <c r="F2329" s="31" t="s">
        <v>55</v>
      </c>
      <c r="G2329" s="31">
        <v>3335</v>
      </c>
      <c r="H2329" s="31" t="s">
        <v>1178</v>
      </c>
      <c r="I2329" s="38">
        <v>19232.13</v>
      </c>
    </row>
    <row r="2330" spans="1:10" x14ac:dyDescent="0.35">
      <c r="A2330" s="31">
        <v>1164.5</v>
      </c>
      <c r="B2330" s="19"/>
      <c r="C2330" s="31" t="s">
        <v>151</v>
      </c>
      <c r="D2330" s="37">
        <v>45900</v>
      </c>
      <c r="E2330" s="31" t="s">
        <v>1023</v>
      </c>
      <c r="F2330" s="31" t="s">
        <v>55</v>
      </c>
      <c r="G2330" s="31">
        <v>3335</v>
      </c>
      <c r="H2330" s="31" t="s">
        <v>1178</v>
      </c>
      <c r="J2330" s="38">
        <v>19232.13</v>
      </c>
    </row>
    <row r="2331" spans="1:10" x14ac:dyDescent="0.35">
      <c r="A2331" s="31">
        <v>1165</v>
      </c>
      <c r="B2331" s="19" t="s">
        <v>17</v>
      </c>
      <c r="D2331" s="37">
        <v>45900</v>
      </c>
      <c r="E2331" s="31" t="s">
        <v>1024</v>
      </c>
      <c r="F2331" s="31" t="s">
        <v>55</v>
      </c>
      <c r="G2331" s="31">
        <v>3335</v>
      </c>
      <c r="H2331" s="31" t="s">
        <v>1178</v>
      </c>
      <c r="I2331" s="38">
        <v>4901.51</v>
      </c>
    </row>
    <row r="2332" spans="1:10" x14ac:dyDescent="0.35">
      <c r="A2332" s="31">
        <v>1165.5</v>
      </c>
      <c r="B2332" s="19"/>
      <c r="C2332" s="31" t="s">
        <v>151</v>
      </c>
      <c r="D2332" s="37">
        <v>45900</v>
      </c>
      <c r="E2332" s="31" t="s">
        <v>1024</v>
      </c>
      <c r="F2332" s="31" t="s">
        <v>55</v>
      </c>
      <c r="G2332" s="31">
        <v>3335</v>
      </c>
      <c r="H2332" s="31" t="s">
        <v>1178</v>
      </c>
      <c r="J2332" s="38">
        <v>4901.51</v>
      </c>
    </row>
    <row r="2333" spans="1:10" x14ac:dyDescent="0.35">
      <c r="A2333" s="31">
        <v>1166</v>
      </c>
      <c r="B2333" s="19" t="s">
        <v>17</v>
      </c>
      <c r="D2333" s="37">
        <v>45900</v>
      </c>
      <c r="E2333" s="31">
        <v>35811</v>
      </c>
      <c r="F2333" s="31" t="s">
        <v>55</v>
      </c>
      <c r="G2333" s="31">
        <v>3335</v>
      </c>
      <c r="H2333" s="31" t="s">
        <v>1178</v>
      </c>
      <c r="I2333" s="38">
        <v>16880.89</v>
      </c>
    </row>
    <row r="2334" spans="1:10" x14ac:dyDescent="0.35">
      <c r="A2334" s="31">
        <v>1166.5</v>
      </c>
      <c r="B2334" s="19"/>
      <c r="C2334" s="31" t="s">
        <v>151</v>
      </c>
      <c r="D2334" s="37">
        <v>45900</v>
      </c>
      <c r="E2334" s="31">
        <v>35811</v>
      </c>
      <c r="F2334" s="31" t="s">
        <v>55</v>
      </c>
      <c r="G2334" s="31">
        <v>3335</v>
      </c>
      <c r="H2334" s="31" t="s">
        <v>1178</v>
      </c>
      <c r="J2334" s="38">
        <v>16880.89</v>
      </c>
    </row>
    <row r="2335" spans="1:10" x14ac:dyDescent="0.35">
      <c r="A2335" s="31">
        <v>1167</v>
      </c>
      <c r="B2335" s="19" t="s">
        <v>17</v>
      </c>
      <c r="D2335" s="37">
        <v>45900</v>
      </c>
      <c r="E2335" s="31" t="s">
        <v>1025</v>
      </c>
      <c r="F2335" s="31" t="s">
        <v>55</v>
      </c>
      <c r="G2335" s="31">
        <v>3335</v>
      </c>
      <c r="H2335" s="31" t="s">
        <v>1178</v>
      </c>
      <c r="I2335" s="38">
        <v>7960.82</v>
      </c>
    </row>
    <row r="2336" spans="1:10" x14ac:dyDescent="0.35">
      <c r="A2336" s="31">
        <v>1167.5</v>
      </c>
      <c r="B2336" s="19"/>
      <c r="C2336" s="31" t="s">
        <v>151</v>
      </c>
      <c r="D2336" s="37">
        <v>45900</v>
      </c>
      <c r="E2336" s="31" t="s">
        <v>1025</v>
      </c>
      <c r="F2336" s="31" t="s">
        <v>55</v>
      </c>
      <c r="G2336" s="31">
        <v>3335</v>
      </c>
      <c r="H2336" s="31" t="s">
        <v>1178</v>
      </c>
      <c r="J2336" s="38">
        <v>7960.82</v>
      </c>
    </row>
    <row r="2337" spans="1:10" x14ac:dyDescent="0.35">
      <c r="A2337" s="31">
        <v>1168</v>
      </c>
      <c r="B2337" s="19" t="s">
        <v>17</v>
      </c>
      <c r="D2337" s="37">
        <v>45900</v>
      </c>
      <c r="E2337" s="31" t="s">
        <v>1026</v>
      </c>
      <c r="F2337" s="31" t="s">
        <v>1027</v>
      </c>
      <c r="G2337" s="31">
        <v>3397</v>
      </c>
      <c r="H2337" s="31" t="s">
        <v>1178</v>
      </c>
      <c r="I2337" s="38">
        <v>-500</v>
      </c>
    </row>
    <row r="2338" spans="1:10" x14ac:dyDescent="0.35">
      <c r="A2338" s="31">
        <v>1168.5</v>
      </c>
      <c r="B2338" s="19"/>
      <c r="C2338" s="31" t="s">
        <v>151</v>
      </c>
      <c r="D2338" s="37">
        <v>45900</v>
      </c>
      <c r="E2338" s="31" t="s">
        <v>1026</v>
      </c>
      <c r="F2338" s="31" t="s">
        <v>1027</v>
      </c>
      <c r="G2338" s="31">
        <v>3397</v>
      </c>
      <c r="H2338" s="31" t="s">
        <v>1178</v>
      </c>
      <c r="J2338" s="38">
        <v>-500</v>
      </c>
    </row>
    <row r="2339" spans="1:10" x14ac:dyDescent="0.35">
      <c r="A2339" s="31">
        <v>1169</v>
      </c>
      <c r="B2339" s="19" t="s">
        <v>17</v>
      </c>
      <c r="D2339" s="37">
        <v>45900</v>
      </c>
      <c r="E2339" s="31" t="s">
        <v>1173</v>
      </c>
      <c r="F2339" s="31" t="s">
        <v>1174</v>
      </c>
      <c r="G2339" s="31">
        <v>3630</v>
      </c>
      <c r="H2339" s="31" t="s">
        <v>1178</v>
      </c>
      <c r="I2339" s="38">
        <v>4923</v>
      </c>
    </row>
    <row r="2340" spans="1:10" x14ac:dyDescent="0.35">
      <c r="A2340" s="31">
        <v>1169.5</v>
      </c>
      <c r="B2340" s="19"/>
      <c r="C2340" s="31" t="s">
        <v>151</v>
      </c>
      <c r="D2340" s="37">
        <v>45900</v>
      </c>
      <c r="E2340" s="31" t="s">
        <v>1173</v>
      </c>
      <c r="F2340" s="31" t="s">
        <v>1174</v>
      </c>
      <c r="G2340" s="31">
        <v>3630</v>
      </c>
      <c r="H2340" s="31" t="s">
        <v>1178</v>
      </c>
      <c r="J2340" s="38">
        <v>4923</v>
      </c>
    </row>
    <row r="2341" spans="1:10" x14ac:dyDescent="0.35">
      <c r="A2341" s="31">
        <v>1170</v>
      </c>
      <c r="B2341" s="19" t="s">
        <v>17</v>
      </c>
      <c r="D2341" s="37">
        <v>45900</v>
      </c>
      <c r="E2341" s="31" t="s">
        <v>1183</v>
      </c>
      <c r="F2341" s="31" t="s">
        <v>221</v>
      </c>
      <c r="G2341" s="31">
        <v>3519</v>
      </c>
      <c r="H2341" s="31" t="s">
        <v>1178</v>
      </c>
      <c r="I2341" s="38">
        <v>0.01</v>
      </c>
    </row>
    <row r="2342" spans="1:10" x14ac:dyDescent="0.35">
      <c r="A2342" s="31">
        <v>1170.5</v>
      </c>
      <c r="B2342" s="19"/>
      <c r="C2342" s="31" t="s">
        <v>151</v>
      </c>
      <c r="D2342" s="37">
        <v>45900</v>
      </c>
      <c r="E2342" s="31" t="s">
        <v>1183</v>
      </c>
      <c r="F2342" s="31" t="s">
        <v>221</v>
      </c>
      <c r="G2342" s="31">
        <v>3519</v>
      </c>
      <c r="H2342" s="31" t="s">
        <v>1178</v>
      </c>
      <c r="J2342" s="38">
        <v>0.01</v>
      </c>
    </row>
    <row r="2343" spans="1:10" x14ac:dyDescent="0.35">
      <c r="A2343" s="31">
        <v>1171</v>
      </c>
      <c r="B2343" s="19" t="s">
        <v>17</v>
      </c>
      <c r="D2343" s="37">
        <v>45900</v>
      </c>
      <c r="E2343" s="31" t="s">
        <v>1040</v>
      </c>
      <c r="F2343" s="31" t="s">
        <v>57</v>
      </c>
      <c r="G2343" s="31">
        <v>3330</v>
      </c>
      <c r="H2343" s="31" t="s">
        <v>1178</v>
      </c>
      <c r="I2343" s="38">
        <v>4729.99</v>
      </c>
    </row>
    <row r="2344" spans="1:10" x14ac:dyDescent="0.35">
      <c r="A2344" s="31">
        <v>1171.5</v>
      </c>
      <c r="B2344" s="19"/>
      <c r="C2344" s="31" t="s">
        <v>151</v>
      </c>
      <c r="D2344" s="37">
        <v>45900</v>
      </c>
      <c r="E2344" s="31" t="s">
        <v>1040</v>
      </c>
      <c r="F2344" s="31" t="s">
        <v>57</v>
      </c>
      <c r="G2344" s="31">
        <v>3330</v>
      </c>
      <c r="H2344" s="31" t="s">
        <v>1178</v>
      </c>
      <c r="J2344" s="38">
        <v>4729.99</v>
      </c>
    </row>
    <row r="2345" spans="1:10" x14ac:dyDescent="0.35">
      <c r="A2345" s="31">
        <v>1172</v>
      </c>
      <c r="B2345" s="19" t="s">
        <v>17</v>
      </c>
      <c r="D2345" s="37">
        <v>45900</v>
      </c>
      <c r="E2345" s="31" t="s">
        <v>1042</v>
      </c>
      <c r="F2345" s="31" t="s">
        <v>1043</v>
      </c>
      <c r="G2345" s="31">
        <v>3561</v>
      </c>
      <c r="H2345" s="31" t="s">
        <v>1178</v>
      </c>
      <c r="I2345" s="38">
        <v>1162.5899999999999</v>
      </c>
    </row>
    <row r="2346" spans="1:10" x14ac:dyDescent="0.35">
      <c r="A2346" s="31">
        <v>1172.5</v>
      </c>
      <c r="B2346" s="19"/>
      <c r="C2346" s="31" t="s">
        <v>151</v>
      </c>
      <c r="D2346" s="37">
        <v>45900</v>
      </c>
      <c r="E2346" s="31" t="s">
        <v>1042</v>
      </c>
      <c r="F2346" s="31" t="s">
        <v>1043</v>
      </c>
      <c r="G2346" s="31">
        <v>3561</v>
      </c>
      <c r="H2346" s="31" t="s">
        <v>1178</v>
      </c>
      <c r="J2346" s="38">
        <v>1162.5899999999999</v>
      </c>
    </row>
    <row r="2347" spans="1:10" x14ac:dyDescent="0.35">
      <c r="A2347" s="31">
        <v>1173</v>
      </c>
      <c r="B2347" s="19" t="s">
        <v>17</v>
      </c>
      <c r="D2347" s="37">
        <v>45900</v>
      </c>
      <c r="E2347" s="31" t="s">
        <v>1184</v>
      </c>
      <c r="F2347" s="31" t="s">
        <v>529</v>
      </c>
      <c r="G2347" s="31">
        <v>727</v>
      </c>
      <c r="H2347" s="31" t="s">
        <v>1178</v>
      </c>
      <c r="I2347" s="38">
        <v>1</v>
      </c>
    </row>
    <row r="2348" spans="1:10" x14ac:dyDescent="0.35">
      <c r="A2348" s="31">
        <v>1173.5</v>
      </c>
      <c r="B2348" s="19"/>
      <c r="C2348" s="31" t="s">
        <v>151</v>
      </c>
      <c r="D2348" s="37">
        <v>45900</v>
      </c>
      <c r="E2348" s="31" t="s">
        <v>1184</v>
      </c>
      <c r="F2348" s="31" t="s">
        <v>529</v>
      </c>
      <c r="G2348" s="31">
        <v>727</v>
      </c>
      <c r="H2348" s="31" t="s">
        <v>1178</v>
      </c>
      <c r="J2348" s="38">
        <v>1</v>
      </c>
    </row>
    <row r="2349" spans="1:10" x14ac:dyDescent="0.35">
      <c r="A2349" s="31">
        <v>1174</v>
      </c>
      <c r="B2349" s="19" t="s">
        <v>17</v>
      </c>
      <c r="D2349" s="37">
        <v>45900</v>
      </c>
      <c r="E2349" s="31">
        <v>37354</v>
      </c>
      <c r="F2349" s="31" t="s">
        <v>1050</v>
      </c>
      <c r="G2349" s="31">
        <v>544</v>
      </c>
      <c r="H2349" s="31" t="s">
        <v>1178</v>
      </c>
      <c r="I2349" s="38">
        <v>4000</v>
      </c>
    </row>
    <row r="2350" spans="1:10" x14ac:dyDescent="0.35">
      <c r="A2350" s="31">
        <v>1174.5</v>
      </c>
      <c r="B2350" s="19"/>
      <c r="C2350" s="31" t="s">
        <v>151</v>
      </c>
      <c r="D2350" s="37">
        <v>45900</v>
      </c>
      <c r="E2350" s="31">
        <v>37354</v>
      </c>
      <c r="F2350" s="31" t="s">
        <v>1050</v>
      </c>
      <c r="G2350" s="31">
        <v>544</v>
      </c>
      <c r="H2350" s="31" t="s">
        <v>1178</v>
      </c>
      <c r="J2350" s="38">
        <v>4000</v>
      </c>
    </row>
    <row r="2351" spans="1:10" x14ac:dyDescent="0.35">
      <c r="A2351" s="31">
        <v>1175</v>
      </c>
      <c r="B2351" s="19" t="s">
        <v>17</v>
      </c>
      <c r="D2351" s="37">
        <v>45900</v>
      </c>
      <c r="E2351" s="31">
        <v>37625</v>
      </c>
      <c r="F2351" s="31" t="s">
        <v>725</v>
      </c>
      <c r="G2351" s="31">
        <v>3321</v>
      </c>
      <c r="H2351" s="31" t="s">
        <v>1178</v>
      </c>
      <c r="I2351" s="38">
        <v>15690.18</v>
      </c>
    </row>
    <row r="2352" spans="1:10" x14ac:dyDescent="0.35">
      <c r="A2352" s="31">
        <v>1175.5</v>
      </c>
      <c r="B2352" s="19"/>
      <c r="C2352" s="31" t="s">
        <v>151</v>
      </c>
      <c r="D2352" s="37">
        <v>45900</v>
      </c>
      <c r="E2352" s="31">
        <v>37625</v>
      </c>
      <c r="F2352" s="31" t="s">
        <v>725</v>
      </c>
      <c r="G2352" s="31">
        <v>3321</v>
      </c>
      <c r="H2352" s="31" t="s">
        <v>1178</v>
      </c>
      <c r="J2352" s="38">
        <v>15690.18</v>
      </c>
    </row>
    <row r="2353" spans="1:10" x14ac:dyDescent="0.35">
      <c r="A2353" s="31">
        <v>1176</v>
      </c>
      <c r="B2353" s="19" t="s">
        <v>17</v>
      </c>
      <c r="D2353" s="37">
        <v>45900</v>
      </c>
      <c r="E2353" s="31">
        <v>37644</v>
      </c>
      <c r="F2353" s="31" t="s">
        <v>725</v>
      </c>
      <c r="G2353" s="31">
        <v>3321</v>
      </c>
      <c r="H2353" s="31" t="s">
        <v>1178</v>
      </c>
      <c r="I2353" s="38">
        <v>3264.14</v>
      </c>
    </row>
    <row r="2354" spans="1:10" x14ac:dyDescent="0.35">
      <c r="A2354" s="31">
        <v>1176.5</v>
      </c>
      <c r="B2354" s="19"/>
      <c r="C2354" s="31" t="s">
        <v>151</v>
      </c>
      <c r="D2354" s="37">
        <v>45900</v>
      </c>
      <c r="E2354" s="31">
        <v>37644</v>
      </c>
      <c r="F2354" s="31" t="s">
        <v>725</v>
      </c>
      <c r="G2354" s="31">
        <v>3321</v>
      </c>
      <c r="H2354" s="31" t="s">
        <v>1178</v>
      </c>
      <c r="J2354" s="38">
        <v>3264.14</v>
      </c>
    </row>
    <row r="2355" spans="1:10" x14ac:dyDescent="0.35">
      <c r="A2355" s="31">
        <v>1177</v>
      </c>
      <c r="B2355" s="19" t="s">
        <v>17</v>
      </c>
      <c r="D2355" s="37">
        <v>45900</v>
      </c>
      <c r="E2355" s="31">
        <v>37776</v>
      </c>
      <c r="F2355" s="31" t="s">
        <v>741</v>
      </c>
      <c r="G2355" s="31">
        <v>2609</v>
      </c>
      <c r="H2355" s="31" t="s">
        <v>1178</v>
      </c>
      <c r="I2355" s="38">
        <v>86.73</v>
      </c>
    </row>
    <row r="2356" spans="1:10" x14ac:dyDescent="0.35">
      <c r="A2356" s="31">
        <v>1177.5</v>
      </c>
      <c r="B2356" s="19"/>
      <c r="C2356" s="31" t="s">
        <v>151</v>
      </c>
      <c r="D2356" s="37">
        <v>45900</v>
      </c>
      <c r="E2356" s="31">
        <v>37776</v>
      </c>
      <c r="F2356" s="31" t="s">
        <v>741</v>
      </c>
      <c r="G2356" s="31">
        <v>2609</v>
      </c>
      <c r="H2356" s="31" t="s">
        <v>1178</v>
      </c>
      <c r="J2356" s="38">
        <v>86.73</v>
      </c>
    </row>
    <row r="2357" spans="1:10" x14ac:dyDescent="0.35">
      <c r="A2357" s="31">
        <v>1178</v>
      </c>
      <c r="B2357" s="19" t="s">
        <v>17</v>
      </c>
      <c r="D2357" s="37">
        <v>45900</v>
      </c>
      <c r="E2357" s="31">
        <v>37903</v>
      </c>
      <c r="F2357" s="31" t="s">
        <v>284</v>
      </c>
      <c r="G2357" s="31">
        <v>3368</v>
      </c>
      <c r="H2357" s="31" t="s">
        <v>1178</v>
      </c>
      <c r="I2357" s="38">
        <v>1050</v>
      </c>
    </row>
    <row r="2358" spans="1:10" x14ac:dyDescent="0.35">
      <c r="A2358" s="31">
        <v>1178.5</v>
      </c>
      <c r="B2358" s="19"/>
      <c r="C2358" s="31" t="s">
        <v>151</v>
      </c>
      <c r="D2358" s="37">
        <v>45900</v>
      </c>
      <c r="E2358" s="31">
        <v>37903</v>
      </c>
      <c r="F2358" s="31" t="s">
        <v>284</v>
      </c>
      <c r="G2358" s="31">
        <v>3368</v>
      </c>
      <c r="H2358" s="31" t="s">
        <v>1178</v>
      </c>
      <c r="J2358" s="38">
        <v>1050</v>
      </c>
    </row>
    <row r="2359" spans="1:10" x14ac:dyDescent="0.35">
      <c r="A2359" s="31">
        <v>1179</v>
      </c>
      <c r="B2359" s="19" t="s">
        <v>17</v>
      </c>
      <c r="D2359" s="37">
        <v>45900</v>
      </c>
      <c r="E2359" s="31" t="s">
        <v>1064</v>
      </c>
      <c r="F2359" s="31" t="s">
        <v>59</v>
      </c>
      <c r="G2359" s="31">
        <v>1720</v>
      </c>
      <c r="H2359" s="31" t="s">
        <v>1178</v>
      </c>
      <c r="I2359" s="38">
        <v>8195.0400000000009</v>
      </c>
    </row>
    <row r="2360" spans="1:10" x14ac:dyDescent="0.35">
      <c r="A2360" s="31">
        <v>1179.5</v>
      </c>
      <c r="B2360" s="19"/>
      <c r="C2360" s="31" t="s">
        <v>151</v>
      </c>
      <c r="D2360" s="37">
        <v>45900</v>
      </c>
      <c r="E2360" s="31" t="s">
        <v>1064</v>
      </c>
      <c r="F2360" s="31" t="s">
        <v>59</v>
      </c>
      <c r="G2360" s="31">
        <v>1720</v>
      </c>
      <c r="H2360" s="31" t="s">
        <v>1178</v>
      </c>
      <c r="J2360" s="38">
        <v>8195.0400000000009</v>
      </c>
    </row>
    <row r="2361" spans="1:10" x14ac:dyDescent="0.35">
      <c r="A2361" s="31">
        <v>1180</v>
      </c>
      <c r="B2361" s="19" t="s">
        <v>17</v>
      </c>
      <c r="D2361" s="37">
        <v>45900</v>
      </c>
      <c r="E2361" s="31" t="s">
        <v>1069</v>
      </c>
      <c r="F2361" s="31" t="s">
        <v>59</v>
      </c>
      <c r="G2361" s="31">
        <v>1720</v>
      </c>
      <c r="H2361" s="31" t="s">
        <v>1178</v>
      </c>
      <c r="I2361" s="38">
        <v>18305.29</v>
      </c>
    </row>
    <row r="2362" spans="1:10" x14ac:dyDescent="0.35">
      <c r="A2362" s="31">
        <v>1180.5</v>
      </c>
      <c r="B2362" s="19"/>
      <c r="C2362" s="31" t="s">
        <v>151</v>
      </c>
      <c r="D2362" s="37">
        <v>45900</v>
      </c>
      <c r="E2362" s="31" t="s">
        <v>1069</v>
      </c>
      <c r="F2362" s="31" t="s">
        <v>59</v>
      </c>
      <c r="G2362" s="31">
        <v>1720</v>
      </c>
      <c r="H2362" s="31" t="s">
        <v>1178</v>
      </c>
      <c r="J2362" s="38">
        <v>18305.29</v>
      </c>
    </row>
    <row r="2363" spans="1:10" x14ac:dyDescent="0.35">
      <c r="A2363" s="31">
        <v>1181</v>
      </c>
      <c r="B2363" s="19" t="s">
        <v>17</v>
      </c>
      <c r="D2363" s="37">
        <v>45900</v>
      </c>
      <c r="E2363" s="31" t="s">
        <v>1071</v>
      </c>
      <c r="F2363" s="31" t="s">
        <v>59</v>
      </c>
      <c r="G2363" s="31">
        <v>1720</v>
      </c>
      <c r="H2363" s="31" t="s">
        <v>1178</v>
      </c>
      <c r="I2363" s="38">
        <v>1711.96</v>
      </c>
    </row>
    <row r="2364" spans="1:10" x14ac:dyDescent="0.35">
      <c r="A2364" s="31">
        <v>1181.5</v>
      </c>
      <c r="B2364" s="19"/>
      <c r="C2364" s="31" t="s">
        <v>151</v>
      </c>
      <c r="D2364" s="37">
        <v>45900</v>
      </c>
      <c r="E2364" s="31" t="s">
        <v>1071</v>
      </c>
      <c r="F2364" s="31" t="s">
        <v>59</v>
      </c>
      <c r="G2364" s="31">
        <v>1720</v>
      </c>
      <c r="H2364" s="31" t="s">
        <v>1178</v>
      </c>
      <c r="J2364" s="38">
        <v>1711.96</v>
      </c>
    </row>
    <row r="2365" spans="1:10" x14ac:dyDescent="0.35">
      <c r="A2365" s="31">
        <v>1182</v>
      </c>
      <c r="B2365" s="19" t="s">
        <v>17</v>
      </c>
      <c r="D2365" s="37">
        <v>45900</v>
      </c>
      <c r="E2365" s="31" t="s">
        <v>1185</v>
      </c>
      <c r="F2365" s="31" t="s">
        <v>1186</v>
      </c>
      <c r="G2365" s="31">
        <v>541</v>
      </c>
      <c r="H2365" s="31" t="s">
        <v>1178</v>
      </c>
      <c r="I2365" s="38">
        <v>0.02</v>
      </c>
    </row>
    <row r="2366" spans="1:10" x14ac:dyDescent="0.35">
      <c r="A2366" s="31">
        <v>1182.5</v>
      </c>
      <c r="B2366" s="19"/>
      <c r="C2366" s="31" t="s">
        <v>151</v>
      </c>
      <c r="D2366" s="37">
        <v>45900</v>
      </c>
      <c r="E2366" s="31" t="s">
        <v>1185</v>
      </c>
      <c r="F2366" s="31" t="s">
        <v>1186</v>
      </c>
      <c r="G2366" s="31">
        <v>541</v>
      </c>
      <c r="H2366" s="31" t="s">
        <v>1178</v>
      </c>
      <c r="J2366" s="38">
        <v>0.02</v>
      </c>
    </row>
    <row r="2367" spans="1:10" x14ac:dyDescent="0.35">
      <c r="A2367" s="31">
        <v>1183</v>
      </c>
      <c r="B2367" s="19" t="s">
        <v>17</v>
      </c>
      <c r="D2367" s="37">
        <v>45900</v>
      </c>
      <c r="E2367" s="31" t="s">
        <v>1187</v>
      </c>
      <c r="F2367" s="31" t="s">
        <v>1188</v>
      </c>
      <c r="G2367" s="31">
        <v>1552</v>
      </c>
      <c r="H2367" s="31" t="s">
        <v>1178</v>
      </c>
      <c r="I2367" s="38">
        <v>114.07</v>
      </c>
    </row>
    <row r="2368" spans="1:10" x14ac:dyDescent="0.35">
      <c r="A2368" s="31">
        <v>1183.5</v>
      </c>
      <c r="B2368" s="19"/>
      <c r="C2368" s="31" t="s">
        <v>151</v>
      </c>
      <c r="D2368" s="37">
        <v>45900</v>
      </c>
      <c r="E2368" s="31" t="s">
        <v>1187</v>
      </c>
      <c r="F2368" s="31" t="s">
        <v>1188</v>
      </c>
      <c r="G2368" s="31">
        <v>1552</v>
      </c>
      <c r="H2368" s="31" t="s">
        <v>1178</v>
      </c>
      <c r="J2368" s="38">
        <v>114.07</v>
      </c>
    </row>
    <row r="2369" spans="1:10" x14ac:dyDescent="0.35">
      <c r="A2369" s="31">
        <v>1184</v>
      </c>
      <c r="B2369" s="19" t="s">
        <v>17</v>
      </c>
      <c r="D2369" s="37">
        <v>45900</v>
      </c>
      <c r="E2369" s="31">
        <v>38215</v>
      </c>
      <c r="F2369" s="31" t="s">
        <v>1080</v>
      </c>
      <c r="G2369" s="31">
        <v>1555</v>
      </c>
      <c r="H2369" s="31" t="s">
        <v>1178</v>
      </c>
      <c r="I2369" s="38">
        <v>2513.25</v>
      </c>
    </row>
    <row r="2370" spans="1:10" x14ac:dyDescent="0.35">
      <c r="A2370" s="31">
        <v>1184.5</v>
      </c>
      <c r="B2370" s="19"/>
      <c r="C2370" s="31" t="s">
        <v>151</v>
      </c>
      <c r="D2370" s="37">
        <v>45900</v>
      </c>
      <c r="E2370" s="31">
        <v>38215</v>
      </c>
      <c r="F2370" s="31" t="s">
        <v>1080</v>
      </c>
      <c r="G2370" s="31">
        <v>1555</v>
      </c>
      <c r="H2370" s="31" t="s">
        <v>1178</v>
      </c>
      <c r="J2370" s="38">
        <v>2513.25</v>
      </c>
    </row>
    <row r="2371" spans="1:10" x14ac:dyDescent="0.35">
      <c r="A2371" s="31">
        <v>1185</v>
      </c>
      <c r="B2371" s="19" t="s">
        <v>17</v>
      </c>
      <c r="D2371" s="37">
        <v>45900</v>
      </c>
      <c r="E2371" s="31">
        <v>38262</v>
      </c>
      <c r="F2371" s="31" t="s">
        <v>177</v>
      </c>
      <c r="G2371" s="31">
        <v>3526</v>
      </c>
      <c r="H2371" s="31" t="s">
        <v>1178</v>
      </c>
      <c r="I2371" s="38">
        <v>364</v>
      </c>
    </row>
    <row r="2372" spans="1:10" x14ac:dyDescent="0.35">
      <c r="A2372" s="31">
        <v>1185.5</v>
      </c>
      <c r="B2372" s="19"/>
      <c r="C2372" s="31" t="s">
        <v>151</v>
      </c>
      <c r="D2372" s="37">
        <v>45900</v>
      </c>
      <c r="E2372" s="31">
        <v>38262</v>
      </c>
      <c r="F2372" s="31" t="s">
        <v>177</v>
      </c>
      <c r="G2372" s="31">
        <v>3526</v>
      </c>
      <c r="H2372" s="31" t="s">
        <v>1178</v>
      </c>
      <c r="J2372" s="38">
        <v>364</v>
      </c>
    </row>
    <row r="2373" spans="1:10" x14ac:dyDescent="0.35">
      <c r="A2373" s="31">
        <v>1186</v>
      </c>
      <c r="B2373" s="19" t="s">
        <v>17</v>
      </c>
      <c r="D2373" s="37">
        <v>45900</v>
      </c>
      <c r="E2373" s="31" t="s">
        <v>1086</v>
      </c>
      <c r="F2373" s="31" t="s">
        <v>177</v>
      </c>
      <c r="G2373" s="31">
        <v>3526</v>
      </c>
      <c r="H2373" s="31" t="s">
        <v>1178</v>
      </c>
      <c r="I2373" s="38">
        <v>7850.61</v>
      </c>
    </row>
    <row r="2374" spans="1:10" x14ac:dyDescent="0.35">
      <c r="A2374" s="31">
        <v>1186.5</v>
      </c>
      <c r="B2374" s="19"/>
      <c r="C2374" s="31" t="s">
        <v>151</v>
      </c>
      <c r="D2374" s="37">
        <v>45900</v>
      </c>
      <c r="E2374" s="31" t="s">
        <v>1086</v>
      </c>
      <c r="F2374" s="31" t="s">
        <v>177</v>
      </c>
      <c r="G2374" s="31">
        <v>3526</v>
      </c>
      <c r="H2374" s="31" t="s">
        <v>1178</v>
      </c>
      <c r="J2374" s="38">
        <v>7850.61</v>
      </c>
    </row>
    <row r="2375" spans="1:10" x14ac:dyDescent="0.35">
      <c r="A2375" s="31">
        <v>1187</v>
      </c>
      <c r="B2375" s="19" t="s">
        <v>17</v>
      </c>
      <c r="D2375" s="37">
        <v>45900</v>
      </c>
      <c r="E2375" s="31">
        <v>38267</v>
      </c>
      <c r="F2375" s="31" t="s">
        <v>177</v>
      </c>
      <c r="G2375" s="31">
        <v>3526</v>
      </c>
      <c r="H2375" s="31" t="s">
        <v>1178</v>
      </c>
      <c r="I2375" s="38">
        <v>960.17</v>
      </c>
    </row>
    <row r="2376" spans="1:10" x14ac:dyDescent="0.35">
      <c r="A2376" s="31">
        <v>1187.5</v>
      </c>
      <c r="B2376" s="19"/>
      <c r="C2376" s="31" t="s">
        <v>151</v>
      </c>
      <c r="D2376" s="37">
        <v>45900</v>
      </c>
      <c r="E2376" s="31">
        <v>38267</v>
      </c>
      <c r="F2376" s="31" t="s">
        <v>177</v>
      </c>
      <c r="G2376" s="31">
        <v>3526</v>
      </c>
      <c r="H2376" s="31" t="s">
        <v>1178</v>
      </c>
      <c r="J2376" s="38">
        <v>960.17</v>
      </c>
    </row>
    <row r="2377" spans="1:10" x14ac:dyDescent="0.35">
      <c r="A2377" s="31">
        <v>1188</v>
      </c>
      <c r="B2377" s="19" t="s">
        <v>17</v>
      </c>
      <c r="D2377" s="37">
        <v>45900</v>
      </c>
      <c r="E2377" s="31">
        <v>38317</v>
      </c>
      <c r="F2377" s="31" t="s">
        <v>1087</v>
      </c>
      <c r="G2377" s="31">
        <v>1553</v>
      </c>
      <c r="H2377" s="31" t="s">
        <v>1178</v>
      </c>
      <c r="I2377" s="38">
        <v>2500</v>
      </c>
    </row>
    <row r="2378" spans="1:10" x14ac:dyDescent="0.35">
      <c r="A2378" s="31">
        <v>1188.5</v>
      </c>
      <c r="B2378" s="19"/>
      <c r="C2378" s="31" t="s">
        <v>151</v>
      </c>
      <c r="D2378" s="37">
        <v>45900</v>
      </c>
      <c r="E2378" s="31">
        <v>38317</v>
      </c>
      <c r="F2378" s="31" t="s">
        <v>1087</v>
      </c>
      <c r="G2378" s="31">
        <v>1553</v>
      </c>
      <c r="H2378" s="31" t="s">
        <v>1178</v>
      </c>
      <c r="J2378" s="38">
        <v>2500</v>
      </c>
    </row>
    <row r="2379" spans="1:10" x14ac:dyDescent="0.35">
      <c r="A2379" s="31">
        <v>1189</v>
      </c>
      <c r="B2379" s="19" t="s">
        <v>17</v>
      </c>
      <c r="D2379" s="37">
        <v>45900</v>
      </c>
      <c r="E2379" s="31">
        <v>38473</v>
      </c>
      <c r="F2379" s="31" t="s">
        <v>1090</v>
      </c>
      <c r="G2379" s="31">
        <v>2519</v>
      </c>
      <c r="H2379" s="31" t="s">
        <v>1178</v>
      </c>
      <c r="I2379" s="38">
        <v>8645</v>
      </c>
    </row>
    <row r="2380" spans="1:10" x14ac:dyDescent="0.35">
      <c r="A2380" s="31">
        <v>1189.5</v>
      </c>
      <c r="B2380" s="19"/>
      <c r="C2380" s="31" t="s">
        <v>151</v>
      </c>
      <c r="D2380" s="37">
        <v>45900</v>
      </c>
      <c r="E2380" s="31">
        <v>38473</v>
      </c>
      <c r="F2380" s="31" t="s">
        <v>1090</v>
      </c>
      <c r="G2380" s="31">
        <v>2519</v>
      </c>
      <c r="H2380" s="31" t="s">
        <v>1178</v>
      </c>
      <c r="J2380" s="38">
        <v>8645</v>
      </c>
    </row>
    <row r="2381" spans="1:10" x14ac:dyDescent="0.35">
      <c r="A2381" s="31">
        <v>1190</v>
      </c>
      <c r="B2381" s="19" t="s">
        <v>17</v>
      </c>
      <c r="D2381" s="37">
        <v>45900</v>
      </c>
      <c r="E2381" s="31" t="s">
        <v>1104</v>
      </c>
      <c r="F2381" s="31" t="s">
        <v>253</v>
      </c>
      <c r="G2381" s="31">
        <v>546</v>
      </c>
      <c r="H2381" s="31" t="s">
        <v>1178</v>
      </c>
      <c r="I2381" s="38">
        <v>135</v>
      </c>
    </row>
    <row r="2382" spans="1:10" x14ac:dyDescent="0.35">
      <c r="A2382" s="31">
        <v>1190.5</v>
      </c>
      <c r="B2382" s="19"/>
      <c r="C2382" s="31" t="s">
        <v>151</v>
      </c>
      <c r="D2382" s="37">
        <v>45900</v>
      </c>
      <c r="E2382" s="31" t="s">
        <v>1104</v>
      </c>
      <c r="F2382" s="31" t="s">
        <v>253</v>
      </c>
      <c r="G2382" s="31">
        <v>546</v>
      </c>
      <c r="H2382" s="31" t="s">
        <v>1178</v>
      </c>
      <c r="J2382" s="38">
        <v>135</v>
      </c>
    </row>
    <row r="2383" spans="1:10" x14ac:dyDescent="0.35">
      <c r="A2383" s="31">
        <v>1191</v>
      </c>
      <c r="B2383" s="19" t="s">
        <v>17</v>
      </c>
      <c r="D2383" s="37">
        <v>45900</v>
      </c>
      <c r="E2383" s="31">
        <v>38607</v>
      </c>
      <c r="F2383" s="31" t="s">
        <v>1087</v>
      </c>
      <c r="G2383" s="31">
        <v>1553</v>
      </c>
      <c r="H2383" s="31" t="s">
        <v>1178</v>
      </c>
      <c r="I2383" s="38">
        <v>1400</v>
      </c>
    </row>
    <row r="2384" spans="1:10" x14ac:dyDescent="0.35">
      <c r="A2384" s="31">
        <v>1191.5</v>
      </c>
      <c r="B2384" s="19"/>
      <c r="C2384" s="31" t="s">
        <v>151</v>
      </c>
      <c r="D2384" s="37">
        <v>45900</v>
      </c>
      <c r="E2384" s="31">
        <v>38607</v>
      </c>
      <c r="F2384" s="31" t="s">
        <v>1087</v>
      </c>
      <c r="G2384" s="31">
        <v>1553</v>
      </c>
      <c r="H2384" s="31" t="s">
        <v>1178</v>
      </c>
      <c r="J2384" s="38">
        <v>1400</v>
      </c>
    </row>
    <row r="2385" spans="1:10" x14ac:dyDescent="0.35">
      <c r="A2385" s="31">
        <v>1192</v>
      </c>
      <c r="B2385" s="19" t="s">
        <v>17</v>
      </c>
      <c r="D2385" s="37">
        <v>45900</v>
      </c>
      <c r="E2385" s="31">
        <v>38621</v>
      </c>
      <c r="F2385" s="31" t="s">
        <v>1027</v>
      </c>
      <c r="G2385" s="31">
        <v>3397</v>
      </c>
      <c r="H2385" s="31" t="s">
        <v>1178</v>
      </c>
      <c r="I2385" s="38">
        <v>5537.5</v>
      </c>
    </row>
    <row r="2386" spans="1:10" x14ac:dyDescent="0.35">
      <c r="A2386" s="31">
        <v>1192.5</v>
      </c>
      <c r="B2386" s="19"/>
      <c r="C2386" s="31" t="s">
        <v>151</v>
      </c>
      <c r="D2386" s="37">
        <v>45900</v>
      </c>
      <c r="E2386" s="31">
        <v>38621</v>
      </c>
      <c r="F2386" s="31" t="s">
        <v>1027</v>
      </c>
      <c r="G2386" s="31">
        <v>3397</v>
      </c>
      <c r="H2386" s="31" t="s">
        <v>1178</v>
      </c>
      <c r="J2386" s="38">
        <v>5537.5</v>
      </c>
    </row>
    <row r="2387" spans="1:10" x14ac:dyDescent="0.35">
      <c r="A2387" s="31">
        <v>1193</v>
      </c>
      <c r="B2387" s="19" t="s">
        <v>17</v>
      </c>
      <c r="D2387" s="37">
        <v>45900</v>
      </c>
      <c r="E2387" s="31">
        <v>38627</v>
      </c>
      <c r="F2387" s="31" t="s">
        <v>284</v>
      </c>
      <c r="G2387" s="31">
        <v>3368</v>
      </c>
      <c r="H2387" s="31" t="s">
        <v>1178</v>
      </c>
      <c r="I2387" s="38">
        <v>307.20999999999998</v>
      </c>
    </row>
    <row r="2388" spans="1:10" x14ac:dyDescent="0.35">
      <c r="A2388" s="31">
        <v>1193.5</v>
      </c>
      <c r="B2388" s="19"/>
      <c r="C2388" s="31" t="s">
        <v>151</v>
      </c>
      <c r="D2388" s="37">
        <v>45900</v>
      </c>
      <c r="E2388" s="31">
        <v>38627</v>
      </c>
      <c r="F2388" s="31" t="s">
        <v>284</v>
      </c>
      <c r="G2388" s="31">
        <v>3368</v>
      </c>
      <c r="H2388" s="31" t="s">
        <v>1178</v>
      </c>
      <c r="J2388" s="38">
        <v>307.20999999999998</v>
      </c>
    </row>
    <row r="2389" spans="1:10" x14ac:dyDescent="0.35">
      <c r="A2389" s="31">
        <v>1194</v>
      </c>
      <c r="B2389" s="19" t="s">
        <v>17</v>
      </c>
      <c r="D2389" s="37">
        <v>45900</v>
      </c>
      <c r="E2389" s="31">
        <v>38636</v>
      </c>
      <c r="F2389" s="31" t="s">
        <v>903</v>
      </c>
      <c r="G2389" s="31">
        <v>2623</v>
      </c>
      <c r="H2389" s="31" t="s">
        <v>1178</v>
      </c>
      <c r="I2389" s="38">
        <v>1850</v>
      </c>
    </row>
    <row r="2390" spans="1:10" x14ac:dyDescent="0.35">
      <c r="A2390" s="31">
        <v>1194.5</v>
      </c>
      <c r="B2390" s="19"/>
      <c r="C2390" s="31" t="s">
        <v>151</v>
      </c>
      <c r="D2390" s="37">
        <v>45900</v>
      </c>
      <c r="E2390" s="31">
        <v>38636</v>
      </c>
      <c r="F2390" s="31" t="s">
        <v>903</v>
      </c>
      <c r="G2390" s="31">
        <v>2623</v>
      </c>
      <c r="H2390" s="31" t="s">
        <v>1178</v>
      </c>
      <c r="J2390" s="38">
        <v>1850</v>
      </c>
    </row>
    <row r="2391" spans="1:10" x14ac:dyDescent="0.35">
      <c r="A2391" s="31">
        <v>1195</v>
      </c>
      <c r="B2391" s="19" t="s">
        <v>17</v>
      </c>
      <c r="D2391" s="37">
        <v>45900</v>
      </c>
      <c r="E2391" s="31" t="s">
        <v>1189</v>
      </c>
      <c r="F2391" s="31" t="s">
        <v>228</v>
      </c>
      <c r="G2391" s="31">
        <v>1934</v>
      </c>
      <c r="H2391" s="31" t="s">
        <v>1178</v>
      </c>
      <c r="I2391" s="38">
        <v>2700</v>
      </c>
    </row>
    <row r="2392" spans="1:10" x14ac:dyDescent="0.35">
      <c r="A2392" s="31">
        <v>1195.5</v>
      </c>
      <c r="B2392" s="19"/>
      <c r="C2392" s="31" t="s">
        <v>151</v>
      </c>
      <c r="D2392" s="37">
        <v>45900</v>
      </c>
      <c r="E2392" s="31" t="s">
        <v>1189</v>
      </c>
      <c r="F2392" s="31" t="s">
        <v>228</v>
      </c>
      <c r="G2392" s="31">
        <v>1934</v>
      </c>
      <c r="H2392" s="31" t="s">
        <v>1178</v>
      </c>
      <c r="J2392" s="38">
        <v>2700</v>
      </c>
    </row>
    <row r="2393" spans="1:10" x14ac:dyDescent="0.35">
      <c r="A2393" s="31">
        <v>1196</v>
      </c>
      <c r="B2393" s="19" t="s">
        <v>17</v>
      </c>
      <c r="D2393" s="37">
        <v>45900</v>
      </c>
      <c r="E2393" s="31">
        <v>38670</v>
      </c>
      <c r="F2393" s="31" t="s">
        <v>1105</v>
      </c>
      <c r="G2393" s="31">
        <v>2597</v>
      </c>
      <c r="H2393" s="31" t="s">
        <v>1178</v>
      </c>
      <c r="I2393" s="38">
        <v>0</v>
      </c>
    </row>
    <row r="2394" spans="1:10" x14ac:dyDescent="0.35">
      <c r="A2394" s="31">
        <v>1196.5</v>
      </c>
      <c r="B2394" s="19"/>
      <c r="C2394" s="31" t="s">
        <v>151</v>
      </c>
      <c r="D2394" s="37">
        <v>45900</v>
      </c>
      <c r="E2394" s="31">
        <v>38670</v>
      </c>
      <c r="F2394" s="31" t="s">
        <v>1105</v>
      </c>
      <c r="G2394" s="31">
        <v>2597</v>
      </c>
      <c r="H2394" s="31" t="s">
        <v>1178</v>
      </c>
      <c r="J2394" s="38">
        <v>0</v>
      </c>
    </row>
    <row r="2395" spans="1:10" x14ac:dyDescent="0.35">
      <c r="A2395" s="31">
        <v>1197</v>
      </c>
      <c r="B2395" s="19" t="s">
        <v>17</v>
      </c>
      <c r="D2395" s="37">
        <v>45900</v>
      </c>
      <c r="E2395" s="31" t="s">
        <v>1106</v>
      </c>
      <c r="F2395" s="31" t="s">
        <v>59</v>
      </c>
      <c r="G2395" s="31">
        <v>1720</v>
      </c>
      <c r="H2395" s="31" t="s">
        <v>1178</v>
      </c>
      <c r="I2395" s="38">
        <v>25843.3</v>
      </c>
    </row>
    <row r="2396" spans="1:10" x14ac:dyDescent="0.35">
      <c r="A2396" s="31">
        <v>1197.5</v>
      </c>
      <c r="B2396" s="19"/>
      <c r="C2396" s="31" t="s">
        <v>151</v>
      </c>
      <c r="D2396" s="37">
        <v>45900</v>
      </c>
      <c r="E2396" s="31" t="s">
        <v>1106</v>
      </c>
      <c r="F2396" s="31" t="s">
        <v>59</v>
      </c>
      <c r="G2396" s="31">
        <v>1720</v>
      </c>
      <c r="H2396" s="31" t="s">
        <v>1178</v>
      </c>
      <c r="J2396" s="38">
        <v>25843.3</v>
      </c>
    </row>
    <row r="2397" spans="1:10" x14ac:dyDescent="0.35">
      <c r="A2397" s="31">
        <v>1198</v>
      </c>
      <c r="B2397" s="19" t="s">
        <v>17</v>
      </c>
      <c r="D2397" s="37">
        <v>45900</v>
      </c>
      <c r="E2397" s="31" t="s">
        <v>1190</v>
      </c>
      <c r="F2397" s="31" t="s">
        <v>1191</v>
      </c>
      <c r="G2397" s="31">
        <v>2417</v>
      </c>
      <c r="H2397" s="31" t="s">
        <v>1178</v>
      </c>
      <c r="I2397" s="38">
        <v>0.01</v>
      </c>
    </row>
    <row r="2398" spans="1:10" x14ac:dyDescent="0.35">
      <c r="A2398" s="31">
        <v>1198.5</v>
      </c>
      <c r="B2398" s="19"/>
      <c r="C2398" s="31" t="s">
        <v>151</v>
      </c>
      <c r="D2398" s="37">
        <v>45900</v>
      </c>
      <c r="E2398" s="31" t="s">
        <v>1190</v>
      </c>
      <c r="F2398" s="31" t="s">
        <v>1191</v>
      </c>
      <c r="G2398" s="31">
        <v>2417</v>
      </c>
      <c r="H2398" s="31" t="s">
        <v>1178</v>
      </c>
      <c r="J2398" s="38">
        <v>0.01</v>
      </c>
    </row>
    <row r="2399" spans="1:10" x14ac:dyDescent="0.35">
      <c r="A2399" s="31">
        <v>1199</v>
      </c>
      <c r="B2399" s="19" t="s">
        <v>17</v>
      </c>
      <c r="D2399" s="37">
        <v>45900</v>
      </c>
      <c r="E2399" s="31">
        <v>38701</v>
      </c>
      <c r="F2399" s="31" t="s">
        <v>923</v>
      </c>
      <c r="G2399" s="31">
        <v>454</v>
      </c>
      <c r="H2399" s="31" t="s">
        <v>1178</v>
      </c>
      <c r="I2399" s="38">
        <v>1975</v>
      </c>
    </row>
    <row r="2400" spans="1:10" x14ac:dyDescent="0.35">
      <c r="A2400" s="31">
        <v>1199.5</v>
      </c>
      <c r="B2400" s="19"/>
      <c r="C2400" s="31" t="s">
        <v>151</v>
      </c>
      <c r="D2400" s="37">
        <v>45900</v>
      </c>
      <c r="E2400" s="31">
        <v>38701</v>
      </c>
      <c r="F2400" s="31" t="s">
        <v>923</v>
      </c>
      <c r="G2400" s="31">
        <v>454</v>
      </c>
      <c r="H2400" s="31" t="s">
        <v>1178</v>
      </c>
      <c r="J2400" s="38">
        <v>1975</v>
      </c>
    </row>
    <row r="2401" spans="1:10" x14ac:dyDescent="0.35">
      <c r="A2401" s="31">
        <v>1200</v>
      </c>
      <c r="B2401" s="19" t="s">
        <v>17</v>
      </c>
      <c r="D2401" s="37">
        <v>45900</v>
      </c>
      <c r="E2401" s="31">
        <v>38718</v>
      </c>
      <c r="F2401" s="31" t="s">
        <v>1108</v>
      </c>
      <c r="G2401" s="31">
        <v>2599</v>
      </c>
      <c r="H2401" s="31" t="s">
        <v>1178</v>
      </c>
      <c r="I2401" s="38">
        <v>750</v>
      </c>
    </row>
    <row r="2402" spans="1:10" x14ac:dyDescent="0.35">
      <c r="A2402" s="31">
        <v>1200.5</v>
      </c>
      <c r="B2402" s="19"/>
      <c r="C2402" s="31" t="s">
        <v>151</v>
      </c>
      <c r="D2402" s="37">
        <v>45900</v>
      </c>
      <c r="E2402" s="31">
        <v>38718</v>
      </c>
      <c r="F2402" s="31" t="s">
        <v>1108</v>
      </c>
      <c r="G2402" s="31">
        <v>2599</v>
      </c>
      <c r="H2402" s="31" t="s">
        <v>1178</v>
      </c>
      <c r="J2402" s="38">
        <v>750</v>
      </c>
    </row>
    <row r="2403" spans="1:10" x14ac:dyDescent="0.35">
      <c r="A2403" s="31">
        <v>1201</v>
      </c>
      <c r="B2403" s="19" t="s">
        <v>17</v>
      </c>
      <c r="D2403" s="37">
        <v>45900</v>
      </c>
      <c r="E2403" s="31">
        <v>38726</v>
      </c>
      <c r="F2403" s="31" t="s">
        <v>1110</v>
      </c>
      <c r="G2403" s="31">
        <v>1933</v>
      </c>
      <c r="H2403" s="31" t="s">
        <v>1178</v>
      </c>
      <c r="I2403" s="38">
        <v>1250</v>
      </c>
    </row>
    <row r="2404" spans="1:10" x14ac:dyDescent="0.35">
      <c r="A2404" s="31">
        <v>1201.5</v>
      </c>
      <c r="B2404" s="19"/>
      <c r="C2404" s="31" t="s">
        <v>151</v>
      </c>
      <c r="D2404" s="37">
        <v>45900</v>
      </c>
      <c r="E2404" s="31">
        <v>38726</v>
      </c>
      <c r="F2404" s="31" t="s">
        <v>1110</v>
      </c>
      <c r="G2404" s="31">
        <v>1933</v>
      </c>
      <c r="H2404" s="31" t="s">
        <v>1178</v>
      </c>
      <c r="J2404" s="38">
        <v>1250</v>
      </c>
    </row>
    <row r="2405" spans="1:10" x14ac:dyDescent="0.35">
      <c r="A2405" s="31">
        <v>1202</v>
      </c>
      <c r="B2405" s="19" t="s">
        <v>17</v>
      </c>
      <c r="D2405" s="37">
        <v>45900</v>
      </c>
      <c r="E2405" s="31">
        <v>38758</v>
      </c>
      <c r="F2405" s="31" t="s">
        <v>722</v>
      </c>
      <c r="G2405" s="31">
        <v>2346</v>
      </c>
      <c r="H2405" s="31" t="s">
        <v>1178</v>
      </c>
      <c r="I2405" s="38">
        <v>700</v>
      </c>
    </row>
    <row r="2406" spans="1:10" x14ac:dyDescent="0.35">
      <c r="A2406" s="31">
        <v>1202.5</v>
      </c>
      <c r="B2406" s="19"/>
      <c r="C2406" s="31" t="s">
        <v>151</v>
      </c>
      <c r="D2406" s="37">
        <v>45900</v>
      </c>
      <c r="E2406" s="31">
        <v>38758</v>
      </c>
      <c r="F2406" s="31" t="s">
        <v>722</v>
      </c>
      <c r="G2406" s="31">
        <v>2346</v>
      </c>
      <c r="H2406" s="31" t="s">
        <v>1178</v>
      </c>
      <c r="J2406" s="38">
        <v>700</v>
      </c>
    </row>
    <row r="2407" spans="1:10" x14ac:dyDescent="0.35">
      <c r="A2407" s="31">
        <v>1203</v>
      </c>
      <c r="B2407" s="19" t="s">
        <v>17</v>
      </c>
      <c r="D2407" s="37">
        <v>45900</v>
      </c>
      <c r="E2407" s="31">
        <v>38785</v>
      </c>
      <c r="F2407" s="31" t="s">
        <v>1114</v>
      </c>
      <c r="G2407" s="31">
        <v>2316</v>
      </c>
      <c r="H2407" s="31" t="s">
        <v>1178</v>
      </c>
      <c r="I2407" s="38">
        <v>857.38</v>
      </c>
    </row>
    <row r="2408" spans="1:10" x14ac:dyDescent="0.35">
      <c r="A2408" s="31">
        <v>1203.5</v>
      </c>
      <c r="B2408" s="19"/>
      <c r="C2408" s="31" t="s">
        <v>151</v>
      </c>
      <c r="D2408" s="37">
        <v>45900</v>
      </c>
      <c r="E2408" s="31">
        <v>38785</v>
      </c>
      <c r="F2408" s="31" t="s">
        <v>1114</v>
      </c>
      <c r="G2408" s="31">
        <v>2316</v>
      </c>
      <c r="H2408" s="31" t="s">
        <v>1178</v>
      </c>
      <c r="J2408" s="38">
        <v>857.38</v>
      </c>
    </row>
    <row r="2409" spans="1:10" x14ac:dyDescent="0.35">
      <c r="A2409" s="31">
        <v>1204</v>
      </c>
      <c r="B2409" s="19" t="s">
        <v>17</v>
      </c>
      <c r="D2409" s="37">
        <v>45900</v>
      </c>
      <c r="E2409" s="31">
        <v>38793</v>
      </c>
      <c r="F2409" s="31" t="s">
        <v>287</v>
      </c>
      <c r="G2409" s="31">
        <v>2358</v>
      </c>
      <c r="H2409" s="31" t="s">
        <v>1178</v>
      </c>
      <c r="I2409" s="38">
        <v>25</v>
      </c>
    </row>
    <row r="2410" spans="1:10" x14ac:dyDescent="0.35">
      <c r="A2410" s="31">
        <v>1204.5</v>
      </c>
      <c r="B2410" s="19"/>
      <c r="C2410" s="31" t="s">
        <v>151</v>
      </c>
      <c r="D2410" s="37">
        <v>45900</v>
      </c>
      <c r="E2410" s="31">
        <v>38793</v>
      </c>
      <c r="F2410" s="31" t="s">
        <v>287</v>
      </c>
      <c r="G2410" s="31">
        <v>2358</v>
      </c>
      <c r="H2410" s="31" t="s">
        <v>1178</v>
      </c>
      <c r="J2410" s="38">
        <v>25</v>
      </c>
    </row>
    <row r="2411" spans="1:10" x14ac:dyDescent="0.35">
      <c r="A2411" s="31">
        <v>1205</v>
      </c>
      <c r="B2411" s="19" t="s">
        <v>17</v>
      </c>
      <c r="D2411" s="37">
        <v>45900</v>
      </c>
      <c r="E2411" s="31">
        <v>38795</v>
      </c>
      <c r="F2411" s="31" t="s">
        <v>1115</v>
      </c>
      <c r="G2411" s="31">
        <v>2377</v>
      </c>
      <c r="H2411" s="31" t="s">
        <v>1178</v>
      </c>
      <c r="I2411" s="38">
        <v>286.63</v>
      </c>
    </row>
    <row r="2412" spans="1:10" x14ac:dyDescent="0.35">
      <c r="A2412" s="31">
        <v>1205.5</v>
      </c>
      <c r="B2412" s="19"/>
      <c r="C2412" s="31" t="s">
        <v>151</v>
      </c>
      <c r="D2412" s="37">
        <v>45900</v>
      </c>
      <c r="E2412" s="31">
        <v>38795</v>
      </c>
      <c r="F2412" s="31" t="s">
        <v>1115</v>
      </c>
      <c r="G2412" s="31">
        <v>2377</v>
      </c>
      <c r="H2412" s="31" t="s">
        <v>1178</v>
      </c>
      <c r="J2412" s="38">
        <v>286.63</v>
      </c>
    </row>
    <row r="2413" spans="1:10" x14ac:dyDescent="0.35">
      <c r="A2413" s="31">
        <v>1206</v>
      </c>
      <c r="B2413" s="19" t="s">
        <v>17</v>
      </c>
      <c r="D2413" s="37">
        <v>45900</v>
      </c>
      <c r="E2413" s="31">
        <v>38796</v>
      </c>
      <c r="F2413" s="31" t="s">
        <v>1116</v>
      </c>
      <c r="G2413" s="31">
        <v>2379</v>
      </c>
      <c r="H2413" s="31" t="s">
        <v>1178</v>
      </c>
      <c r="I2413" s="38">
        <v>285</v>
      </c>
    </row>
    <row r="2414" spans="1:10" x14ac:dyDescent="0.35">
      <c r="A2414" s="31">
        <v>1206.5</v>
      </c>
      <c r="B2414" s="19"/>
      <c r="C2414" s="31" t="s">
        <v>151</v>
      </c>
      <c r="D2414" s="37">
        <v>45900</v>
      </c>
      <c r="E2414" s="31">
        <v>38796</v>
      </c>
      <c r="F2414" s="31" t="s">
        <v>1116</v>
      </c>
      <c r="G2414" s="31">
        <v>2379</v>
      </c>
      <c r="H2414" s="31" t="s">
        <v>1178</v>
      </c>
      <c r="J2414" s="38">
        <v>285</v>
      </c>
    </row>
    <row r="2415" spans="1:10" x14ac:dyDescent="0.35">
      <c r="A2415" s="31">
        <v>1207</v>
      </c>
      <c r="B2415" s="19" t="s">
        <v>17</v>
      </c>
      <c r="D2415" s="37">
        <v>45900</v>
      </c>
      <c r="E2415" s="31">
        <v>38799</v>
      </c>
      <c r="F2415" s="31" t="s">
        <v>1117</v>
      </c>
      <c r="G2415" s="31">
        <v>2440</v>
      </c>
      <c r="H2415" s="31" t="s">
        <v>1178</v>
      </c>
      <c r="I2415" s="38">
        <v>75.34</v>
      </c>
    </row>
    <row r="2416" spans="1:10" x14ac:dyDescent="0.35">
      <c r="A2416" s="31">
        <v>1207.5</v>
      </c>
      <c r="B2416" s="19"/>
      <c r="C2416" s="31" t="s">
        <v>151</v>
      </c>
      <c r="D2416" s="37">
        <v>45900</v>
      </c>
      <c r="E2416" s="31">
        <v>38799</v>
      </c>
      <c r="F2416" s="31" t="s">
        <v>1117</v>
      </c>
      <c r="G2416" s="31">
        <v>2440</v>
      </c>
      <c r="H2416" s="31" t="s">
        <v>1178</v>
      </c>
      <c r="J2416" s="38">
        <v>75.34</v>
      </c>
    </row>
    <row r="2417" spans="1:10" x14ac:dyDescent="0.35">
      <c r="A2417" s="31">
        <v>1208</v>
      </c>
      <c r="B2417" s="19" t="s">
        <v>17</v>
      </c>
      <c r="D2417" s="37">
        <v>45900</v>
      </c>
      <c r="E2417" s="31">
        <v>38800</v>
      </c>
      <c r="F2417" s="31" t="s">
        <v>1118</v>
      </c>
      <c r="G2417" s="31">
        <v>2415</v>
      </c>
      <c r="H2417" s="31" t="s">
        <v>1178</v>
      </c>
      <c r="I2417" s="38">
        <v>3170</v>
      </c>
    </row>
    <row r="2418" spans="1:10" x14ac:dyDescent="0.35">
      <c r="A2418" s="31">
        <v>1208.5</v>
      </c>
      <c r="B2418" s="19"/>
      <c r="C2418" s="31" t="s">
        <v>151</v>
      </c>
      <c r="D2418" s="37">
        <v>45900</v>
      </c>
      <c r="E2418" s="31">
        <v>38800</v>
      </c>
      <c r="F2418" s="31" t="s">
        <v>1118</v>
      </c>
      <c r="G2418" s="31">
        <v>2415</v>
      </c>
      <c r="H2418" s="31" t="s">
        <v>1178</v>
      </c>
      <c r="J2418" s="38">
        <v>3170</v>
      </c>
    </row>
    <row r="2419" spans="1:10" x14ac:dyDescent="0.35">
      <c r="A2419" s="31">
        <v>1209</v>
      </c>
      <c r="B2419" s="19" t="s">
        <v>17</v>
      </c>
      <c r="D2419" s="37">
        <v>45900</v>
      </c>
      <c r="E2419" s="31">
        <v>38801</v>
      </c>
      <c r="F2419" s="31" t="s">
        <v>1119</v>
      </c>
      <c r="G2419" s="31">
        <v>2334</v>
      </c>
      <c r="H2419" s="31" t="s">
        <v>1178</v>
      </c>
      <c r="I2419" s="38">
        <v>652.53</v>
      </c>
    </row>
    <row r="2420" spans="1:10" x14ac:dyDescent="0.35">
      <c r="A2420" s="31">
        <v>1209.5</v>
      </c>
      <c r="B2420" s="19"/>
      <c r="C2420" s="31" t="s">
        <v>151</v>
      </c>
      <c r="D2420" s="37">
        <v>45900</v>
      </c>
      <c r="E2420" s="31">
        <v>38801</v>
      </c>
      <c r="F2420" s="31" t="s">
        <v>1119</v>
      </c>
      <c r="G2420" s="31">
        <v>2334</v>
      </c>
      <c r="H2420" s="31" t="s">
        <v>1178</v>
      </c>
      <c r="J2420" s="38">
        <v>652.53</v>
      </c>
    </row>
    <row r="2421" spans="1:10" x14ac:dyDescent="0.35">
      <c r="A2421" s="31">
        <v>1210</v>
      </c>
      <c r="B2421" s="19" t="s">
        <v>17</v>
      </c>
      <c r="D2421" s="37">
        <v>45900</v>
      </c>
      <c r="E2421" s="31">
        <v>38803</v>
      </c>
      <c r="F2421" s="31" t="s">
        <v>1120</v>
      </c>
      <c r="G2421" s="31">
        <v>2349</v>
      </c>
      <c r="H2421" s="31" t="s">
        <v>1178</v>
      </c>
      <c r="I2421" s="38">
        <v>1616.6</v>
      </c>
    </row>
    <row r="2422" spans="1:10" x14ac:dyDescent="0.35">
      <c r="A2422" s="31">
        <v>1210.5</v>
      </c>
      <c r="B2422" s="19"/>
      <c r="C2422" s="31" t="s">
        <v>151</v>
      </c>
      <c r="D2422" s="37">
        <v>45900</v>
      </c>
      <c r="E2422" s="31">
        <v>38803</v>
      </c>
      <c r="F2422" s="31" t="s">
        <v>1120</v>
      </c>
      <c r="G2422" s="31">
        <v>2349</v>
      </c>
      <c r="H2422" s="31" t="s">
        <v>1178</v>
      </c>
      <c r="J2422" s="38">
        <v>1616.6</v>
      </c>
    </row>
    <row r="2423" spans="1:10" x14ac:dyDescent="0.35">
      <c r="A2423" s="31">
        <v>1211</v>
      </c>
      <c r="B2423" s="19" t="s">
        <v>17</v>
      </c>
      <c r="D2423" s="37">
        <v>45900</v>
      </c>
      <c r="E2423" s="31">
        <v>38809</v>
      </c>
      <c r="F2423" s="31" t="s">
        <v>1123</v>
      </c>
      <c r="G2423" s="31">
        <v>2330</v>
      </c>
      <c r="H2423" s="31" t="s">
        <v>1178</v>
      </c>
      <c r="I2423" s="38">
        <v>1529.19</v>
      </c>
    </row>
    <row r="2424" spans="1:10" x14ac:dyDescent="0.35">
      <c r="A2424" s="31">
        <v>1211.5</v>
      </c>
      <c r="B2424" s="19"/>
      <c r="C2424" s="31" t="s">
        <v>151</v>
      </c>
      <c r="D2424" s="37">
        <v>45900</v>
      </c>
      <c r="E2424" s="31">
        <v>38809</v>
      </c>
      <c r="F2424" s="31" t="s">
        <v>1123</v>
      </c>
      <c r="G2424" s="31">
        <v>2330</v>
      </c>
      <c r="H2424" s="31" t="s">
        <v>1178</v>
      </c>
      <c r="J2424" s="38">
        <v>1529.19</v>
      </c>
    </row>
    <row r="2425" spans="1:10" x14ac:dyDescent="0.35">
      <c r="A2425" s="31">
        <v>1212</v>
      </c>
      <c r="B2425" s="19" t="s">
        <v>17</v>
      </c>
      <c r="D2425" s="37">
        <v>45900</v>
      </c>
      <c r="E2425" s="31">
        <v>38815</v>
      </c>
      <c r="F2425" s="31" t="s">
        <v>1124</v>
      </c>
      <c r="G2425" s="31">
        <v>2048</v>
      </c>
      <c r="H2425" s="31" t="s">
        <v>1178</v>
      </c>
      <c r="I2425" s="38">
        <v>2180</v>
      </c>
    </row>
    <row r="2426" spans="1:10" x14ac:dyDescent="0.35">
      <c r="A2426" s="31">
        <v>1212.5</v>
      </c>
      <c r="B2426" s="19"/>
      <c r="C2426" s="31" t="s">
        <v>151</v>
      </c>
      <c r="D2426" s="37">
        <v>45900</v>
      </c>
      <c r="E2426" s="31">
        <v>38815</v>
      </c>
      <c r="F2426" s="31" t="s">
        <v>1124</v>
      </c>
      <c r="G2426" s="31">
        <v>2048</v>
      </c>
      <c r="H2426" s="31" t="s">
        <v>1178</v>
      </c>
      <c r="J2426" s="38">
        <v>2180</v>
      </c>
    </row>
    <row r="2427" spans="1:10" x14ac:dyDescent="0.35">
      <c r="A2427" s="31">
        <v>1213</v>
      </c>
      <c r="B2427" s="19" t="s">
        <v>17</v>
      </c>
      <c r="D2427" s="37">
        <v>45900</v>
      </c>
      <c r="E2427" s="31">
        <v>38820</v>
      </c>
      <c r="F2427" s="31" t="s">
        <v>1126</v>
      </c>
      <c r="G2427" s="31">
        <v>2347</v>
      </c>
      <c r="H2427" s="31" t="s">
        <v>1178</v>
      </c>
      <c r="I2427" s="38">
        <v>9000</v>
      </c>
    </row>
    <row r="2428" spans="1:10" x14ac:dyDescent="0.35">
      <c r="A2428" s="31">
        <v>1213.5</v>
      </c>
      <c r="B2428" s="19"/>
      <c r="C2428" s="31" t="s">
        <v>151</v>
      </c>
      <c r="D2428" s="37">
        <v>45900</v>
      </c>
      <c r="E2428" s="31">
        <v>38820</v>
      </c>
      <c r="F2428" s="31" t="s">
        <v>1126</v>
      </c>
      <c r="G2428" s="31">
        <v>2347</v>
      </c>
      <c r="H2428" s="31" t="s">
        <v>1178</v>
      </c>
      <c r="J2428" s="38">
        <v>9000</v>
      </c>
    </row>
    <row r="2429" spans="1:10" x14ac:dyDescent="0.35">
      <c r="A2429" s="31">
        <v>1214</v>
      </c>
      <c r="B2429" s="19" t="s">
        <v>17</v>
      </c>
      <c r="D2429" s="37">
        <v>45900</v>
      </c>
      <c r="E2429" s="31">
        <v>38822</v>
      </c>
      <c r="F2429" s="31" t="s">
        <v>1176</v>
      </c>
      <c r="G2429" s="31">
        <v>2273</v>
      </c>
      <c r="H2429" s="31" t="s">
        <v>1178</v>
      </c>
      <c r="I2429" s="38">
        <v>325.02999999999997</v>
      </c>
    </row>
    <row r="2430" spans="1:10" x14ac:dyDescent="0.35">
      <c r="A2430" s="31">
        <v>1214.5</v>
      </c>
      <c r="B2430" s="19"/>
      <c r="C2430" s="31" t="s">
        <v>151</v>
      </c>
      <c r="D2430" s="37">
        <v>45900</v>
      </c>
      <c r="E2430" s="31">
        <v>38822</v>
      </c>
      <c r="F2430" s="31" t="s">
        <v>1176</v>
      </c>
      <c r="G2430" s="31">
        <v>2273</v>
      </c>
      <c r="H2430" s="31" t="s">
        <v>1178</v>
      </c>
      <c r="J2430" s="38">
        <v>325.02999999999997</v>
      </c>
    </row>
    <row r="2431" spans="1:10" x14ac:dyDescent="0.35">
      <c r="A2431" s="31">
        <v>1215</v>
      </c>
      <c r="B2431" s="19" t="s">
        <v>17</v>
      </c>
      <c r="D2431" s="37">
        <v>45900</v>
      </c>
      <c r="E2431" s="31">
        <v>38853</v>
      </c>
      <c r="F2431" s="31" t="s">
        <v>1133</v>
      </c>
      <c r="G2431" s="31">
        <v>2524</v>
      </c>
      <c r="H2431" s="31" t="s">
        <v>1178</v>
      </c>
      <c r="I2431" s="38">
        <v>672.97</v>
      </c>
    </row>
    <row r="2432" spans="1:10" x14ac:dyDescent="0.35">
      <c r="A2432" s="31">
        <v>1215.5</v>
      </c>
      <c r="B2432" s="19"/>
      <c r="C2432" s="31" t="s">
        <v>151</v>
      </c>
      <c r="D2432" s="37">
        <v>45900</v>
      </c>
      <c r="E2432" s="31">
        <v>38853</v>
      </c>
      <c r="F2432" s="31" t="s">
        <v>1133</v>
      </c>
      <c r="G2432" s="31">
        <v>2524</v>
      </c>
      <c r="H2432" s="31" t="s">
        <v>1178</v>
      </c>
      <c r="J2432" s="38">
        <v>672.97</v>
      </c>
    </row>
    <row r="2433" spans="1:10" x14ac:dyDescent="0.35">
      <c r="A2433" s="31">
        <v>1216</v>
      </c>
      <c r="B2433" s="19" t="s">
        <v>17</v>
      </c>
      <c r="D2433" s="37">
        <v>45900</v>
      </c>
      <c r="E2433" s="31">
        <v>38854</v>
      </c>
      <c r="F2433" s="31" t="s">
        <v>1134</v>
      </c>
      <c r="G2433" s="31">
        <v>2441</v>
      </c>
      <c r="H2433" s="31" t="s">
        <v>1178</v>
      </c>
      <c r="I2433" s="38">
        <v>3779.52</v>
      </c>
    </row>
    <row r="2434" spans="1:10" x14ac:dyDescent="0.35">
      <c r="A2434" s="31">
        <v>1216.5</v>
      </c>
      <c r="B2434" s="19"/>
      <c r="C2434" s="31" t="s">
        <v>151</v>
      </c>
      <c r="D2434" s="37">
        <v>45900</v>
      </c>
      <c r="E2434" s="31">
        <v>38854</v>
      </c>
      <c r="F2434" s="31" t="s">
        <v>1134</v>
      </c>
      <c r="G2434" s="31">
        <v>2441</v>
      </c>
      <c r="H2434" s="31" t="s">
        <v>1178</v>
      </c>
      <c r="J2434" s="38">
        <v>3779.52</v>
      </c>
    </row>
    <row r="2435" spans="1:10" x14ac:dyDescent="0.35">
      <c r="A2435" s="31">
        <v>1217</v>
      </c>
      <c r="B2435" s="19" t="s">
        <v>17</v>
      </c>
      <c r="D2435" s="37">
        <v>45900</v>
      </c>
      <c r="E2435" s="31">
        <v>38855</v>
      </c>
      <c r="F2435" s="31" t="s">
        <v>1135</v>
      </c>
      <c r="G2435" s="31">
        <v>693</v>
      </c>
      <c r="H2435" s="31" t="s">
        <v>1178</v>
      </c>
      <c r="I2435" s="38">
        <v>1663.75</v>
      </c>
    </row>
    <row r="2436" spans="1:10" x14ac:dyDescent="0.35">
      <c r="A2436" s="31">
        <v>1217.5</v>
      </c>
      <c r="B2436" s="19"/>
      <c r="C2436" s="31" t="s">
        <v>151</v>
      </c>
      <c r="D2436" s="37">
        <v>45900</v>
      </c>
      <c r="E2436" s="31">
        <v>38855</v>
      </c>
      <c r="F2436" s="31" t="s">
        <v>1135</v>
      </c>
      <c r="G2436" s="31">
        <v>693</v>
      </c>
      <c r="H2436" s="31" t="s">
        <v>1178</v>
      </c>
      <c r="J2436" s="38">
        <v>1663.75</v>
      </c>
    </row>
    <row r="2437" spans="1:10" x14ac:dyDescent="0.35">
      <c r="A2437" s="31">
        <v>1218</v>
      </c>
      <c r="B2437" s="19" t="s">
        <v>17</v>
      </c>
      <c r="D2437" s="37">
        <v>45900</v>
      </c>
      <c r="E2437" s="31">
        <v>38868</v>
      </c>
      <c r="F2437" s="31" t="s">
        <v>1139</v>
      </c>
      <c r="G2437" s="31">
        <v>2437</v>
      </c>
      <c r="H2437" s="31" t="s">
        <v>1178</v>
      </c>
      <c r="I2437" s="38">
        <v>500</v>
      </c>
    </row>
    <row r="2438" spans="1:10" x14ac:dyDescent="0.35">
      <c r="A2438" s="31">
        <v>1218.5</v>
      </c>
      <c r="B2438" s="19"/>
      <c r="C2438" s="31" t="s">
        <v>151</v>
      </c>
      <c r="D2438" s="37">
        <v>45900</v>
      </c>
      <c r="E2438" s="31">
        <v>38868</v>
      </c>
      <c r="F2438" s="31" t="s">
        <v>1139</v>
      </c>
      <c r="G2438" s="31">
        <v>2437</v>
      </c>
      <c r="H2438" s="31" t="s">
        <v>1178</v>
      </c>
      <c r="J2438" s="38">
        <v>500</v>
      </c>
    </row>
    <row r="2439" spans="1:10" x14ac:dyDescent="0.35">
      <c r="A2439" s="31">
        <v>1219</v>
      </c>
      <c r="B2439" s="19" t="s">
        <v>17</v>
      </c>
      <c r="D2439" s="37">
        <v>45900</v>
      </c>
      <c r="E2439" s="31">
        <v>38871</v>
      </c>
      <c r="F2439" s="31" t="s">
        <v>921</v>
      </c>
      <c r="G2439" s="31">
        <v>2191</v>
      </c>
      <c r="H2439" s="31" t="s">
        <v>1178</v>
      </c>
      <c r="I2439" s="38">
        <v>1165.3499999999999</v>
      </c>
    </row>
    <row r="2440" spans="1:10" x14ac:dyDescent="0.35">
      <c r="A2440" s="31">
        <v>1219.5</v>
      </c>
      <c r="B2440" s="19"/>
      <c r="C2440" s="31" t="s">
        <v>151</v>
      </c>
      <c r="D2440" s="37">
        <v>45900</v>
      </c>
      <c r="E2440" s="31">
        <v>38871</v>
      </c>
      <c r="F2440" s="31" t="s">
        <v>921</v>
      </c>
      <c r="G2440" s="31">
        <v>2191</v>
      </c>
      <c r="H2440" s="31" t="s">
        <v>1178</v>
      </c>
      <c r="J2440" s="38">
        <v>1165.3499999999999</v>
      </c>
    </row>
    <row r="2441" spans="1:10" x14ac:dyDescent="0.35">
      <c r="A2441" s="31">
        <v>1220</v>
      </c>
      <c r="B2441" s="19" t="s">
        <v>17</v>
      </c>
      <c r="D2441" s="37">
        <v>45900</v>
      </c>
      <c r="E2441" s="31">
        <v>38880</v>
      </c>
      <c r="F2441" s="31" t="s">
        <v>1140</v>
      </c>
      <c r="G2441" s="31">
        <v>3343</v>
      </c>
      <c r="H2441" s="31" t="s">
        <v>1178</v>
      </c>
      <c r="I2441" s="38">
        <v>900</v>
      </c>
    </row>
    <row r="2442" spans="1:10" x14ac:dyDescent="0.35">
      <c r="A2442" s="31">
        <v>1220.5</v>
      </c>
      <c r="B2442" s="19"/>
      <c r="C2442" s="31" t="s">
        <v>151</v>
      </c>
      <c r="D2442" s="37">
        <v>45900</v>
      </c>
      <c r="E2442" s="31">
        <v>38880</v>
      </c>
      <c r="F2442" s="31" t="s">
        <v>1140</v>
      </c>
      <c r="G2442" s="31">
        <v>3343</v>
      </c>
      <c r="H2442" s="31" t="s">
        <v>1178</v>
      </c>
      <c r="J2442" s="38">
        <v>900</v>
      </c>
    </row>
    <row r="2443" spans="1:10" x14ac:dyDescent="0.35">
      <c r="A2443" s="31">
        <v>1221</v>
      </c>
      <c r="B2443" s="19" t="s">
        <v>17</v>
      </c>
      <c r="D2443" s="37">
        <v>45900</v>
      </c>
      <c r="E2443" s="31">
        <v>38884</v>
      </c>
      <c r="F2443" s="31" t="s">
        <v>1136</v>
      </c>
      <c r="G2443" s="31">
        <v>2306</v>
      </c>
      <c r="H2443" s="31" t="s">
        <v>1178</v>
      </c>
      <c r="I2443" s="38">
        <v>0</v>
      </c>
    </row>
    <row r="2444" spans="1:10" x14ac:dyDescent="0.35">
      <c r="A2444" s="31">
        <v>1221.5</v>
      </c>
      <c r="B2444" s="19"/>
      <c r="C2444" s="31" t="s">
        <v>151</v>
      </c>
      <c r="D2444" s="37">
        <v>45900</v>
      </c>
      <c r="E2444" s="31">
        <v>38884</v>
      </c>
      <c r="F2444" s="31" t="s">
        <v>1136</v>
      </c>
      <c r="G2444" s="31">
        <v>2306</v>
      </c>
      <c r="H2444" s="31" t="s">
        <v>1178</v>
      </c>
      <c r="J2444" s="38">
        <v>0</v>
      </c>
    </row>
    <row r="2445" spans="1:10" x14ac:dyDescent="0.35">
      <c r="A2445" s="31">
        <v>1222</v>
      </c>
      <c r="B2445" s="19" t="s">
        <v>17</v>
      </c>
      <c r="D2445" s="37">
        <v>45900</v>
      </c>
      <c r="E2445" s="31">
        <v>38904</v>
      </c>
      <c r="F2445" s="31" t="s">
        <v>1141</v>
      </c>
      <c r="G2445" s="31">
        <v>3568</v>
      </c>
      <c r="H2445" s="31" t="s">
        <v>1178</v>
      </c>
      <c r="I2445" s="38">
        <v>1420</v>
      </c>
    </row>
    <row r="2446" spans="1:10" x14ac:dyDescent="0.35">
      <c r="A2446" s="31">
        <v>1222.5</v>
      </c>
      <c r="B2446" s="19"/>
      <c r="C2446" s="31" t="s">
        <v>151</v>
      </c>
      <c r="D2446" s="37">
        <v>45900</v>
      </c>
      <c r="E2446" s="31">
        <v>38904</v>
      </c>
      <c r="F2446" s="31" t="s">
        <v>1141</v>
      </c>
      <c r="G2446" s="31">
        <v>3568</v>
      </c>
      <c r="H2446" s="31" t="s">
        <v>1178</v>
      </c>
      <c r="J2446" s="38">
        <v>1420</v>
      </c>
    </row>
    <row r="2447" spans="1:10" x14ac:dyDescent="0.35">
      <c r="A2447" s="31">
        <v>1223</v>
      </c>
      <c r="B2447" s="19" t="s">
        <v>17</v>
      </c>
      <c r="D2447" s="37">
        <v>45900</v>
      </c>
      <c r="E2447" s="31">
        <v>38909</v>
      </c>
      <c r="F2447" s="31" t="s">
        <v>1142</v>
      </c>
      <c r="G2447" s="31">
        <v>2172</v>
      </c>
      <c r="H2447" s="31" t="s">
        <v>1178</v>
      </c>
      <c r="I2447" s="38">
        <v>1625</v>
      </c>
    </row>
    <row r="2448" spans="1:10" x14ac:dyDescent="0.35">
      <c r="A2448" s="31">
        <v>1223.5</v>
      </c>
      <c r="B2448" s="19"/>
      <c r="C2448" s="31" t="s">
        <v>151</v>
      </c>
      <c r="D2448" s="37">
        <v>45900</v>
      </c>
      <c r="E2448" s="31">
        <v>38909</v>
      </c>
      <c r="F2448" s="31" t="s">
        <v>1142</v>
      </c>
      <c r="G2448" s="31">
        <v>2172</v>
      </c>
      <c r="H2448" s="31" t="s">
        <v>1178</v>
      </c>
      <c r="J2448" s="38">
        <v>1625</v>
      </c>
    </row>
    <row r="2449" spans="1:10" x14ac:dyDescent="0.35">
      <c r="A2449" s="31">
        <v>1224</v>
      </c>
      <c r="B2449" s="19" t="s">
        <v>17</v>
      </c>
      <c r="D2449" s="37">
        <v>45900</v>
      </c>
      <c r="E2449" s="31">
        <v>38912</v>
      </c>
      <c r="F2449" s="31" t="s">
        <v>1144</v>
      </c>
      <c r="G2449" s="31">
        <v>2188</v>
      </c>
      <c r="H2449" s="31" t="s">
        <v>1178</v>
      </c>
      <c r="I2449" s="38">
        <v>5464.8099999999995</v>
      </c>
    </row>
    <row r="2450" spans="1:10" x14ac:dyDescent="0.35">
      <c r="A2450" s="31">
        <v>1224.5</v>
      </c>
      <c r="B2450" s="19"/>
      <c r="C2450" s="31" t="s">
        <v>151</v>
      </c>
      <c r="D2450" s="37">
        <v>45900</v>
      </c>
      <c r="E2450" s="31">
        <v>38912</v>
      </c>
      <c r="F2450" s="31" t="s">
        <v>1144</v>
      </c>
      <c r="G2450" s="31">
        <v>2188</v>
      </c>
      <c r="H2450" s="31" t="s">
        <v>1178</v>
      </c>
      <c r="J2450" s="38">
        <v>5464.8099999999995</v>
      </c>
    </row>
    <row r="2451" spans="1:10" x14ac:dyDescent="0.35">
      <c r="A2451" s="31">
        <v>1225</v>
      </c>
      <c r="B2451" s="19" t="s">
        <v>17</v>
      </c>
      <c r="D2451" s="37">
        <v>45900</v>
      </c>
      <c r="E2451" s="31">
        <v>38913</v>
      </c>
      <c r="F2451" s="31" t="s">
        <v>1145</v>
      </c>
      <c r="G2451" s="31">
        <v>2186</v>
      </c>
      <c r="H2451" s="31" t="s">
        <v>1178</v>
      </c>
      <c r="I2451" s="38">
        <v>27.17</v>
      </c>
    </row>
    <row r="2452" spans="1:10" x14ac:dyDescent="0.35">
      <c r="A2452" s="31">
        <v>1225.5</v>
      </c>
      <c r="B2452" s="19"/>
      <c r="C2452" s="31" t="s">
        <v>151</v>
      </c>
      <c r="D2452" s="37">
        <v>45900</v>
      </c>
      <c r="E2452" s="31">
        <v>38913</v>
      </c>
      <c r="F2452" s="31" t="s">
        <v>1145</v>
      </c>
      <c r="G2452" s="31">
        <v>2186</v>
      </c>
      <c r="H2452" s="31" t="s">
        <v>1178</v>
      </c>
      <c r="J2452" s="38">
        <v>27.17</v>
      </c>
    </row>
    <row r="2453" spans="1:10" x14ac:dyDescent="0.35">
      <c r="A2453" s="31">
        <v>1226</v>
      </c>
      <c r="B2453" s="19" t="s">
        <v>17</v>
      </c>
      <c r="D2453" s="37">
        <v>45900</v>
      </c>
      <c r="E2453" s="31">
        <v>38915</v>
      </c>
      <c r="F2453" s="31" t="s">
        <v>1146</v>
      </c>
      <c r="G2453" s="31">
        <v>2193</v>
      </c>
      <c r="H2453" s="31" t="s">
        <v>1178</v>
      </c>
      <c r="I2453" s="38">
        <v>409.9</v>
      </c>
    </row>
    <row r="2454" spans="1:10" x14ac:dyDescent="0.35">
      <c r="A2454" s="31">
        <v>1226.5</v>
      </c>
      <c r="B2454" s="19"/>
      <c r="C2454" s="31" t="s">
        <v>151</v>
      </c>
      <c r="D2454" s="37">
        <v>45900</v>
      </c>
      <c r="E2454" s="31">
        <v>38915</v>
      </c>
      <c r="F2454" s="31" t="s">
        <v>1146</v>
      </c>
      <c r="G2454" s="31">
        <v>2193</v>
      </c>
      <c r="H2454" s="31" t="s">
        <v>1178</v>
      </c>
      <c r="J2454" s="38">
        <v>409.9</v>
      </c>
    </row>
    <row r="2455" spans="1:10" x14ac:dyDescent="0.35">
      <c r="A2455" s="31">
        <v>1227</v>
      </c>
      <c r="B2455" s="19" t="s">
        <v>17</v>
      </c>
      <c r="D2455" s="37">
        <v>45900</v>
      </c>
      <c r="E2455" s="31">
        <v>38916</v>
      </c>
      <c r="F2455" s="31" t="s">
        <v>1147</v>
      </c>
      <c r="G2455" s="31">
        <v>2194</v>
      </c>
      <c r="H2455" s="31" t="s">
        <v>1178</v>
      </c>
      <c r="I2455" s="38">
        <v>553.87</v>
      </c>
    </row>
    <row r="2456" spans="1:10" x14ac:dyDescent="0.35">
      <c r="A2456" s="31">
        <v>1227.5</v>
      </c>
      <c r="B2456" s="19"/>
      <c r="C2456" s="31" t="s">
        <v>151</v>
      </c>
      <c r="D2456" s="37">
        <v>45900</v>
      </c>
      <c r="E2456" s="31">
        <v>38916</v>
      </c>
      <c r="F2456" s="31" t="s">
        <v>1147</v>
      </c>
      <c r="G2456" s="31">
        <v>2194</v>
      </c>
      <c r="H2456" s="31" t="s">
        <v>1178</v>
      </c>
      <c r="J2456" s="38">
        <v>553.87</v>
      </c>
    </row>
    <row r="2457" spans="1:10" x14ac:dyDescent="0.35">
      <c r="A2457" s="31">
        <v>1228</v>
      </c>
      <c r="B2457" s="19" t="s">
        <v>17</v>
      </c>
      <c r="D2457" s="37">
        <v>45900</v>
      </c>
      <c r="E2457" s="31">
        <v>38921</v>
      </c>
      <c r="F2457" s="31" t="s">
        <v>1148</v>
      </c>
      <c r="G2457" s="31">
        <v>2288</v>
      </c>
      <c r="H2457" s="31" t="s">
        <v>1178</v>
      </c>
      <c r="I2457" s="38">
        <v>180.95</v>
      </c>
    </row>
    <row r="2458" spans="1:10" x14ac:dyDescent="0.35">
      <c r="A2458" s="31">
        <v>1228.5</v>
      </c>
      <c r="B2458" s="19"/>
      <c r="C2458" s="31" t="s">
        <v>151</v>
      </c>
      <c r="D2458" s="37">
        <v>45900</v>
      </c>
      <c r="E2458" s="31">
        <v>38921</v>
      </c>
      <c r="F2458" s="31" t="s">
        <v>1148</v>
      </c>
      <c r="G2458" s="31">
        <v>2288</v>
      </c>
      <c r="H2458" s="31" t="s">
        <v>1178</v>
      </c>
      <c r="J2458" s="38">
        <v>180.95</v>
      </c>
    </row>
    <row r="2459" spans="1:10" x14ac:dyDescent="0.35">
      <c r="A2459" s="31">
        <v>1229</v>
      </c>
      <c r="B2459" s="19" t="s">
        <v>17</v>
      </c>
      <c r="D2459" s="37">
        <v>45900</v>
      </c>
      <c r="E2459" s="31">
        <v>38942</v>
      </c>
      <c r="F2459" s="31" t="s">
        <v>1149</v>
      </c>
      <c r="G2459" s="31">
        <v>2413</v>
      </c>
      <c r="H2459" s="31" t="s">
        <v>1178</v>
      </c>
      <c r="I2459" s="38">
        <v>40</v>
      </c>
    </row>
    <row r="2460" spans="1:10" x14ac:dyDescent="0.35">
      <c r="A2460" s="31">
        <v>1229.5</v>
      </c>
      <c r="B2460" s="19"/>
      <c r="C2460" s="31" t="s">
        <v>151</v>
      </c>
      <c r="D2460" s="37">
        <v>45900</v>
      </c>
      <c r="E2460" s="31">
        <v>38942</v>
      </c>
      <c r="F2460" s="31" t="s">
        <v>1149</v>
      </c>
      <c r="G2460" s="31">
        <v>2413</v>
      </c>
      <c r="H2460" s="31" t="s">
        <v>1178</v>
      </c>
      <c r="J2460" s="38">
        <v>40</v>
      </c>
    </row>
    <row r="2461" spans="1:10" x14ac:dyDescent="0.35">
      <c r="A2461" s="31">
        <v>1230</v>
      </c>
      <c r="B2461" s="19" t="s">
        <v>17</v>
      </c>
      <c r="D2461" s="37">
        <v>45900</v>
      </c>
      <c r="E2461" s="31">
        <v>38946</v>
      </c>
      <c r="F2461" s="31" t="s">
        <v>1150</v>
      </c>
      <c r="G2461" s="31">
        <v>2336</v>
      </c>
      <c r="H2461" s="31" t="s">
        <v>1178</v>
      </c>
      <c r="I2461" s="38">
        <v>965.5</v>
      </c>
    </row>
    <row r="2462" spans="1:10" x14ac:dyDescent="0.35">
      <c r="A2462" s="31">
        <v>1230.5</v>
      </c>
      <c r="B2462" s="19"/>
      <c r="C2462" s="31" t="s">
        <v>151</v>
      </c>
      <c r="D2462" s="37">
        <v>45900</v>
      </c>
      <c r="E2462" s="31">
        <v>38946</v>
      </c>
      <c r="F2462" s="31" t="s">
        <v>1150</v>
      </c>
      <c r="G2462" s="31">
        <v>2336</v>
      </c>
      <c r="H2462" s="31" t="s">
        <v>1178</v>
      </c>
      <c r="J2462" s="38">
        <v>965.5</v>
      </c>
    </row>
    <row r="2463" spans="1:10" x14ac:dyDescent="0.35">
      <c r="A2463" s="31">
        <v>1231</v>
      </c>
      <c r="B2463" s="19" t="s">
        <v>17</v>
      </c>
      <c r="D2463" s="37">
        <v>45900</v>
      </c>
      <c r="E2463" s="31">
        <v>38959</v>
      </c>
      <c r="F2463" s="31" t="s">
        <v>228</v>
      </c>
      <c r="G2463" s="31">
        <v>1934</v>
      </c>
      <c r="H2463" s="31" t="s">
        <v>1178</v>
      </c>
      <c r="I2463" s="38">
        <v>1329</v>
      </c>
    </row>
    <row r="2464" spans="1:10" x14ac:dyDescent="0.35">
      <c r="A2464" s="31">
        <v>1231.5</v>
      </c>
      <c r="B2464" s="19"/>
      <c r="C2464" s="31" t="s">
        <v>151</v>
      </c>
      <c r="D2464" s="37">
        <v>45900</v>
      </c>
      <c r="E2464" s="31">
        <v>38959</v>
      </c>
      <c r="F2464" s="31" t="s">
        <v>228</v>
      </c>
      <c r="G2464" s="31">
        <v>1934</v>
      </c>
      <c r="H2464" s="31" t="s">
        <v>1178</v>
      </c>
      <c r="J2464" s="38">
        <v>1329</v>
      </c>
    </row>
    <row r="2465" spans="1:10" x14ac:dyDescent="0.35">
      <c r="A2465" s="31">
        <v>1232</v>
      </c>
      <c r="B2465" s="19" t="s">
        <v>17</v>
      </c>
      <c r="D2465" s="37">
        <v>45900</v>
      </c>
      <c r="E2465" s="31">
        <v>38965</v>
      </c>
      <c r="F2465" s="31" t="s">
        <v>1154</v>
      </c>
      <c r="G2465" s="31">
        <v>2164</v>
      </c>
      <c r="H2465" s="31" t="s">
        <v>1178</v>
      </c>
      <c r="I2465" s="38">
        <v>569.25</v>
      </c>
    </row>
    <row r="2466" spans="1:10" x14ac:dyDescent="0.35">
      <c r="A2466" s="31">
        <v>1232.5</v>
      </c>
      <c r="B2466" s="19"/>
      <c r="C2466" s="31" t="s">
        <v>151</v>
      </c>
      <c r="D2466" s="37">
        <v>45900</v>
      </c>
      <c r="E2466" s="31">
        <v>38965</v>
      </c>
      <c r="F2466" s="31" t="s">
        <v>1154</v>
      </c>
      <c r="G2466" s="31">
        <v>2164</v>
      </c>
      <c r="H2466" s="31" t="s">
        <v>1178</v>
      </c>
      <c r="J2466" s="38">
        <v>569.25</v>
      </c>
    </row>
    <row r="2467" spans="1:10" x14ac:dyDescent="0.35">
      <c r="A2467" s="31">
        <v>1233</v>
      </c>
      <c r="B2467" s="19" t="s">
        <v>17</v>
      </c>
      <c r="D2467" s="37">
        <v>45900</v>
      </c>
      <c r="E2467" s="31">
        <v>38974</v>
      </c>
      <c r="F2467" s="31" t="s">
        <v>1155</v>
      </c>
      <c r="G2467" s="31">
        <v>2445</v>
      </c>
      <c r="H2467" s="31" t="s">
        <v>1178</v>
      </c>
      <c r="I2467" s="38">
        <v>487.85</v>
      </c>
    </row>
    <row r="2468" spans="1:10" x14ac:dyDescent="0.35">
      <c r="A2468" s="31">
        <v>1233.5</v>
      </c>
      <c r="B2468" s="19"/>
      <c r="C2468" s="31" t="s">
        <v>151</v>
      </c>
      <c r="D2468" s="37">
        <v>45900</v>
      </c>
      <c r="E2468" s="31">
        <v>38974</v>
      </c>
      <c r="F2468" s="31" t="s">
        <v>1155</v>
      </c>
      <c r="G2468" s="31">
        <v>2445</v>
      </c>
      <c r="H2468" s="31" t="s">
        <v>1178</v>
      </c>
      <c r="J2468" s="38">
        <v>487.85</v>
      </c>
    </row>
    <row r="2469" spans="1:10" x14ac:dyDescent="0.35">
      <c r="A2469" s="31">
        <v>1234</v>
      </c>
      <c r="B2469" s="19" t="s">
        <v>17</v>
      </c>
      <c r="D2469" s="37">
        <v>45900</v>
      </c>
      <c r="E2469" s="31">
        <v>38985</v>
      </c>
      <c r="F2469" s="31" t="s">
        <v>1157</v>
      </c>
      <c r="G2469" s="31">
        <v>453</v>
      </c>
      <c r="H2469" s="31" t="s">
        <v>1178</v>
      </c>
      <c r="I2469" s="38">
        <v>434.92</v>
      </c>
    </row>
    <row r="2470" spans="1:10" x14ac:dyDescent="0.35">
      <c r="A2470" s="31">
        <v>1234.5</v>
      </c>
      <c r="B2470" s="19"/>
      <c r="C2470" s="31" t="s">
        <v>151</v>
      </c>
      <c r="D2470" s="37">
        <v>45900</v>
      </c>
      <c r="E2470" s="31">
        <v>38985</v>
      </c>
      <c r="F2470" s="31" t="s">
        <v>1157</v>
      </c>
      <c r="G2470" s="31">
        <v>453</v>
      </c>
      <c r="H2470" s="31" t="s">
        <v>1178</v>
      </c>
      <c r="J2470" s="38">
        <v>434.92</v>
      </c>
    </row>
    <row r="2471" spans="1:10" x14ac:dyDescent="0.35">
      <c r="A2471" s="31">
        <v>1235</v>
      </c>
      <c r="B2471" s="19" t="s">
        <v>17</v>
      </c>
      <c r="D2471" s="37">
        <v>45900</v>
      </c>
      <c r="E2471" s="31">
        <v>38992</v>
      </c>
      <c r="F2471" s="31" t="s">
        <v>1158</v>
      </c>
      <c r="G2471" s="31">
        <v>2457</v>
      </c>
      <c r="H2471" s="31" t="s">
        <v>1178</v>
      </c>
      <c r="I2471" s="38">
        <v>980</v>
      </c>
    </row>
    <row r="2472" spans="1:10" x14ac:dyDescent="0.35">
      <c r="A2472" s="31">
        <v>1235.5</v>
      </c>
      <c r="B2472" s="19"/>
      <c r="C2472" s="31" t="s">
        <v>151</v>
      </c>
      <c r="D2472" s="37">
        <v>45900</v>
      </c>
      <c r="E2472" s="31">
        <v>38992</v>
      </c>
      <c r="F2472" s="31" t="s">
        <v>1158</v>
      </c>
      <c r="G2472" s="31">
        <v>2457</v>
      </c>
      <c r="H2472" s="31" t="s">
        <v>1178</v>
      </c>
      <c r="J2472" s="38">
        <v>980</v>
      </c>
    </row>
    <row r="2473" spans="1:10" x14ac:dyDescent="0.35">
      <c r="A2473" s="31">
        <v>1236</v>
      </c>
      <c r="B2473" s="19" t="s">
        <v>17</v>
      </c>
      <c r="D2473" s="37">
        <v>45900</v>
      </c>
      <c r="E2473" s="31">
        <v>38997</v>
      </c>
      <c r="F2473" s="31" t="s">
        <v>128</v>
      </c>
      <c r="G2473" s="31">
        <v>2442</v>
      </c>
      <c r="H2473" s="31" t="s">
        <v>1178</v>
      </c>
      <c r="I2473" s="38">
        <v>1687</v>
      </c>
    </row>
    <row r="2474" spans="1:10" x14ac:dyDescent="0.35">
      <c r="A2474" s="31">
        <v>1236.5</v>
      </c>
      <c r="B2474" s="19"/>
      <c r="C2474" s="31" t="s">
        <v>151</v>
      </c>
      <c r="D2474" s="37">
        <v>45900</v>
      </c>
      <c r="E2474" s="31">
        <v>38997</v>
      </c>
      <c r="F2474" s="31" t="s">
        <v>128</v>
      </c>
      <c r="G2474" s="31">
        <v>2442</v>
      </c>
      <c r="H2474" s="31" t="s">
        <v>1178</v>
      </c>
      <c r="J2474" s="38">
        <v>1687</v>
      </c>
    </row>
    <row r="2475" spans="1:10" x14ac:dyDescent="0.35">
      <c r="A2475" s="31">
        <v>1237</v>
      </c>
      <c r="B2475" s="19" t="s">
        <v>17</v>
      </c>
      <c r="D2475" s="37">
        <v>45900</v>
      </c>
      <c r="E2475" s="31">
        <v>38998</v>
      </c>
      <c r="F2475" s="31" t="s">
        <v>1159</v>
      </c>
      <c r="G2475" s="31">
        <v>575</v>
      </c>
      <c r="H2475" s="31" t="s">
        <v>1178</v>
      </c>
      <c r="I2475" s="38">
        <v>646.12</v>
      </c>
    </row>
    <row r="2476" spans="1:10" x14ac:dyDescent="0.35">
      <c r="A2476" s="31">
        <v>1237.5</v>
      </c>
      <c r="B2476" s="19"/>
      <c r="C2476" s="31" t="s">
        <v>151</v>
      </c>
      <c r="D2476" s="37">
        <v>45900</v>
      </c>
      <c r="E2476" s="31">
        <v>38998</v>
      </c>
      <c r="F2476" s="31" t="s">
        <v>1159</v>
      </c>
      <c r="G2476" s="31">
        <v>575</v>
      </c>
      <c r="H2476" s="31" t="s">
        <v>1178</v>
      </c>
      <c r="J2476" s="38">
        <v>646.12</v>
      </c>
    </row>
    <row r="2477" spans="1:10" x14ac:dyDescent="0.35">
      <c r="A2477" s="31">
        <v>1238</v>
      </c>
      <c r="B2477" s="19" t="s">
        <v>17</v>
      </c>
      <c r="D2477" s="37">
        <v>45900</v>
      </c>
      <c r="E2477" s="31">
        <v>38999</v>
      </c>
      <c r="F2477" s="31" t="s">
        <v>597</v>
      </c>
      <c r="G2477" s="31">
        <v>3393</v>
      </c>
      <c r="H2477" s="31" t="s">
        <v>1178</v>
      </c>
      <c r="I2477" s="38">
        <v>3060</v>
      </c>
    </row>
    <row r="2478" spans="1:10" x14ac:dyDescent="0.35">
      <c r="A2478" s="31">
        <v>1238.5</v>
      </c>
      <c r="B2478" s="19"/>
      <c r="C2478" s="31" t="s">
        <v>151</v>
      </c>
      <c r="D2478" s="37">
        <v>45900</v>
      </c>
      <c r="E2478" s="31">
        <v>38999</v>
      </c>
      <c r="F2478" s="31" t="s">
        <v>597</v>
      </c>
      <c r="G2478" s="31">
        <v>3393</v>
      </c>
      <c r="H2478" s="31" t="s">
        <v>1178</v>
      </c>
      <c r="J2478" s="38">
        <v>3060</v>
      </c>
    </row>
    <row r="2479" spans="1:10" x14ac:dyDescent="0.35">
      <c r="A2479" s="31">
        <v>1239</v>
      </c>
      <c r="B2479" s="19" t="s">
        <v>17</v>
      </c>
      <c r="D2479" s="37">
        <v>45900</v>
      </c>
      <c r="E2479" s="31">
        <v>39003</v>
      </c>
      <c r="F2479" s="31" t="s">
        <v>1160</v>
      </c>
      <c r="G2479" s="31">
        <v>2357</v>
      </c>
      <c r="H2479" s="31" t="s">
        <v>1178</v>
      </c>
      <c r="I2479" s="38">
        <v>2575.75</v>
      </c>
    </row>
    <row r="2480" spans="1:10" x14ac:dyDescent="0.35">
      <c r="A2480" s="31">
        <v>1239.5</v>
      </c>
      <c r="B2480" s="19"/>
      <c r="C2480" s="31" t="s">
        <v>151</v>
      </c>
      <c r="D2480" s="37">
        <v>45900</v>
      </c>
      <c r="E2480" s="31">
        <v>39003</v>
      </c>
      <c r="F2480" s="31" t="s">
        <v>1160</v>
      </c>
      <c r="G2480" s="31">
        <v>2357</v>
      </c>
      <c r="H2480" s="31" t="s">
        <v>1178</v>
      </c>
      <c r="J2480" s="38">
        <v>2575.75</v>
      </c>
    </row>
    <row r="2481" spans="1:10" x14ac:dyDescent="0.35">
      <c r="A2481" s="31">
        <v>1240</v>
      </c>
      <c r="B2481" s="19" t="s">
        <v>17</v>
      </c>
      <c r="D2481" s="37">
        <v>45900</v>
      </c>
      <c r="E2481" s="31">
        <v>39009</v>
      </c>
      <c r="F2481" s="31" t="s">
        <v>1159</v>
      </c>
      <c r="G2481" s="31">
        <v>575</v>
      </c>
      <c r="H2481" s="31" t="s">
        <v>1178</v>
      </c>
      <c r="I2481" s="38">
        <v>1649.25</v>
      </c>
    </row>
    <row r="2482" spans="1:10" x14ac:dyDescent="0.35">
      <c r="A2482" s="31">
        <v>1240.5</v>
      </c>
      <c r="B2482" s="19"/>
      <c r="C2482" s="31" t="s">
        <v>151</v>
      </c>
      <c r="D2482" s="37">
        <v>45900</v>
      </c>
      <c r="E2482" s="31">
        <v>39009</v>
      </c>
      <c r="F2482" s="31" t="s">
        <v>1159</v>
      </c>
      <c r="G2482" s="31">
        <v>575</v>
      </c>
      <c r="H2482" s="31" t="s">
        <v>1178</v>
      </c>
      <c r="J2482" s="38">
        <v>1649.25</v>
      </c>
    </row>
    <row r="2483" spans="1:10" x14ac:dyDescent="0.35">
      <c r="A2483" s="31">
        <v>1241</v>
      </c>
      <c r="B2483" s="19" t="s">
        <v>17</v>
      </c>
      <c r="D2483" s="37">
        <v>45900</v>
      </c>
      <c r="E2483" s="31">
        <v>39063</v>
      </c>
      <c r="F2483" s="31" t="s">
        <v>1161</v>
      </c>
      <c r="G2483" s="31">
        <v>2541</v>
      </c>
      <c r="H2483" s="31" t="s">
        <v>1178</v>
      </c>
      <c r="I2483" s="38">
        <v>781</v>
      </c>
    </row>
    <row r="2484" spans="1:10" x14ac:dyDescent="0.35">
      <c r="A2484" s="31">
        <v>1241.5</v>
      </c>
      <c r="B2484" s="19"/>
      <c r="C2484" s="31" t="s">
        <v>151</v>
      </c>
      <c r="D2484" s="37">
        <v>45900</v>
      </c>
      <c r="E2484" s="31">
        <v>39063</v>
      </c>
      <c r="F2484" s="31" t="s">
        <v>1161</v>
      </c>
      <c r="G2484" s="31">
        <v>2541</v>
      </c>
      <c r="H2484" s="31" t="s">
        <v>1178</v>
      </c>
      <c r="J2484" s="38">
        <v>781</v>
      </c>
    </row>
    <row r="2485" spans="1:10" x14ac:dyDescent="0.35">
      <c r="A2485" s="31">
        <v>1242</v>
      </c>
      <c r="B2485" s="19" t="s">
        <v>17</v>
      </c>
      <c r="D2485" s="37">
        <v>45900</v>
      </c>
      <c r="E2485" s="31">
        <v>39073</v>
      </c>
      <c r="F2485" s="31" t="s">
        <v>1135</v>
      </c>
      <c r="G2485" s="31">
        <v>693</v>
      </c>
      <c r="H2485" s="31" t="s">
        <v>1178</v>
      </c>
      <c r="I2485" s="38">
        <v>629.22</v>
      </c>
    </row>
    <row r="2486" spans="1:10" x14ac:dyDescent="0.35">
      <c r="A2486" s="31">
        <v>1242.5</v>
      </c>
      <c r="B2486" s="19"/>
      <c r="C2486" s="31" t="s">
        <v>151</v>
      </c>
      <c r="D2486" s="37">
        <v>45900</v>
      </c>
      <c r="E2486" s="31">
        <v>39073</v>
      </c>
      <c r="F2486" s="31" t="s">
        <v>1135</v>
      </c>
      <c r="G2486" s="31">
        <v>693</v>
      </c>
      <c r="H2486" s="31" t="s">
        <v>1178</v>
      </c>
      <c r="J2486" s="38">
        <v>629.22</v>
      </c>
    </row>
    <row r="2487" spans="1:10" x14ac:dyDescent="0.35">
      <c r="A2487" s="31">
        <v>1243</v>
      </c>
      <c r="B2487" s="19" t="s">
        <v>17</v>
      </c>
      <c r="D2487" s="37">
        <v>45900</v>
      </c>
      <c r="E2487" s="31">
        <v>39074</v>
      </c>
      <c r="F2487" s="31" t="s">
        <v>1135</v>
      </c>
      <c r="G2487" s="31">
        <v>693</v>
      </c>
      <c r="H2487" s="31" t="s">
        <v>1178</v>
      </c>
      <c r="I2487" s="38">
        <v>862.5</v>
      </c>
    </row>
    <row r="2488" spans="1:10" x14ac:dyDescent="0.35">
      <c r="A2488" s="31">
        <v>1243.5</v>
      </c>
      <c r="B2488" s="19"/>
      <c r="C2488" s="31" t="s">
        <v>151</v>
      </c>
      <c r="D2488" s="37">
        <v>45900</v>
      </c>
      <c r="E2488" s="31">
        <v>39074</v>
      </c>
      <c r="F2488" s="31" t="s">
        <v>1135</v>
      </c>
      <c r="G2488" s="31">
        <v>693</v>
      </c>
      <c r="H2488" s="31" t="s">
        <v>1178</v>
      </c>
      <c r="J2488" s="38">
        <v>862.5</v>
      </c>
    </row>
    <row r="2489" spans="1:10" x14ac:dyDescent="0.35">
      <c r="A2489" s="31">
        <v>1244</v>
      </c>
      <c r="B2489" s="19" t="s">
        <v>17</v>
      </c>
      <c r="D2489" s="37">
        <v>45900</v>
      </c>
      <c r="E2489" s="31">
        <v>39084</v>
      </c>
      <c r="F2489" s="31" t="s">
        <v>1027</v>
      </c>
      <c r="G2489" s="31">
        <v>3397</v>
      </c>
      <c r="H2489" s="31" t="s">
        <v>1178</v>
      </c>
      <c r="I2489" s="38">
        <v>4500</v>
      </c>
    </row>
    <row r="2490" spans="1:10" x14ac:dyDescent="0.35">
      <c r="A2490" s="31">
        <v>1244.5</v>
      </c>
      <c r="B2490" s="19"/>
      <c r="C2490" s="31" t="s">
        <v>151</v>
      </c>
      <c r="D2490" s="37">
        <v>45900</v>
      </c>
      <c r="E2490" s="31">
        <v>39084</v>
      </c>
      <c r="F2490" s="31" t="s">
        <v>1027</v>
      </c>
      <c r="G2490" s="31">
        <v>3397</v>
      </c>
      <c r="H2490" s="31" t="s">
        <v>1178</v>
      </c>
      <c r="J2490" s="38">
        <v>4500</v>
      </c>
    </row>
    <row r="2491" spans="1:10" x14ac:dyDescent="0.35">
      <c r="A2491" s="31">
        <v>1245</v>
      </c>
      <c r="B2491" s="19" t="s">
        <v>17</v>
      </c>
      <c r="D2491" s="37">
        <v>45900</v>
      </c>
      <c r="E2491" s="31">
        <v>39085</v>
      </c>
      <c r="F2491" s="53" t="s">
        <v>1132</v>
      </c>
      <c r="G2491" s="31">
        <v>2574</v>
      </c>
      <c r="H2491" s="31" t="s">
        <v>1178</v>
      </c>
      <c r="I2491" s="38">
        <v>1331.91</v>
      </c>
    </row>
    <row r="2492" spans="1:10" x14ac:dyDescent="0.35">
      <c r="A2492" s="31">
        <v>1245.5</v>
      </c>
      <c r="B2492" s="19"/>
      <c r="C2492" s="31" t="s">
        <v>151</v>
      </c>
      <c r="D2492" s="37">
        <v>45900</v>
      </c>
      <c r="E2492" s="31">
        <v>39085</v>
      </c>
      <c r="F2492" s="53" t="s">
        <v>1132</v>
      </c>
      <c r="G2492" s="31">
        <v>2574</v>
      </c>
      <c r="H2492" s="31" t="s">
        <v>1178</v>
      </c>
      <c r="J2492" s="38">
        <v>1331.91</v>
      </c>
    </row>
    <row r="2493" spans="1:10" x14ac:dyDescent="0.35">
      <c r="A2493" s="31">
        <v>1246</v>
      </c>
      <c r="B2493" s="19" t="s">
        <v>17</v>
      </c>
      <c r="D2493" s="37">
        <v>45900</v>
      </c>
      <c r="E2493" s="31">
        <v>39087</v>
      </c>
      <c r="F2493" s="31" t="s">
        <v>635</v>
      </c>
      <c r="G2493" s="31">
        <v>3325</v>
      </c>
      <c r="H2493" s="31" t="s">
        <v>1178</v>
      </c>
      <c r="I2493" s="38">
        <v>11.76</v>
      </c>
    </row>
    <row r="2494" spans="1:10" x14ac:dyDescent="0.35">
      <c r="A2494" s="31">
        <v>1246.5</v>
      </c>
      <c r="B2494" s="19"/>
      <c r="C2494" s="31" t="s">
        <v>151</v>
      </c>
      <c r="D2494" s="37">
        <v>45900</v>
      </c>
      <c r="E2494" s="31">
        <v>39087</v>
      </c>
      <c r="F2494" s="31" t="s">
        <v>635</v>
      </c>
      <c r="G2494" s="31">
        <v>3325</v>
      </c>
      <c r="H2494" s="31" t="s">
        <v>1178</v>
      </c>
      <c r="J2494" s="38">
        <v>11.76</v>
      </c>
    </row>
    <row r="2495" spans="1:10" x14ac:dyDescent="0.35">
      <c r="A2495" s="31">
        <v>1247</v>
      </c>
      <c r="B2495" s="19" t="s">
        <v>17</v>
      </c>
      <c r="D2495" s="37">
        <v>45900</v>
      </c>
      <c r="E2495" s="31">
        <v>39088</v>
      </c>
      <c r="F2495" s="31" t="s">
        <v>1163</v>
      </c>
      <c r="G2495" s="31">
        <v>2162</v>
      </c>
      <c r="H2495" s="31" t="s">
        <v>1178</v>
      </c>
      <c r="I2495" s="38">
        <v>2230</v>
      </c>
    </row>
    <row r="2496" spans="1:10" x14ac:dyDescent="0.35">
      <c r="A2496" s="31">
        <v>1247.5</v>
      </c>
      <c r="B2496" s="19"/>
      <c r="C2496" s="31" t="s">
        <v>151</v>
      </c>
      <c r="D2496" s="37">
        <v>45900</v>
      </c>
      <c r="E2496" s="31">
        <v>39088</v>
      </c>
      <c r="F2496" s="31" t="s">
        <v>1163</v>
      </c>
      <c r="G2496" s="31">
        <v>2162</v>
      </c>
      <c r="H2496" s="31" t="s">
        <v>1178</v>
      </c>
      <c r="J2496" s="38">
        <v>2230</v>
      </c>
    </row>
    <row r="2497" spans="1:10" x14ac:dyDescent="0.35">
      <c r="A2497" s="31">
        <v>1248</v>
      </c>
      <c r="B2497" s="19" t="s">
        <v>17</v>
      </c>
      <c r="D2497" s="37">
        <v>45900</v>
      </c>
      <c r="E2497" s="31">
        <v>39089</v>
      </c>
      <c r="F2497" s="31" t="s">
        <v>921</v>
      </c>
      <c r="G2497" s="31">
        <v>2191</v>
      </c>
      <c r="H2497" s="31" t="s">
        <v>1178</v>
      </c>
      <c r="I2497" s="38">
        <v>200</v>
      </c>
    </row>
    <row r="2498" spans="1:10" x14ac:dyDescent="0.35">
      <c r="A2498" s="31">
        <v>1248.5</v>
      </c>
      <c r="B2498" s="19"/>
      <c r="C2498" s="31" t="s">
        <v>151</v>
      </c>
      <c r="D2498" s="37">
        <v>45900</v>
      </c>
      <c r="E2498" s="31">
        <v>39089</v>
      </c>
      <c r="F2498" s="31" t="s">
        <v>921</v>
      </c>
      <c r="G2498" s="31">
        <v>2191</v>
      </c>
      <c r="H2498" s="31" t="s">
        <v>1178</v>
      </c>
      <c r="J2498" s="38">
        <v>200</v>
      </c>
    </row>
    <row r="2499" spans="1:10" x14ac:dyDescent="0.35">
      <c r="A2499" s="31">
        <v>1249</v>
      </c>
      <c r="B2499" s="19" t="s">
        <v>17</v>
      </c>
      <c r="D2499" s="37">
        <v>45900</v>
      </c>
      <c r="E2499" s="31">
        <v>39102</v>
      </c>
      <c r="F2499" s="31" t="s">
        <v>1166</v>
      </c>
      <c r="G2499" s="31">
        <v>3569</v>
      </c>
      <c r="H2499" s="31" t="s">
        <v>1178</v>
      </c>
      <c r="I2499" s="38">
        <v>0.02</v>
      </c>
    </row>
    <row r="2500" spans="1:10" x14ac:dyDescent="0.35">
      <c r="A2500" s="31">
        <v>1249.5</v>
      </c>
      <c r="B2500" s="19"/>
      <c r="C2500" s="31" t="s">
        <v>151</v>
      </c>
      <c r="D2500" s="37">
        <v>45900</v>
      </c>
      <c r="E2500" s="31">
        <v>39102</v>
      </c>
      <c r="F2500" s="31" t="s">
        <v>1166</v>
      </c>
      <c r="G2500" s="31">
        <v>3569</v>
      </c>
      <c r="H2500" s="31" t="s">
        <v>1178</v>
      </c>
      <c r="J2500" s="38">
        <v>0.02</v>
      </c>
    </row>
    <row r="2501" spans="1:10" x14ac:dyDescent="0.35">
      <c r="A2501" s="31">
        <v>1250</v>
      </c>
      <c r="B2501" s="19" t="s">
        <v>17</v>
      </c>
      <c r="D2501" s="37">
        <v>45900</v>
      </c>
      <c r="E2501" s="31">
        <v>39107</v>
      </c>
      <c r="F2501" s="31" t="s">
        <v>464</v>
      </c>
      <c r="G2501" s="31">
        <v>3543</v>
      </c>
      <c r="H2501" s="31" t="s">
        <v>1178</v>
      </c>
      <c r="I2501" s="38">
        <v>0.13</v>
      </c>
    </row>
    <row r="2502" spans="1:10" x14ac:dyDescent="0.35">
      <c r="A2502" s="31">
        <v>1250.5</v>
      </c>
      <c r="B2502" s="19"/>
      <c r="C2502" s="31" t="s">
        <v>151</v>
      </c>
      <c r="D2502" s="37">
        <v>45900</v>
      </c>
      <c r="E2502" s="31">
        <v>39107</v>
      </c>
      <c r="F2502" s="31" t="s">
        <v>464</v>
      </c>
      <c r="G2502" s="31">
        <v>3543</v>
      </c>
      <c r="H2502" s="31" t="s">
        <v>1178</v>
      </c>
      <c r="J2502" s="38">
        <v>0.13</v>
      </c>
    </row>
    <row r="2503" spans="1:10" x14ac:dyDescent="0.35">
      <c r="A2503" s="31">
        <v>1251</v>
      </c>
      <c r="B2503" s="19" t="s">
        <v>17</v>
      </c>
      <c r="D2503" s="37">
        <v>45900</v>
      </c>
      <c r="E2503" s="31">
        <v>39111</v>
      </c>
      <c r="F2503" s="31" t="s">
        <v>148</v>
      </c>
      <c r="G2503" s="31">
        <v>3358</v>
      </c>
      <c r="H2503" s="31" t="s">
        <v>1178</v>
      </c>
      <c r="I2503" s="38">
        <v>1</v>
      </c>
    </row>
    <row r="2504" spans="1:10" x14ac:dyDescent="0.35">
      <c r="A2504" s="31">
        <v>1251.5</v>
      </c>
      <c r="B2504" s="19"/>
      <c r="C2504" s="31" t="s">
        <v>151</v>
      </c>
      <c r="D2504" s="37">
        <v>45900</v>
      </c>
      <c r="E2504" s="31">
        <v>39111</v>
      </c>
      <c r="F2504" s="31" t="s">
        <v>148</v>
      </c>
      <c r="G2504" s="31">
        <v>3358</v>
      </c>
      <c r="H2504" s="31" t="s">
        <v>1178</v>
      </c>
      <c r="J2504" s="38">
        <v>1</v>
      </c>
    </row>
    <row r="2505" spans="1:10" x14ac:dyDescent="0.35">
      <c r="A2505" s="31">
        <v>1252</v>
      </c>
      <c r="B2505" s="19" t="s">
        <v>17</v>
      </c>
      <c r="D2505" s="37">
        <v>45900</v>
      </c>
      <c r="E2505" s="31">
        <v>39115</v>
      </c>
      <c r="F2505" s="31" t="s">
        <v>261</v>
      </c>
      <c r="G2505" s="31">
        <v>3362</v>
      </c>
      <c r="H2505" s="31" t="s">
        <v>1178</v>
      </c>
      <c r="I2505" s="38">
        <v>0.08</v>
      </c>
    </row>
    <row r="2506" spans="1:10" x14ac:dyDescent="0.35">
      <c r="A2506" s="31">
        <v>1252.5</v>
      </c>
      <c r="B2506" s="19"/>
      <c r="C2506" s="31" t="s">
        <v>151</v>
      </c>
      <c r="D2506" s="37">
        <v>45900</v>
      </c>
      <c r="E2506" s="31">
        <v>39115</v>
      </c>
      <c r="F2506" s="31" t="s">
        <v>261</v>
      </c>
      <c r="G2506" s="31">
        <v>3362</v>
      </c>
      <c r="H2506" s="31" t="s">
        <v>1178</v>
      </c>
      <c r="J2506" s="38">
        <v>0.08</v>
      </c>
    </row>
    <row r="2507" spans="1:10" x14ac:dyDescent="0.35">
      <c r="A2507" s="31">
        <v>1253</v>
      </c>
      <c r="B2507" s="19" t="s">
        <v>17</v>
      </c>
      <c r="D2507" s="37">
        <v>45900</v>
      </c>
      <c r="E2507" s="31">
        <v>39122</v>
      </c>
      <c r="F2507" s="31" t="s">
        <v>1027</v>
      </c>
      <c r="G2507" s="31">
        <v>3397</v>
      </c>
      <c r="H2507" s="31" t="s">
        <v>1178</v>
      </c>
      <c r="I2507" s="38">
        <v>0.01</v>
      </c>
    </row>
    <row r="2508" spans="1:10" x14ac:dyDescent="0.35">
      <c r="A2508" s="31">
        <v>1253.5</v>
      </c>
      <c r="B2508" s="19"/>
      <c r="C2508" s="31" t="s">
        <v>151</v>
      </c>
      <c r="D2508" s="37">
        <v>45900</v>
      </c>
      <c r="E2508" s="31">
        <v>39122</v>
      </c>
      <c r="F2508" s="31" t="s">
        <v>1027</v>
      </c>
      <c r="G2508" s="31">
        <v>3397</v>
      </c>
      <c r="H2508" s="31" t="s">
        <v>1178</v>
      </c>
      <c r="J2508" s="38">
        <v>0.01</v>
      </c>
    </row>
    <row r="2509" spans="1:10" x14ac:dyDescent="0.35">
      <c r="A2509" s="31">
        <v>1254</v>
      </c>
      <c r="B2509" s="19" t="s">
        <v>17</v>
      </c>
      <c r="D2509" s="37">
        <v>45900</v>
      </c>
      <c r="E2509" s="31">
        <v>39124</v>
      </c>
      <c r="F2509" s="31" t="s">
        <v>767</v>
      </c>
      <c r="G2509" s="31">
        <v>3388</v>
      </c>
      <c r="H2509" s="31" t="s">
        <v>1178</v>
      </c>
      <c r="I2509" s="38">
        <v>0.01</v>
      </c>
    </row>
    <row r="2510" spans="1:10" x14ac:dyDescent="0.35">
      <c r="A2510" s="31">
        <v>1254.5</v>
      </c>
      <c r="B2510" s="19"/>
      <c r="C2510" s="31" t="s">
        <v>151</v>
      </c>
      <c r="D2510" s="37">
        <v>45900</v>
      </c>
      <c r="E2510" s="31">
        <v>39124</v>
      </c>
      <c r="F2510" s="31" t="s">
        <v>767</v>
      </c>
      <c r="G2510" s="31">
        <v>3388</v>
      </c>
      <c r="H2510" s="31" t="s">
        <v>1178</v>
      </c>
      <c r="J2510" s="38">
        <v>0.01</v>
      </c>
    </row>
  </sheetData>
  <hyperlinks>
    <hyperlink ref="B3" r:id="rId1" display="https://9607261.app.netsuite.com/app/reporting/reportrunner.nl?fromreport=320&amp;regtx,tranline,kacct,x,alltranline5,IN,x,x=950&amp;cr=293" xr:uid="{DA6A94D2-DC05-4272-BA00-22935B27F3E4}"/>
    <hyperlink ref="B5" r:id="rId2" display="https://9607261.app.netsuite.com/app/reporting/reportrunner.nl?fromreport=320&amp;regtx,tranline,kacct,x,alltranline5,IN,x,x=950&amp;cr=293" xr:uid="{234F59A8-C652-4346-858B-2BA834D33D1E}"/>
    <hyperlink ref="B7" r:id="rId3" display="https://9607261.app.netsuite.com/app/reporting/reportrunner.nl?fromreport=320&amp;regtx,tranline,kacct,x,alltranline5,IN,x,x=950&amp;cr=293" xr:uid="{5FC5DB05-CD2B-4AC3-B8DA-8347D0F84CD1}"/>
    <hyperlink ref="B9" r:id="rId4" display="https://9607261.app.netsuite.com/app/reporting/reportrunner.nl?fromreport=320&amp;regtx,tranline,kacct,x,alltranline5,IN,x,x=950&amp;cr=293" xr:uid="{254B2FA5-4B0D-49B0-95F1-9727DD1D96A4}"/>
    <hyperlink ref="B11" r:id="rId5" display="https://9607261.app.netsuite.com/app/reporting/reportrunner.nl?fromreport=320&amp;regtx,tranline,kacct,x,alltranline5,IN,x,x=950&amp;cr=293" xr:uid="{FE291BC6-B844-4580-9847-DB280E436923}"/>
    <hyperlink ref="B13" r:id="rId6" display="https://9607261.app.netsuite.com/app/reporting/reportrunner.nl?fromreport=320&amp;regtx,tranline,kacct,x,alltranline5,IN,x,x=950&amp;cr=293" xr:uid="{55B8D8C3-0D47-461D-B946-0803A4B86C4D}"/>
    <hyperlink ref="B15" r:id="rId7" display="https://9607261.app.netsuite.com/app/reporting/reportrunner.nl?fromreport=320&amp;regtx,tranline,kacct,x,alltranline5,IN,x,x=950&amp;cr=293" xr:uid="{E408A7FC-2499-45F9-BA4C-E673D7EDFE3F}"/>
    <hyperlink ref="B17" r:id="rId8" display="https://9607261.app.netsuite.com/app/reporting/reportrunner.nl?fromreport=320&amp;regtx,tranline,kacct,x,alltranline5,IN,x,x=950&amp;cr=293" xr:uid="{DF3B1946-41D0-4DC0-BCC1-F0CD95998F40}"/>
    <hyperlink ref="B19" r:id="rId9" display="https://9607261.app.netsuite.com/app/reporting/reportrunner.nl?fromreport=320&amp;regtx,tranline,kacct,x,alltranline5,IN,x,x=950&amp;cr=293" xr:uid="{86CBDB9A-DF6C-4F76-ADFC-74BCC750C0C1}"/>
    <hyperlink ref="B21" r:id="rId10" display="https://9607261.app.netsuite.com/app/reporting/reportrunner.nl?fromreport=320&amp;regtx,tranline,kacct,x,alltranline5,IN,x,x=950&amp;cr=293" xr:uid="{472A64A0-A0B6-45D6-ABCB-4E784F0315C3}"/>
    <hyperlink ref="B23" r:id="rId11" display="https://9607261.app.netsuite.com/app/reporting/reportrunner.nl?fromreport=320&amp;regtx,tranline,kacct,x,alltranline5,IN,x,x=950&amp;cr=293" xr:uid="{415B7BEF-1043-4AE4-976E-49D8EB67B2D8}"/>
    <hyperlink ref="B25" r:id="rId12" display="https://9607261.app.netsuite.com/app/reporting/reportrunner.nl?fromreport=320&amp;regtx,tranline,kacct,x,alltranline5,IN,x,x=950&amp;cr=293" xr:uid="{A0B7A0E0-F7F6-4AC8-983A-0A6D364B8694}"/>
    <hyperlink ref="B27" r:id="rId13" display="https://9607261.app.netsuite.com/app/reporting/reportrunner.nl?fromreport=320&amp;regtx,tranline,kacct,x,alltranline5,IN,x,x=950&amp;cr=293" xr:uid="{80F54CED-BBF6-4D7E-A264-69BB032644CC}"/>
    <hyperlink ref="B29" r:id="rId14" display="https://9607261.app.netsuite.com/app/reporting/reportrunner.nl?fromreport=320&amp;regtx,tranline,kacct,x,alltranline5,IN,x,x=950&amp;cr=293" xr:uid="{0248EF45-768A-4F44-A648-234575823D9B}"/>
    <hyperlink ref="B31" r:id="rId15" display="https://9607261.app.netsuite.com/app/reporting/reportrunner.nl?fromreport=320&amp;regtx,tranline,kacct,x,alltranline5,IN,x,x=950&amp;cr=293" xr:uid="{BBD8C8CF-3BCB-4375-A289-85B2B8E54A77}"/>
    <hyperlink ref="B33" r:id="rId16" display="https://9607261.app.netsuite.com/app/reporting/reportrunner.nl?fromreport=320&amp;regtx,tranline,kacct,x,alltranline5,IN,x,x=950&amp;cr=293" xr:uid="{160AB4BB-BA1D-4E0C-BBE1-6AF2023C43DA}"/>
    <hyperlink ref="B35" r:id="rId17" display="https://9607261.app.netsuite.com/app/reporting/reportrunner.nl?fromreport=320&amp;regtx,tranline,kacct,x,alltranline5,IN,x,x=950&amp;cr=293" xr:uid="{74A14D74-AC73-49CF-AB56-B47D9B8299F9}"/>
    <hyperlink ref="B37" r:id="rId18" display="https://9607261.app.netsuite.com/app/reporting/reportrunner.nl?fromreport=320&amp;regtx,tranline,kacct,x,alltranline5,IN,x,x=950&amp;cr=293" xr:uid="{39950164-4316-492B-9019-5E3F17DFD7FB}"/>
    <hyperlink ref="B39" r:id="rId19" display="https://9607261.app.netsuite.com/app/reporting/reportrunner.nl?fromreport=320&amp;regtx,tranline,kacct,x,alltranline5,IN,x,x=950&amp;cr=293" xr:uid="{00CE6917-4189-4A5D-8689-3EBDF1EEA9BE}"/>
    <hyperlink ref="B41" r:id="rId20" display="https://9607261.app.netsuite.com/app/reporting/reportrunner.nl?fromreport=320&amp;regtx,tranline,kacct,x,alltranline5,IN,x,x=950&amp;cr=293" xr:uid="{6DA33D83-2AAB-4B74-8DD9-A82FFD16C331}"/>
    <hyperlink ref="B43" r:id="rId21" display="https://9607261.app.netsuite.com/app/reporting/reportrunner.nl?fromreport=320&amp;regtx,tranline,kacct,x,alltranline5,IN,x,x=950&amp;cr=293" xr:uid="{3A00BB61-BCEC-407A-B267-9A24A12450E7}"/>
    <hyperlink ref="B45" r:id="rId22" display="https://9607261.app.netsuite.com/app/reporting/reportrunner.nl?fromreport=320&amp;regtx,tranline,kacct,x,alltranline5,IN,x,x=950&amp;cr=293" xr:uid="{64D89627-5A22-47B1-9113-D9E0EC4FA48C}"/>
    <hyperlink ref="B47" r:id="rId23" display="https://9607261.app.netsuite.com/app/reporting/reportrunner.nl?fromreport=320&amp;regtx,tranline,kacct,x,alltranline5,IN,x,x=950&amp;cr=293" xr:uid="{A437D6C1-CDB7-4A1C-A559-1AB5028CB1F0}"/>
    <hyperlink ref="B49" r:id="rId24" display="https://9607261.app.netsuite.com/app/reporting/reportrunner.nl?fromreport=320&amp;regtx,tranline,kacct,x,alltranline5,IN,x,x=950&amp;cr=293" xr:uid="{2C174A94-E439-4D60-8DDF-447A8F5F6C91}"/>
    <hyperlink ref="B51" r:id="rId25" display="https://9607261.app.netsuite.com/app/reporting/reportrunner.nl?fromreport=320&amp;regtx,tranline,kacct,x,alltranline5,IN,x,x=950&amp;cr=293" xr:uid="{4C7BF875-265B-459A-B65E-50CF0FF4A913}"/>
    <hyperlink ref="B53" r:id="rId26" display="https://9607261.app.netsuite.com/app/reporting/reportrunner.nl?fromreport=320&amp;regtx,tranline,kacct,x,alltranline5,IN,x,x=950&amp;cr=293" xr:uid="{70F68920-91DD-4F86-B883-95246E19CE11}"/>
    <hyperlink ref="B55" r:id="rId27" display="https://9607261.app.netsuite.com/app/reporting/reportrunner.nl?fromreport=320&amp;regtx,tranline,kacct,x,alltranline5,IN,x,x=950&amp;cr=293" xr:uid="{DD376D0A-163D-4F0B-8910-24AD9486B3B1}"/>
    <hyperlink ref="B57" r:id="rId28" display="https://9607261.app.netsuite.com/app/reporting/reportrunner.nl?fromreport=320&amp;regtx,tranline,kacct,x,alltranline5,IN,x,x=950&amp;cr=293" xr:uid="{8EA0FD24-98FF-43CA-AF90-1E44CD2E054D}"/>
    <hyperlink ref="B59" r:id="rId29" display="https://9607261.app.netsuite.com/app/reporting/reportrunner.nl?fromreport=320&amp;regtx,tranline,kacct,x,alltranline5,IN,x,x=950&amp;cr=293" xr:uid="{32DFC840-18B8-4CF1-A133-706E9046EF8E}"/>
    <hyperlink ref="B61" r:id="rId30" display="https://9607261.app.netsuite.com/app/reporting/reportrunner.nl?fromreport=320&amp;regtx,tranline,kacct,x,alltranline5,IN,x,x=950&amp;cr=293" xr:uid="{6ECD1149-5E99-4073-9A5E-87C4272A6891}"/>
    <hyperlink ref="B63" r:id="rId31" display="https://9607261.app.netsuite.com/app/reporting/reportrunner.nl?fromreport=320&amp;regtx,tranline,kacct,x,alltranline5,IN,x,x=950&amp;cr=293" xr:uid="{FD26F955-3FE2-484A-AB2D-5C92B01338EE}"/>
    <hyperlink ref="B65" r:id="rId32" display="https://9607261.app.netsuite.com/app/reporting/reportrunner.nl?fromreport=320&amp;regtx,tranline,kacct,x,alltranline5,IN,x,x=950&amp;cr=293" xr:uid="{C088D4E6-06A0-4C22-985E-F63AEAE82A2B}"/>
    <hyperlink ref="B67" r:id="rId33" display="https://9607261.app.netsuite.com/app/reporting/reportrunner.nl?fromreport=320&amp;regtx,tranline,kacct,x,alltranline5,IN,x,x=950&amp;cr=293" xr:uid="{4BBB1539-84A9-4C5D-B53D-76439B4579DB}"/>
    <hyperlink ref="B69" r:id="rId34" display="https://9607261.app.netsuite.com/app/reporting/reportrunner.nl?fromreport=320&amp;regtx,tranline,kacct,x,alltranline5,IN,x,x=950&amp;cr=293" xr:uid="{4E8E8E91-0E0F-47C8-B2CD-1DAA401AABE3}"/>
    <hyperlink ref="B71" r:id="rId35" display="https://9607261.app.netsuite.com/app/reporting/reportrunner.nl?fromreport=320&amp;regtx,tranline,kacct,x,alltranline5,IN,x,x=950&amp;cr=293" xr:uid="{4341556D-1213-4429-BFAF-431862EACCA3}"/>
    <hyperlink ref="B73" r:id="rId36" display="https://9607261.app.netsuite.com/app/reporting/reportrunner.nl?fromreport=320&amp;regtx,tranline,kacct,x,alltranline5,IN,x,x=950&amp;cr=293" xr:uid="{A05F1714-2D32-48E7-925F-F4B79D73BAD0}"/>
    <hyperlink ref="B75" r:id="rId37" display="https://9607261.app.netsuite.com/app/reporting/reportrunner.nl?fromreport=320&amp;regtx,tranline,kacct,x,alltranline5,IN,x,x=950&amp;cr=293" xr:uid="{B5C68FA6-45AF-461D-9DF6-854198024C72}"/>
    <hyperlink ref="B77" r:id="rId38" display="https://9607261.app.netsuite.com/app/reporting/reportrunner.nl?fromreport=320&amp;regtx,tranline,kacct,x,alltranline5,IN,x,x=950&amp;cr=293" xr:uid="{56D37D39-0108-44BC-850F-083886A071CF}"/>
    <hyperlink ref="B79" r:id="rId39" display="https://9607261.app.netsuite.com/app/reporting/reportrunner.nl?fromreport=320&amp;regtx,tranline,kacct,x,alltranline5,IN,x,x=950&amp;cr=293" xr:uid="{0CF52D0C-A104-4D50-8135-11359F742798}"/>
    <hyperlink ref="B81" r:id="rId40" display="https://9607261.app.netsuite.com/app/reporting/reportrunner.nl?fromreport=320&amp;regtx,tranline,kacct,x,alltranline5,IN,x,x=950&amp;cr=293" xr:uid="{E2254B47-105D-4679-A96E-05239401CF4A}"/>
    <hyperlink ref="B83" r:id="rId41" display="https://9607261.app.netsuite.com/app/reporting/reportrunner.nl?fromreport=320&amp;regtx,tranline,kacct,x,alltranline5,IN,x,x=950&amp;cr=293" xr:uid="{37CF8B28-31F4-44ED-A555-1FC81BEC76FE}"/>
    <hyperlink ref="B85" r:id="rId42" display="https://9607261.app.netsuite.com/app/reporting/reportrunner.nl?fromreport=320&amp;regtx,tranline,kacct,x,alltranline5,IN,x,x=950&amp;cr=293" xr:uid="{880A541B-5CD3-4FF7-8E3C-303C3326DD62}"/>
    <hyperlink ref="B87" r:id="rId43" display="https://9607261.app.netsuite.com/app/reporting/reportrunner.nl?fromreport=320&amp;regtx,tranline,kacct,x,alltranline5,IN,x,x=950&amp;cr=293" xr:uid="{32B22959-B3ED-45D4-9B36-F410DF15660D}"/>
    <hyperlink ref="B89" r:id="rId44" display="https://9607261.app.netsuite.com/app/reporting/reportrunner.nl?fromreport=320&amp;regtx,tranline,kacct,x,alltranline5,IN,x,x=950&amp;cr=293" xr:uid="{105B0FEC-E469-4F59-8B42-A0567807DBD1}"/>
    <hyperlink ref="B91" r:id="rId45" display="https://9607261.app.netsuite.com/app/reporting/reportrunner.nl?fromreport=320&amp;regtx,tranline,kacct,x,alltranline5,IN,x,x=950&amp;cr=293" xr:uid="{9DA76969-A4A5-4B0B-9516-D78E290DC249}"/>
    <hyperlink ref="B93" r:id="rId46" display="https://9607261.app.netsuite.com/app/reporting/reportrunner.nl?fromreport=320&amp;regtx,tranline,kacct,x,alltranline5,IN,x,x=950&amp;cr=293" xr:uid="{688EF30A-9563-4168-AADE-42D97F31C74A}"/>
    <hyperlink ref="B95" r:id="rId47" display="https://9607261.app.netsuite.com/app/reporting/reportrunner.nl?fromreport=320&amp;regtx,tranline,kacct,x,alltranline5,IN,x,x=950&amp;cr=293" xr:uid="{22BD2811-CEFE-4DC0-B291-8B8A33E8B62B}"/>
    <hyperlink ref="B97" r:id="rId48" display="https://9607261.app.netsuite.com/app/reporting/reportrunner.nl?fromreport=320&amp;regtx,tranline,kacct,x,alltranline5,IN,x,x=950&amp;cr=293" xr:uid="{CBAFD1F1-D9E1-4569-93FB-B9AAF7462E66}"/>
    <hyperlink ref="B99" r:id="rId49" display="https://9607261.app.netsuite.com/app/reporting/reportrunner.nl?fromreport=320&amp;regtx,tranline,kacct,x,alltranline5,IN,x,x=950&amp;cr=293" xr:uid="{978A657D-60FD-4667-ADA1-2202B886DDB7}"/>
    <hyperlink ref="B101" r:id="rId50" display="https://9607261.app.netsuite.com/app/reporting/reportrunner.nl?fromreport=320&amp;regtx,tranline,kacct,x,alltranline5,IN,x,x=950&amp;cr=293" xr:uid="{452456AD-09BB-4797-A595-646BA31E5992}"/>
    <hyperlink ref="B103" r:id="rId51" display="https://9607261.app.netsuite.com/app/reporting/reportrunner.nl?fromreport=320&amp;regtx,tranline,kacct,x,alltranline5,IN,x,x=950&amp;cr=293" xr:uid="{61986199-2497-46CE-9AFB-9CDEE4F587DC}"/>
    <hyperlink ref="B105" r:id="rId52" display="https://9607261.app.netsuite.com/app/reporting/reportrunner.nl?fromreport=320&amp;regtx,tranline,kacct,x,alltranline5,IN,x,x=950&amp;cr=293" xr:uid="{2E9217B7-0497-468B-AF64-ADFF9B477A00}"/>
    <hyperlink ref="B107" r:id="rId53" display="https://9607261.app.netsuite.com/app/reporting/reportrunner.nl?fromreport=320&amp;regtx,tranline,kacct,x,alltranline5,IN,x,x=950&amp;cr=293" xr:uid="{18EA9B12-411E-43D6-A106-7A49AAF86EAD}"/>
    <hyperlink ref="B109" r:id="rId54" display="https://9607261.app.netsuite.com/app/reporting/reportrunner.nl?fromreport=320&amp;regtx,tranline,kacct,x,alltranline5,IN,x,x=950&amp;cr=293" xr:uid="{26DE3CF6-FE61-4776-A5FC-5690567F135E}"/>
    <hyperlink ref="B111" r:id="rId55" display="https://9607261.app.netsuite.com/app/reporting/reportrunner.nl?fromreport=320&amp;regtx,tranline,kacct,x,alltranline5,IN,x,x=950&amp;cr=293" xr:uid="{30F6B9A0-01DF-4373-A354-F8177FB504D6}"/>
    <hyperlink ref="B113" r:id="rId56" display="https://9607261.app.netsuite.com/app/reporting/reportrunner.nl?fromreport=320&amp;regtx,tranline,kacct,x,alltranline5,IN,x,x=950&amp;cr=293" xr:uid="{5552D895-62C0-4158-AEEB-8A1DBA30A138}"/>
    <hyperlink ref="B115" r:id="rId57" display="https://9607261.app.netsuite.com/app/reporting/reportrunner.nl?fromreport=320&amp;regtx,tranline,kacct,x,alltranline5,IN,x,x=950&amp;cr=293" xr:uid="{4D9A6B7C-2237-4516-9100-079124C278BF}"/>
    <hyperlink ref="B117" r:id="rId58" display="https://9607261.app.netsuite.com/app/reporting/reportrunner.nl?fromreport=320&amp;regtx,tranline,kacct,x,alltranline5,IN,x,x=950&amp;cr=293" xr:uid="{5516C0E9-B7B2-405E-B093-F0B6CA535535}"/>
    <hyperlink ref="B119" r:id="rId59" display="https://9607261.app.netsuite.com/app/reporting/reportrunner.nl?fromreport=320&amp;regtx,tranline,kacct,x,alltranline5,IN,x,x=950&amp;cr=293" xr:uid="{02F52675-3FE9-4874-9BF2-8D2C7035409F}"/>
    <hyperlink ref="B121" r:id="rId60" display="https://9607261.app.netsuite.com/app/reporting/reportrunner.nl?fromreport=320&amp;regtx,tranline,kacct,x,alltranline5,IN,x,x=950&amp;cr=293" xr:uid="{E7E19D37-FB02-4CAF-AF83-7B47DD3CB771}"/>
    <hyperlink ref="B123" r:id="rId61" display="https://9607261.app.netsuite.com/app/reporting/reportrunner.nl?fromreport=320&amp;regtx,tranline,kacct,x,alltranline5,IN,x,x=950&amp;cr=293" xr:uid="{1BCC329B-495C-4967-9F25-95B9BCF3A9A9}"/>
    <hyperlink ref="B125" r:id="rId62" display="https://9607261.app.netsuite.com/app/reporting/reportrunner.nl?fromreport=320&amp;regtx,tranline,kacct,x,alltranline5,IN,x,x=950&amp;cr=293" xr:uid="{3CF69960-24CB-4D7C-81C3-A68C386785DB}"/>
    <hyperlink ref="B127" r:id="rId63" display="https://9607261.app.netsuite.com/app/reporting/reportrunner.nl?fromreport=320&amp;regtx,tranline,kacct,x,alltranline5,IN,x,x=950&amp;cr=293" xr:uid="{6D5A08F5-BE30-49F5-BF59-B8A794125624}"/>
    <hyperlink ref="B129" r:id="rId64" display="https://9607261.app.netsuite.com/app/reporting/reportrunner.nl?fromreport=320&amp;regtx,tranline,kacct,x,alltranline5,IN,x,x=950&amp;cr=293" xr:uid="{6FC49E38-C097-4E1F-A92C-3348F33102E1}"/>
    <hyperlink ref="B131" r:id="rId65" display="https://9607261.app.netsuite.com/app/reporting/reportrunner.nl?fromreport=320&amp;regtx,tranline,kacct,x,alltranline5,IN,x,x=950&amp;cr=293" xr:uid="{23CDA276-5D4C-489F-9811-6067206DAE6C}"/>
    <hyperlink ref="B133" r:id="rId66" display="https://9607261.app.netsuite.com/app/reporting/reportrunner.nl?fromreport=320&amp;regtx,tranline,kacct,x,alltranline5,IN,x,x=950&amp;cr=293" xr:uid="{1A2CBC71-1232-4795-B676-9D6F34DC1A3A}"/>
    <hyperlink ref="B135" r:id="rId67" display="https://9607261.app.netsuite.com/app/reporting/reportrunner.nl?fromreport=320&amp;regtx,tranline,kacct,x,alltranline5,IN,x,x=950&amp;cr=293" xr:uid="{1FA05304-0B85-4138-9CCB-99A4BFA285A2}"/>
    <hyperlink ref="B137" r:id="rId68" display="https://9607261.app.netsuite.com/app/reporting/reportrunner.nl?fromreport=320&amp;regtx,tranline,kacct,x,alltranline5,IN,x,x=950&amp;cr=293" xr:uid="{B7FBC413-B042-463C-A76F-C66CCC9E18BC}"/>
    <hyperlink ref="B139" r:id="rId69" display="https://9607261.app.netsuite.com/app/reporting/reportrunner.nl?fromreport=320&amp;regtx,tranline,kacct,x,alltranline5,IN,x,x=950&amp;cr=293" xr:uid="{2FC03744-456B-4772-87D1-A9E49AB0A720}"/>
    <hyperlink ref="B141" r:id="rId70" display="https://9607261.app.netsuite.com/app/reporting/reportrunner.nl?fromreport=320&amp;regtx,tranline,kacct,x,alltranline5,IN,x,x=950&amp;cr=293" xr:uid="{7F443042-D83B-47FA-B043-C21FD49453FE}"/>
    <hyperlink ref="B143" r:id="rId71" display="https://9607261.app.netsuite.com/app/reporting/reportrunner.nl?fromreport=320&amp;regtx,tranline,kacct,x,alltranline5,IN,x,x=950&amp;cr=293" xr:uid="{8600BBA6-FCBE-41D3-B075-99B7FBC380E1}"/>
    <hyperlink ref="B145" r:id="rId72" display="https://9607261.app.netsuite.com/app/reporting/reportrunner.nl?fromreport=320&amp;regtx,tranline,kacct,x,alltranline5,IN,x,x=950&amp;cr=293" xr:uid="{C33C26D4-12EF-4035-AF53-FE9E6EEF8AE9}"/>
    <hyperlink ref="B147" r:id="rId73" display="https://9607261.app.netsuite.com/app/reporting/reportrunner.nl?fromreport=320&amp;regtx,tranline,kacct,x,alltranline5,IN,x,x=950&amp;cr=293" xr:uid="{70ABFF15-F1C0-4B02-8341-6C87FD8DEA48}"/>
    <hyperlink ref="B149" r:id="rId74" display="https://9607261.app.netsuite.com/app/reporting/reportrunner.nl?fromreport=320&amp;regtx,tranline,kacct,x,alltranline5,IN,x,x=950&amp;cr=293" xr:uid="{71C3D730-ED12-4CBE-BAAA-B0097D74C353}"/>
    <hyperlink ref="B151" r:id="rId75" display="https://9607261.app.netsuite.com/app/reporting/reportrunner.nl?fromreport=320&amp;regtx,tranline,kacct,x,alltranline5,IN,x,x=950&amp;cr=293" xr:uid="{1B61E73C-3C30-476E-89B2-228501F34054}"/>
    <hyperlink ref="B153" r:id="rId76" display="https://9607261.app.netsuite.com/app/reporting/reportrunner.nl?fromreport=320&amp;regtx,tranline,kacct,x,alltranline5,IN,x,x=950&amp;cr=293" xr:uid="{259D6318-B8C6-4475-9996-D38EF31D2602}"/>
    <hyperlink ref="B155" r:id="rId77" display="https://9607261.app.netsuite.com/app/reporting/reportrunner.nl?fromreport=320&amp;regtx,tranline,kacct,x,alltranline5,IN,x,x=950&amp;cr=293" xr:uid="{F06CC461-E35A-4660-B4EE-3467CD81FA43}"/>
    <hyperlink ref="B157" r:id="rId78" display="https://9607261.app.netsuite.com/app/reporting/reportrunner.nl?fromreport=320&amp;regtx,tranline,kacct,x,alltranline5,IN,x,x=950&amp;cr=293" xr:uid="{72944C5A-7FB1-4978-919E-7EA88DAE65E8}"/>
    <hyperlink ref="B159" r:id="rId79" display="https://9607261.app.netsuite.com/app/reporting/reportrunner.nl?fromreport=320&amp;regtx,tranline,kacct,x,alltranline5,IN,x,x=950&amp;cr=293" xr:uid="{3537FB85-21D8-4DF6-9B8C-A46ECD45B96B}"/>
    <hyperlink ref="B161" r:id="rId80" display="https://9607261.app.netsuite.com/app/reporting/reportrunner.nl?fromreport=320&amp;regtx,tranline,kacct,x,alltranline5,IN,x,x=950&amp;cr=293" xr:uid="{3D57716D-329A-4DCF-BCB6-4FD47D37401A}"/>
    <hyperlink ref="B163" r:id="rId81" display="https://9607261.app.netsuite.com/app/reporting/reportrunner.nl?fromreport=320&amp;regtx,tranline,kacct,x,alltranline5,IN,x,x=950&amp;cr=293" xr:uid="{EEF1625F-F338-42B0-83FD-9CCC60F6E29C}"/>
    <hyperlink ref="B165" r:id="rId82" display="https://9607261.app.netsuite.com/app/reporting/reportrunner.nl?fromreport=320&amp;regtx,tranline,kacct,x,alltranline5,IN,x,x=950&amp;cr=293" xr:uid="{3E969447-6541-4BC1-B949-B7C13C442D55}"/>
    <hyperlink ref="B167" r:id="rId83" display="https://9607261.app.netsuite.com/app/reporting/reportrunner.nl?fromreport=320&amp;regtx,tranline,kacct,x,alltranline5,IN,x,x=950&amp;cr=293" xr:uid="{BA810448-E7BE-40FF-9029-38B7F802CCA9}"/>
    <hyperlink ref="B169" r:id="rId84" display="https://9607261.app.netsuite.com/app/reporting/reportrunner.nl?fromreport=320&amp;regtx,tranline,kacct,x,alltranline5,IN,x,x=950&amp;cr=293" xr:uid="{1099EA4E-1D9D-4D4F-B5CB-BF5052703B1A}"/>
    <hyperlink ref="B171" r:id="rId85" display="https://9607261.app.netsuite.com/app/reporting/reportrunner.nl?fromreport=320&amp;regtx,tranline,kacct,x,alltranline5,IN,x,x=950&amp;cr=293" xr:uid="{DE01C87F-ED4C-474F-A4F1-CCC9D061540F}"/>
    <hyperlink ref="B173" r:id="rId86" display="https://9607261.app.netsuite.com/app/reporting/reportrunner.nl?fromreport=320&amp;regtx,tranline,kacct,x,alltranline5,IN,x,x=950&amp;cr=293" xr:uid="{4BC677AF-3CDC-45F6-BF30-3DBD899B9AB0}"/>
    <hyperlink ref="B175" r:id="rId87" display="https://9607261.app.netsuite.com/app/reporting/reportrunner.nl?fromreport=320&amp;regtx,tranline,kacct,x,alltranline5,IN,x,x=950&amp;cr=293" xr:uid="{0A06A132-D382-4B9C-BD48-55D9C272AB89}"/>
    <hyperlink ref="B177" r:id="rId88" display="https://9607261.app.netsuite.com/app/reporting/reportrunner.nl?fromreport=320&amp;regtx,tranline,kacct,x,alltranline5,IN,x,x=950&amp;cr=293" xr:uid="{2743F85F-D207-4C22-8980-7D85F7554F6A}"/>
    <hyperlink ref="B179" r:id="rId89" display="https://9607261.app.netsuite.com/app/reporting/reportrunner.nl?fromreport=320&amp;regtx,tranline,kacct,x,alltranline5,IN,x,x=950&amp;cr=293" xr:uid="{60F9F496-EB49-46B2-9DF7-97BAA83A5C7E}"/>
    <hyperlink ref="B181" r:id="rId90" display="https://9607261.app.netsuite.com/app/reporting/reportrunner.nl?fromreport=320&amp;regtx,tranline,kacct,x,alltranline5,IN,x,x=950&amp;cr=293" xr:uid="{B270015F-2DB2-4262-B7E7-E63C9434633A}"/>
    <hyperlink ref="B183" r:id="rId91" display="https://9607261.app.netsuite.com/app/reporting/reportrunner.nl?fromreport=320&amp;regtx,tranline,kacct,x,alltranline5,IN,x,x=950&amp;cr=293" xr:uid="{68B86B78-0CBD-44BE-B5B2-C1AC30B9972A}"/>
    <hyperlink ref="B185" r:id="rId92" display="https://9607261.app.netsuite.com/app/reporting/reportrunner.nl?fromreport=320&amp;regtx,tranline,kacct,x,alltranline5,IN,x,x=950&amp;cr=293" xr:uid="{10E36BE8-0BDB-41CB-B6FB-1F71D0C9B974}"/>
    <hyperlink ref="B187" r:id="rId93" display="https://9607261.app.netsuite.com/app/reporting/reportrunner.nl?fromreport=320&amp;regtx,tranline,kacct,x,alltranline5,IN,x,x=950&amp;cr=293" xr:uid="{1B0DBF4E-B496-41DB-9323-CD8D4E233C8A}"/>
    <hyperlink ref="B189" r:id="rId94" display="https://9607261.app.netsuite.com/app/reporting/reportrunner.nl?fromreport=320&amp;regtx,tranline,kacct,x,alltranline5,IN,x,x=950&amp;cr=293" xr:uid="{13AE2420-683C-4051-A359-3D4AFEF2B332}"/>
    <hyperlink ref="B191" r:id="rId95" display="https://9607261.app.netsuite.com/app/reporting/reportrunner.nl?fromreport=320&amp;regtx,tranline,kacct,x,alltranline5,IN,x,x=950&amp;cr=293" xr:uid="{7F412C8B-8269-4FF4-9679-8934B88EF5E3}"/>
    <hyperlink ref="B193" r:id="rId96" display="https://9607261.app.netsuite.com/app/reporting/reportrunner.nl?fromreport=320&amp;regtx,tranline,kacct,x,alltranline5,IN,x,x=950&amp;cr=293" xr:uid="{2548F91B-3B74-4292-B429-6D6C7C9500A8}"/>
    <hyperlink ref="B195" r:id="rId97" display="https://9607261.app.netsuite.com/app/reporting/reportrunner.nl?fromreport=320&amp;regtx,tranline,kacct,x,alltranline5,IN,x,x=950&amp;cr=293" xr:uid="{722DB29E-B9AC-4063-8AF0-F9BF776D96FB}"/>
    <hyperlink ref="B197" r:id="rId98" display="https://9607261.app.netsuite.com/app/reporting/reportrunner.nl?fromreport=320&amp;regtx,tranline,kacct,x,alltranline5,IN,x,x=950&amp;cr=293" xr:uid="{A2AF8A61-1DEB-4FFD-ACEA-A47A05DCB4C6}"/>
    <hyperlink ref="B199" r:id="rId99" display="https://9607261.app.netsuite.com/app/reporting/reportrunner.nl?fromreport=320&amp;regtx,tranline,kacct,x,alltranline5,IN,x,x=950&amp;cr=293" xr:uid="{22F79187-5614-4C02-A56B-5B3958F575DD}"/>
    <hyperlink ref="B201" r:id="rId100" display="https://9607261.app.netsuite.com/app/reporting/reportrunner.nl?fromreport=320&amp;regtx,tranline,kacct,x,alltranline5,IN,x,x=950&amp;cr=293" xr:uid="{BFD4ADB1-C304-4F3E-B7AC-84AC42ECA137}"/>
    <hyperlink ref="B203" r:id="rId101" display="https://9607261.app.netsuite.com/app/reporting/reportrunner.nl?fromreport=320&amp;regtx,tranline,kacct,x,alltranline5,IN,x,x=950&amp;cr=293" xr:uid="{DF4A4878-191E-490F-8A4B-36767C0193B5}"/>
    <hyperlink ref="B205" r:id="rId102" display="https://9607261.app.netsuite.com/app/reporting/reportrunner.nl?fromreport=320&amp;regtx,tranline,kacct,x,alltranline5,IN,x,x=950&amp;cr=293" xr:uid="{3F5FA8D1-9420-41A9-9AB7-0A3C422F9F0C}"/>
    <hyperlink ref="B207" r:id="rId103" display="https://9607261.app.netsuite.com/app/reporting/reportrunner.nl?fromreport=320&amp;regtx,tranline,kacct,x,alltranline5,IN,x,x=950&amp;cr=293" xr:uid="{A6E8F2E9-DC73-45FC-80FC-D0286CADD8F6}"/>
    <hyperlink ref="B209" r:id="rId104" display="https://9607261.app.netsuite.com/app/reporting/reportrunner.nl?fromreport=320&amp;regtx,tranline,kacct,x,alltranline5,IN,x,x=950&amp;cr=293" xr:uid="{EF3E31BA-D448-4CDB-A29D-6203BBD4AE9B}"/>
    <hyperlink ref="B211" r:id="rId105" display="https://9607261.app.netsuite.com/app/reporting/reportrunner.nl?fromreport=320&amp;regtx,tranline,kacct,x,alltranline5,IN,x,x=950&amp;cr=293" xr:uid="{1472CF0C-12DE-41EF-A60F-050FBE843865}"/>
    <hyperlink ref="B213" r:id="rId106" display="https://9607261.app.netsuite.com/app/reporting/reportrunner.nl?fromreport=320&amp;regtx,tranline,kacct,x,alltranline5,IN,x,x=950&amp;cr=293" xr:uid="{76EEDBDA-5548-49D8-BB67-BA5E4FADBACA}"/>
    <hyperlink ref="B215" r:id="rId107" display="https://9607261.app.netsuite.com/app/reporting/reportrunner.nl?fromreport=320&amp;regtx,tranline,kacct,x,alltranline5,IN,x,x=950&amp;cr=293" xr:uid="{F4C6D408-97E1-40BC-874D-D08EF8141261}"/>
    <hyperlink ref="B217" r:id="rId108" display="https://9607261.app.netsuite.com/app/reporting/reportrunner.nl?fromreport=320&amp;regtx,tranline,kacct,x,alltranline5,IN,x,x=950&amp;cr=293" xr:uid="{17CB5BBB-C45F-4382-B9E3-6C6A73E78725}"/>
    <hyperlink ref="B219" r:id="rId109" display="https://9607261.app.netsuite.com/app/reporting/reportrunner.nl?fromreport=320&amp;regtx,tranline,kacct,x,alltranline5,IN,x,x=950&amp;cr=293" xr:uid="{53FD9B45-F1C8-455D-940E-1C9C6C11575E}"/>
    <hyperlink ref="B221" r:id="rId110" display="https://9607261.app.netsuite.com/app/reporting/reportrunner.nl?fromreport=320&amp;regtx,tranline,kacct,x,alltranline5,IN,x,x=950&amp;cr=293" xr:uid="{755C8566-AF5B-4325-A0B0-723B40162D8C}"/>
    <hyperlink ref="B223" r:id="rId111" display="https://9607261.app.netsuite.com/app/reporting/reportrunner.nl?fromreport=320&amp;regtx,tranline,kacct,x,alltranline5,IN,x,x=950&amp;cr=293" xr:uid="{73394A97-67C8-4576-9A2C-C797710D21A8}"/>
    <hyperlink ref="B225" r:id="rId112" display="https://9607261.app.netsuite.com/app/reporting/reportrunner.nl?fromreport=320&amp;regtx,tranline,kacct,x,alltranline5,IN,x,x=950&amp;cr=293" xr:uid="{70A94F96-DAB2-4378-B711-7BB014436960}"/>
    <hyperlink ref="B227" r:id="rId113" display="https://9607261.app.netsuite.com/app/reporting/reportrunner.nl?fromreport=320&amp;regtx,tranline,kacct,x,alltranline5,IN,x,x=950&amp;cr=293" xr:uid="{433D619E-8C0A-49F6-BCE7-301BBB88B986}"/>
    <hyperlink ref="B229" r:id="rId114" display="https://9607261.app.netsuite.com/app/reporting/reportrunner.nl?fromreport=320&amp;regtx,tranline,kacct,x,alltranline5,IN,x,x=950&amp;cr=293" xr:uid="{ACDD458C-37B9-48A3-937E-60FC305C8F42}"/>
    <hyperlink ref="B231" r:id="rId115" display="https://9607261.app.netsuite.com/app/reporting/reportrunner.nl?fromreport=320&amp;regtx,tranline,kacct,x,alltranline5,IN,x,x=950&amp;cr=293" xr:uid="{3B769DAB-03CB-4ECF-AAB3-9B2A155C76F8}"/>
    <hyperlink ref="B233" r:id="rId116" display="https://9607261.app.netsuite.com/app/reporting/reportrunner.nl?fromreport=320&amp;regtx,tranline,kacct,x,alltranline5,IN,x,x=950&amp;cr=293" xr:uid="{41AB974B-66F9-47C7-A394-B95E97EA8277}"/>
    <hyperlink ref="B235" r:id="rId117" display="https://9607261.app.netsuite.com/app/reporting/reportrunner.nl?fromreport=320&amp;regtx,tranline,kacct,x,alltranline5,IN,x,x=950&amp;cr=293" xr:uid="{9523F08D-D2F0-44AE-B075-E7011BC0917D}"/>
    <hyperlink ref="B237" r:id="rId118" display="https://9607261.app.netsuite.com/app/reporting/reportrunner.nl?fromreport=320&amp;regtx,tranline,kacct,x,alltranline5,IN,x,x=950&amp;cr=293" xr:uid="{25F6CA79-0C63-4FCE-BEAB-3099623B3124}"/>
    <hyperlink ref="B239" r:id="rId119" display="https://9607261.app.netsuite.com/app/reporting/reportrunner.nl?fromreport=320&amp;regtx,tranline,kacct,x,alltranline5,IN,x,x=950&amp;cr=293" xr:uid="{8092EF07-283F-45F3-A5A2-26EBD44EC24E}"/>
    <hyperlink ref="B241" r:id="rId120" display="https://9607261.app.netsuite.com/app/reporting/reportrunner.nl?fromreport=320&amp;regtx,tranline,kacct,x,alltranline5,IN,x,x=950&amp;cr=293" xr:uid="{4E127410-DE1F-443E-B33B-747A3AECA88D}"/>
    <hyperlink ref="B243" r:id="rId121" display="https://9607261.app.netsuite.com/app/reporting/reportrunner.nl?fromreport=320&amp;regtx,tranline,kacct,x,alltranline5,IN,x,x=950&amp;cr=293" xr:uid="{C280D638-96C6-465A-9417-B6182F04865B}"/>
    <hyperlink ref="B245" r:id="rId122" display="https://9607261.app.netsuite.com/app/reporting/reportrunner.nl?fromreport=320&amp;regtx,tranline,kacct,x,alltranline5,IN,x,x=950&amp;cr=293" xr:uid="{C3615E8E-2132-4DCB-B51F-268F34811198}"/>
    <hyperlink ref="B247" r:id="rId123" display="https://9607261.app.netsuite.com/app/reporting/reportrunner.nl?fromreport=320&amp;regtx,tranline,kacct,x,alltranline5,IN,x,x=950&amp;cr=293" xr:uid="{8AB6BDFA-45D9-4C8D-9201-201DE401D738}"/>
    <hyperlink ref="B249" r:id="rId124" display="https://9607261.app.netsuite.com/app/reporting/reportrunner.nl?fromreport=320&amp;regtx,tranline,kacct,x,alltranline5,IN,x,x=950&amp;cr=293" xr:uid="{17EC91CD-CCAB-463F-AB63-1FF5B4A5C1AF}"/>
    <hyperlink ref="B251" r:id="rId125" display="https://9607261.app.netsuite.com/app/reporting/reportrunner.nl?fromreport=320&amp;regtx,tranline,kacct,x,alltranline5,IN,x,x=950&amp;cr=293" xr:uid="{1779A414-7477-4FBE-A67E-142BDF5E23AA}"/>
    <hyperlink ref="B253" r:id="rId126" display="https://9607261.app.netsuite.com/app/reporting/reportrunner.nl?fromreport=320&amp;regtx,tranline,kacct,x,alltranline5,IN,x,x=950&amp;cr=293" xr:uid="{0EAE5582-35AD-4AE0-AEA8-7AB7CCCA8BC1}"/>
    <hyperlink ref="B255" r:id="rId127" display="https://9607261.app.netsuite.com/app/reporting/reportrunner.nl?fromreport=320&amp;regtx,tranline,kacct,x,alltranline5,IN,x,x=950&amp;cr=293" xr:uid="{A2D7CD90-F441-42E3-AA77-FD092FC13336}"/>
    <hyperlink ref="B257" r:id="rId128" display="https://9607261.app.netsuite.com/app/reporting/reportrunner.nl?fromreport=320&amp;regtx,tranline,kacct,x,alltranline5,IN,x,x=950&amp;cr=293" xr:uid="{E9D2569A-974E-4477-8F88-F078171C7045}"/>
    <hyperlink ref="B259" r:id="rId129" display="https://9607261.app.netsuite.com/app/reporting/reportrunner.nl?fromreport=320&amp;regtx,tranline,kacct,x,alltranline5,IN,x,x=950&amp;cr=293" xr:uid="{2125C4E0-1FF9-4D1D-91DB-030E000CA639}"/>
    <hyperlink ref="B261" r:id="rId130" display="https://9607261.app.netsuite.com/app/reporting/reportrunner.nl?fromreport=320&amp;regtx,tranline,kacct,x,alltranline5,IN,x,x=950&amp;cr=293" xr:uid="{17D76F66-2F14-42DF-AA99-E94BEF9DC53C}"/>
    <hyperlink ref="B263" r:id="rId131" display="https://9607261.app.netsuite.com/app/reporting/reportrunner.nl?fromreport=320&amp;regtx,tranline,kacct,x,alltranline5,IN,x,x=950&amp;cr=293" xr:uid="{4E7B5D88-8BE4-46C6-A027-B3C4385DF12C}"/>
    <hyperlink ref="B265" r:id="rId132" display="https://9607261.app.netsuite.com/app/reporting/reportrunner.nl?fromreport=320&amp;regtx,tranline,kacct,x,alltranline5,IN,x,x=950&amp;cr=293" xr:uid="{229EE378-FEF3-4F6A-A256-FB71A687613C}"/>
    <hyperlink ref="B267" r:id="rId133" display="https://9607261.app.netsuite.com/app/reporting/reportrunner.nl?fromreport=320&amp;regtx,tranline,kacct,x,alltranline5,IN,x,x=950&amp;cr=293" xr:uid="{03DC1C92-26DE-43B1-B25C-E9A4AAD8BE22}"/>
    <hyperlink ref="B269" r:id="rId134" display="https://9607261.app.netsuite.com/app/reporting/reportrunner.nl?fromreport=320&amp;regtx,tranline,kacct,x,alltranline5,IN,x,x=950&amp;cr=293" xr:uid="{7A4C8E55-3D86-4719-BA90-83D3200BB41A}"/>
    <hyperlink ref="B271" r:id="rId135" display="https://9607261.app.netsuite.com/app/reporting/reportrunner.nl?fromreport=320&amp;regtx,tranline,kacct,x,alltranline5,IN,x,x=950&amp;cr=293" xr:uid="{C191F9E6-C3D3-49FC-8DAC-ED85F82BCD38}"/>
    <hyperlink ref="B273" r:id="rId136" display="https://9607261.app.netsuite.com/app/reporting/reportrunner.nl?fromreport=320&amp;regtx,tranline,kacct,x,alltranline5,IN,x,x=950&amp;cr=293" xr:uid="{049D8233-CD75-4286-BBC5-96BB576320BD}"/>
    <hyperlink ref="B275" r:id="rId137" display="https://9607261.app.netsuite.com/app/reporting/reportrunner.nl?fromreport=320&amp;regtx,tranline,kacct,x,alltranline5,IN,x,x=950&amp;cr=293" xr:uid="{F983C5E8-A18E-411D-BB31-54C7BECEC626}"/>
    <hyperlink ref="B277" r:id="rId138" display="https://9607261.app.netsuite.com/app/reporting/reportrunner.nl?fromreport=320&amp;regtx,tranline,kacct,x,alltranline5,IN,x,x=950&amp;cr=293" xr:uid="{D2326103-AEC4-416A-B72A-708F43BEBBC6}"/>
    <hyperlink ref="B279" r:id="rId139" display="https://9607261.app.netsuite.com/app/reporting/reportrunner.nl?fromreport=320&amp;regtx,tranline,kacct,x,alltranline5,IN,x,x=950&amp;cr=293" xr:uid="{FB2DABB3-4956-4489-9C88-487F01E4CA9D}"/>
    <hyperlink ref="B281" r:id="rId140" display="https://9607261.app.netsuite.com/app/reporting/reportrunner.nl?fromreport=320&amp;regtx,tranline,kacct,x,alltranline5,IN,x,x=950&amp;cr=293" xr:uid="{148CD7BB-63CF-498D-8B23-2144749F362B}"/>
    <hyperlink ref="B283" r:id="rId141" display="https://9607261.app.netsuite.com/app/reporting/reportrunner.nl?fromreport=320&amp;regtx,tranline,kacct,x,alltranline5,IN,x,x=950&amp;cr=293" xr:uid="{E1B69DD1-1B6C-47F9-AA80-04161BA103AF}"/>
    <hyperlink ref="B285" r:id="rId142" display="https://9607261.app.netsuite.com/app/reporting/reportrunner.nl?fromreport=320&amp;regtx,tranline,kacct,x,alltranline5,IN,x,x=950&amp;cr=293" xr:uid="{D5497E1E-DA78-4B63-BF00-13B5DFFCB698}"/>
    <hyperlink ref="B287" r:id="rId143" display="https://9607261.app.netsuite.com/app/reporting/reportrunner.nl?fromreport=320&amp;regtx,tranline,kacct,x,alltranline5,IN,x,x=950&amp;cr=293" xr:uid="{7A3B9CBC-8F90-45EE-8004-09700356D8CD}"/>
    <hyperlink ref="B289" r:id="rId144" display="https://9607261.app.netsuite.com/app/reporting/reportrunner.nl?fromreport=320&amp;regtx,tranline,kacct,x,alltranline5,IN,x,x=950&amp;cr=293" xr:uid="{D9D3DAED-34F3-4555-B05C-64DEB28F5563}"/>
    <hyperlink ref="B291" r:id="rId145" display="https://9607261.app.netsuite.com/app/reporting/reportrunner.nl?fromreport=320&amp;regtx,tranline,kacct,x,alltranline5,IN,x,x=950&amp;cr=293" xr:uid="{B7075BEB-E230-4C3F-974E-0402EC9FD85E}"/>
    <hyperlink ref="B293" r:id="rId146" display="https://9607261.app.netsuite.com/app/reporting/reportrunner.nl?fromreport=320&amp;regtx,tranline,kacct,x,alltranline5,IN,x,x=950&amp;cr=293" xr:uid="{EF6860CB-D265-40D9-B09A-322F9321D25C}"/>
    <hyperlink ref="B295" r:id="rId147" display="https://9607261.app.netsuite.com/app/reporting/reportrunner.nl?fromreport=320&amp;regtx,tranline,kacct,x,alltranline5,IN,x,x=950&amp;cr=293" xr:uid="{AD0070E4-08C4-4F56-B566-F9E500E4D60D}"/>
    <hyperlink ref="B297" r:id="rId148" display="https://9607261.app.netsuite.com/app/reporting/reportrunner.nl?fromreport=320&amp;regtx,tranline,kacct,x,alltranline5,IN,x,x=950&amp;cr=293" xr:uid="{EA0F317E-6B91-4BF7-8F44-3C1B9EEE6691}"/>
    <hyperlink ref="B299" r:id="rId149" display="https://9607261.app.netsuite.com/app/reporting/reportrunner.nl?fromreport=320&amp;regtx,tranline,kacct,x,alltranline5,IN,x,x=950&amp;cr=293" xr:uid="{20144984-0D7E-41A2-8731-B93A47F7FE03}"/>
    <hyperlink ref="B301" r:id="rId150" display="https://9607261.app.netsuite.com/app/reporting/reportrunner.nl?fromreport=320&amp;regtx,tranline,kacct,x,alltranline5,IN,x,x=950&amp;cr=293" xr:uid="{28AE72B9-4B56-4F99-A03E-7C5161DCA795}"/>
    <hyperlink ref="B303" r:id="rId151" display="https://9607261.app.netsuite.com/app/reporting/reportrunner.nl?fromreport=320&amp;regtx,tranline,kacct,x,alltranline5,IN,x,x=950&amp;cr=293" xr:uid="{9F8A9564-1F28-4C61-9FAE-57EC3444C9AB}"/>
    <hyperlink ref="B305" r:id="rId152" display="https://9607261.app.netsuite.com/app/reporting/reportrunner.nl?fromreport=320&amp;regtx,tranline,kacct,x,alltranline5,IN,x,x=950&amp;cr=293" xr:uid="{F194F534-3856-43E2-9BF3-7A97A13353AA}"/>
    <hyperlink ref="B307" r:id="rId153" display="https://9607261.app.netsuite.com/app/reporting/reportrunner.nl?fromreport=320&amp;regtx,tranline,kacct,x,alltranline5,IN,x,x=950&amp;cr=293" xr:uid="{5979F894-3C97-4210-B79B-9C6B07A96116}"/>
    <hyperlink ref="B309" r:id="rId154" display="https://9607261.app.netsuite.com/app/reporting/reportrunner.nl?fromreport=320&amp;regtx,tranline,kacct,x,alltranline5,IN,x,x=950&amp;cr=293" xr:uid="{251FE86F-EF99-4CA9-A51B-53BB8225B15B}"/>
    <hyperlink ref="B311" r:id="rId155" display="https://9607261.app.netsuite.com/app/reporting/reportrunner.nl?fromreport=320&amp;regtx,tranline,kacct,x,alltranline5,IN,x,x=950&amp;cr=293" xr:uid="{6BE27E84-F38D-44C2-AB1F-12CE5C0B6805}"/>
    <hyperlink ref="B313" r:id="rId156" display="https://9607261.app.netsuite.com/app/reporting/reportrunner.nl?fromreport=320&amp;regtx,tranline,kacct,x,alltranline5,IN,x,x=950&amp;cr=293" xr:uid="{DF983802-4622-4F35-AE33-1A510A06554C}"/>
    <hyperlink ref="B315" r:id="rId157" display="https://9607261.app.netsuite.com/app/reporting/reportrunner.nl?fromreport=320&amp;regtx,tranline,kacct,x,alltranline5,IN,x,x=950&amp;cr=293" xr:uid="{C82DE09F-4D9A-4AD2-983C-76C4C7E1680A}"/>
    <hyperlink ref="B317" r:id="rId158" display="https://9607261.app.netsuite.com/app/reporting/reportrunner.nl?fromreport=320&amp;regtx,tranline,kacct,x,alltranline5,IN,x,x=950&amp;cr=293" xr:uid="{800CE93C-75DD-465A-8036-C49610B1A714}"/>
    <hyperlink ref="B319" r:id="rId159" display="https://9607261.app.netsuite.com/app/reporting/reportrunner.nl?fromreport=320&amp;regtx,tranline,kacct,x,alltranline5,IN,x,x=950&amp;cr=293" xr:uid="{C3C5913A-50A1-4717-90B3-287956C7A711}"/>
    <hyperlink ref="B321" r:id="rId160" display="https://9607261.app.netsuite.com/app/reporting/reportrunner.nl?fromreport=320&amp;regtx,tranline,kacct,x,alltranline5,IN,x,x=950&amp;cr=293" xr:uid="{583CA9E7-6DBA-436F-9292-2322AB3A35EC}"/>
    <hyperlink ref="B323" r:id="rId161" display="https://9607261.app.netsuite.com/app/reporting/reportrunner.nl?fromreport=320&amp;regtx,tranline,kacct,x,alltranline5,IN,x,x=950&amp;cr=293" xr:uid="{3A26D074-EB97-4413-9498-0FB04F3C763A}"/>
    <hyperlink ref="B325" r:id="rId162" display="https://9607261.app.netsuite.com/app/reporting/reportrunner.nl?fromreport=320&amp;regtx,tranline,kacct,x,alltranline5,IN,x,x=950&amp;cr=293" xr:uid="{E3F1D953-9F30-41FE-8F79-AED61A0D37BD}"/>
    <hyperlink ref="B327" r:id="rId163" display="https://9607261.app.netsuite.com/app/reporting/reportrunner.nl?fromreport=320&amp;regtx,tranline,kacct,x,alltranline5,IN,x,x=950&amp;cr=293" xr:uid="{5DE74831-28FE-4E21-B857-9A13ED0776D3}"/>
    <hyperlink ref="B329" r:id="rId164" display="https://9607261.app.netsuite.com/app/reporting/reportrunner.nl?fromreport=320&amp;regtx,tranline,kacct,x,alltranline5,IN,x,x=950&amp;cr=293" xr:uid="{38B30CA4-3865-4627-B880-E71EB1640804}"/>
    <hyperlink ref="B331" r:id="rId165" display="https://9607261.app.netsuite.com/app/reporting/reportrunner.nl?fromreport=320&amp;regtx,tranline,kacct,x,alltranline5,IN,x,x=950&amp;cr=293" xr:uid="{361A6379-EB1B-4677-AF8B-B2EDD05E203F}"/>
    <hyperlink ref="B333" r:id="rId166" display="https://9607261.app.netsuite.com/app/reporting/reportrunner.nl?fromreport=320&amp;regtx,tranline,kacct,x,alltranline5,IN,x,x=950&amp;cr=293" xr:uid="{33AA4BE0-5227-46BC-9BC8-9775F61B476C}"/>
    <hyperlink ref="B335" r:id="rId167" display="https://9607261.app.netsuite.com/app/reporting/reportrunner.nl?fromreport=320&amp;regtx,tranline,kacct,x,alltranline5,IN,x,x=950&amp;cr=293" xr:uid="{4630A52F-088E-46F6-9975-FC35D4D2F300}"/>
    <hyperlink ref="B337" r:id="rId168" display="https://9607261.app.netsuite.com/app/reporting/reportrunner.nl?fromreport=320&amp;regtx,tranline,kacct,x,alltranline5,IN,x,x=950&amp;cr=293" xr:uid="{10DE0053-6475-4D5F-B6E6-C30978C8DB20}"/>
    <hyperlink ref="B339" r:id="rId169" display="https://9607261.app.netsuite.com/app/reporting/reportrunner.nl?fromreport=320&amp;regtx,tranline,kacct,x,alltranline5,IN,x,x=950&amp;cr=293" xr:uid="{68C6EFC4-595C-4C35-A21D-C2496322A2A8}"/>
    <hyperlink ref="B341" r:id="rId170" display="https://9607261.app.netsuite.com/app/reporting/reportrunner.nl?fromreport=320&amp;regtx,tranline,kacct,x,alltranline5,IN,x,x=950&amp;cr=293" xr:uid="{83B96D9C-582F-4205-B34D-563639E0CA9F}"/>
    <hyperlink ref="B343" r:id="rId171" display="https://9607261.app.netsuite.com/app/reporting/reportrunner.nl?fromreport=320&amp;regtx,tranline,kacct,x,alltranline5,IN,x,x=950&amp;cr=293" xr:uid="{5F33FE0E-C549-4BC1-B7FE-305248EA2970}"/>
    <hyperlink ref="B345" r:id="rId172" display="https://9607261.app.netsuite.com/app/reporting/reportrunner.nl?fromreport=320&amp;regtx,tranline,kacct,x,alltranline5,IN,x,x=950&amp;cr=293" xr:uid="{81317E9B-A458-4003-862E-9661192669A2}"/>
    <hyperlink ref="B347" r:id="rId173" display="https://9607261.app.netsuite.com/app/reporting/reportrunner.nl?fromreport=320&amp;regtx,tranline,kacct,x,alltranline5,IN,x,x=950&amp;cr=293" xr:uid="{B8BDD8C1-BD31-4719-85D5-5025EF16A721}"/>
    <hyperlink ref="B349" r:id="rId174" display="https://9607261.app.netsuite.com/app/reporting/reportrunner.nl?fromreport=320&amp;regtx,tranline,kacct,x,alltranline5,IN,x,x=950&amp;cr=293" xr:uid="{7341605C-0372-451E-B31A-1E5538542946}"/>
    <hyperlink ref="B351" r:id="rId175" display="https://9607261.app.netsuite.com/app/reporting/reportrunner.nl?fromreport=320&amp;regtx,tranline,kacct,x,alltranline5,IN,x,x=950&amp;cr=293" xr:uid="{0723BBC8-9EF8-4917-B7DF-79CE6BAFC2C5}"/>
    <hyperlink ref="B353" r:id="rId176" display="https://9607261.app.netsuite.com/app/reporting/reportrunner.nl?fromreport=320&amp;regtx,tranline,kacct,x,alltranline5,IN,x,x=950&amp;cr=293" xr:uid="{D7B88D84-5685-4E41-A5AB-342F1AEE65E0}"/>
    <hyperlink ref="B355" r:id="rId177" display="https://9607261.app.netsuite.com/app/reporting/reportrunner.nl?fromreport=320&amp;regtx,tranline,kacct,x,alltranline5,IN,x,x=950&amp;cr=293" xr:uid="{E53D17EA-9039-48F6-B883-E2C2B29B2241}"/>
    <hyperlink ref="B357" r:id="rId178" display="https://9607261.app.netsuite.com/app/reporting/reportrunner.nl?fromreport=320&amp;regtx,tranline,kacct,x,alltranline5,IN,x,x=950&amp;cr=293" xr:uid="{3BABB527-6CB4-4505-AB5A-A624CD30BF72}"/>
    <hyperlink ref="B359" r:id="rId179" display="https://9607261.app.netsuite.com/app/reporting/reportrunner.nl?fromreport=320&amp;regtx,tranline,kacct,x,alltranline5,IN,x,x=950&amp;cr=293" xr:uid="{01E69921-D3B7-4942-BDB7-DB74B5DD8E6E}"/>
    <hyperlink ref="B361" r:id="rId180" display="https://9607261.app.netsuite.com/app/reporting/reportrunner.nl?fromreport=320&amp;regtx,tranline,kacct,x,alltranline5,IN,x,x=950&amp;cr=293" xr:uid="{BAE6E606-1E2E-48D6-B42B-C75CADFDD14E}"/>
    <hyperlink ref="B363" r:id="rId181" display="https://9607261.app.netsuite.com/app/reporting/reportrunner.nl?fromreport=320&amp;regtx,tranline,kacct,x,alltranline5,IN,x,x=950&amp;cr=293" xr:uid="{ECAE2027-D062-400B-8D2F-6B833CA7411B}"/>
    <hyperlink ref="B365" r:id="rId182" display="https://9607261.app.netsuite.com/app/reporting/reportrunner.nl?fromreport=320&amp;regtx,tranline,kacct,x,alltranline5,IN,x,x=950&amp;cr=293" xr:uid="{727B03FF-63BC-426B-9C45-C33479DDAEDE}"/>
    <hyperlink ref="B367" r:id="rId183" display="https://9607261.app.netsuite.com/app/reporting/reportrunner.nl?fromreport=320&amp;regtx,tranline,kacct,x,alltranline5,IN,x,x=950&amp;cr=293" xr:uid="{495940D9-7B0A-4FF3-8893-E0DF7EB8BF56}"/>
    <hyperlink ref="B369" r:id="rId184" display="https://9607261.app.netsuite.com/app/reporting/reportrunner.nl?fromreport=320&amp;regtx,tranline,kacct,x,alltranline5,IN,x,x=950&amp;cr=293" xr:uid="{7742D69C-C808-4F41-B8D5-4327E7C8FC9E}"/>
    <hyperlink ref="B371" r:id="rId185" display="https://9607261.app.netsuite.com/app/reporting/reportrunner.nl?fromreport=320&amp;regtx,tranline,kacct,x,alltranline5,IN,x,x=950&amp;cr=293" xr:uid="{83B9E661-1082-4FF3-8D79-6AF6DA720BB1}"/>
    <hyperlink ref="B373" r:id="rId186" display="https://9607261.app.netsuite.com/app/reporting/reportrunner.nl?fromreport=320&amp;regtx,tranline,kacct,x,alltranline5,IN,x,x=950&amp;cr=293" xr:uid="{64D18568-51A8-454C-A03A-1E96CA97B344}"/>
    <hyperlink ref="B375" r:id="rId187" display="https://9607261.app.netsuite.com/app/reporting/reportrunner.nl?fromreport=320&amp;regtx,tranline,kacct,x,alltranline5,IN,x,x=950&amp;cr=293" xr:uid="{58435E94-5700-4A9D-8ECB-4DA58A91B451}"/>
    <hyperlink ref="B377" r:id="rId188" display="https://9607261.app.netsuite.com/app/reporting/reportrunner.nl?fromreport=320&amp;regtx,tranline,kacct,x,alltranline5,IN,x,x=950&amp;cr=293" xr:uid="{C526BDF0-BFBC-4701-901F-08EB9152BC13}"/>
    <hyperlink ref="B379" r:id="rId189" display="https://9607261.app.netsuite.com/app/reporting/reportrunner.nl?fromreport=320&amp;regtx,tranline,kacct,x,alltranline5,IN,x,x=950&amp;cr=293" xr:uid="{DDF9F274-17B7-48FF-89CD-80E9D19FD271}"/>
    <hyperlink ref="B381" r:id="rId190" display="https://9607261.app.netsuite.com/app/reporting/reportrunner.nl?fromreport=320&amp;regtx,tranline,kacct,x,alltranline5,IN,x,x=950&amp;cr=293" xr:uid="{6A034F21-1976-46ED-A349-8E8ABF97B0BF}"/>
    <hyperlink ref="B383" r:id="rId191" display="https://9607261.app.netsuite.com/app/reporting/reportrunner.nl?fromreport=320&amp;regtx,tranline,kacct,x,alltranline5,IN,x,x=950&amp;cr=293" xr:uid="{153D467C-BC09-461C-B232-430F35CD31B7}"/>
    <hyperlink ref="B385" r:id="rId192" display="https://9607261.app.netsuite.com/app/reporting/reportrunner.nl?fromreport=320&amp;regtx,tranline,kacct,x,alltranline5,IN,x,x=950&amp;cr=293" xr:uid="{89C4C3C5-E9D2-4147-AE41-5D0E4E80A25B}"/>
    <hyperlink ref="B387" r:id="rId193" display="https://9607261.app.netsuite.com/app/reporting/reportrunner.nl?fromreport=320&amp;regtx,tranline,kacct,x,alltranline5,IN,x,x=950&amp;cr=293" xr:uid="{BF10151D-97F4-4612-9784-979C38D382B5}"/>
    <hyperlink ref="B389" r:id="rId194" display="https://9607261.app.netsuite.com/app/reporting/reportrunner.nl?fromreport=320&amp;regtx,tranline,kacct,x,alltranline5,IN,x,x=950&amp;cr=293" xr:uid="{F40424C5-8D69-44C6-87CE-057A6B2DFD5F}"/>
    <hyperlink ref="B391" r:id="rId195" display="https://9607261.app.netsuite.com/app/reporting/reportrunner.nl?fromreport=320&amp;regtx,tranline,kacct,x,alltranline5,IN,x,x=950&amp;cr=293" xr:uid="{EDA13DB0-AE2A-4F2D-9F9C-6ABF9D037F0F}"/>
    <hyperlink ref="B393" r:id="rId196" display="https://9607261.app.netsuite.com/app/reporting/reportrunner.nl?fromreport=320&amp;regtx,tranline,kacct,x,alltranline5,IN,x,x=950&amp;cr=293" xr:uid="{968B9E91-7652-4C38-9297-A8381750B838}"/>
    <hyperlink ref="B395" r:id="rId197" display="https://9607261.app.netsuite.com/app/reporting/reportrunner.nl?fromreport=320&amp;regtx,tranline,kacct,x,alltranline5,IN,x,x=950&amp;cr=293" xr:uid="{62911914-8BA0-4EF1-8509-3255348A441F}"/>
    <hyperlink ref="B397" r:id="rId198" display="https://9607261.app.netsuite.com/app/reporting/reportrunner.nl?fromreport=320&amp;regtx,tranline,kacct,x,alltranline5,IN,x,x=950&amp;cr=293" xr:uid="{401FF11A-89D4-46DB-B4C9-2EA65FC6932C}"/>
    <hyperlink ref="B399" r:id="rId199" display="https://9607261.app.netsuite.com/app/reporting/reportrunner.nl?fromreport=320&amp;regtx,tranline,kacct,x,alltranline5,IN,x,x=950&amp;cr=293" xr:uid="{750BFF02-7368-4F99-A963-6811E770812B}"/>
    <hyperlink ref="B401" r:id="rId200" display="https://9607261.app.netsuite.com/app/reporting/reportrunner.nl?fromreport=320&amp;regtx,tranline,kacct,x,alltranline5,IN,x,x=950&amp;cr=293" xr:uid="{5D542B46-E1F6-4B8A-831D-00A5EFDC3A1A}"/>
    <hyperlink ref="B403" r:id="rId201" display="https://9607261.app.netsuite.com/app/reporting/reportrunner.nl?fromreport=320&amp;regtx,tranline,kacct,x,alltranline5,IN,x,x=950&amp;cr=293" xr:uid="{8903FB82-80A5-420D-BB86-6B1F3D9B09F8}"/>
    <hyperlink ref="B405" r:id="rId202" display="https://9607261.app.netsuite.com/app/reporting/reportrunner.nl?fromreport=320&amp;regtx,tranline,kacct,x,alltranline5,IN,x,x=950&amp;cr=293" xr:uid="{12DC8D01-4383-419E-858C-DC250C891A91}"/>
    <hyperlink ref="B407" r:id="rId203" display="https://9607261.app.netsuite.com/app/reporting/reportrunner.nl?fromreport=320&amp;regtx,tranline,kacct,x,alltranline5,IN,x,x=950&amp;cr=293" xr:uid="{931C467D-3021-40DF-AB57-DB081B9AD5C5}"/>
    <hyperlink ref="B409" r:id="rId204" display="https://9607261.app.netsuite.com/app/reporting/reportrunner.nl?fromreport=320&amp;regtx,tranline,kacct,x,alltranline5,IN,x,x=950&amp;cr=293" xr:uid="{E28804E2-FB38-4B2C-B35D-E1BE8B0B79A8}"/>
    <hyperlink ref="B411" r:id="rId205" display="https://9607261.app.netsuite.com/app/reporting/reportrunner.nl?fromreport=320&amp;regtx,tranline,kacct,x,alltranline5,IN,x,x=950&amp;cr=293" xr:uid="{27C41D3A-D99B-4572-8D9A-8509DC27C673}"/>
    <hyperlink ref="B413" r:id="rId206" display="https://9607261.app.netsuite.com/app/reporting/reportrunner.nl?fromreport=320&amp;regtx,tranline,kacct,x,alltranline5,IN,x,x=950&amp;cr=293" xr:uid="{3C7A6B9D-C12E-453A-9AE1-3577594E8773}"/>
    <hyperlink ref="B415" r:id="rId207" display="https://9607261.app.netsuite.com/app/reporting/reportrunner.nl?fromreport=320&amp;regtx,tranline,kacct,x,alltranline5,IN,x,x=950&amp;cr=293" xr:uid="{F04CEF6E-9ED5-4112-BC7B-76F8CA9C69D7}"/>
    <hyperlink ref="B417" r:id="rId208" display="https://9607261.app.netsuite.com/app/reporting/reportrunner.nl?fromreport=320&amp;regtx,tranline,kacct,x,alltranline5,IN,x,x=950&amp;cr=293" xr:uid="{525327D6-F780-46E1-BC57-0A62CA714D50}"/>
    <hyperlink ref="B419" r:id="rId209" display="https://9607261.app.netsuite.com/app/reporting/reportrunner.nl?fromreport=320&amp;regtx,tranline,kacct,x,alltranline5,IN,x,x=950&amp;cr=293" xr:uid="{84639FA3-E70D-4BDC-896D-8B83F50668EF}"/>
    <hyperlink ref="B421" r:id="rId210" display="https://9607261.app.netsuite.com/app/reporting/reportrunner.nl?fromreport=320&amp;regtx,tranline,kacct,x,alltranline5,IN,x,x=950&amp;cr=293" xr:uid="{DDB78997-02B9-460F-920A-B51424B54A8E}"/>
    <hyperlink ref="B423" r:id="rId211" display="https://9607261.app.netsuite.com/app/reporting/reportrunner.nl?fromreport=320&amp;regtx,tranline,kacct,x,alltranline5,IN,x,x=950&amp;cr=293" xr:uid="{C973EFD1-F8D1-47BF-BFD3-84E954C3CF6A}"/>
    <hyperlink ref="B425" r:id="rId212" display="https://9607261.app.netsuite.com/app/reporting/reportrunner.nl?fromreport=320&amp;regtx,tranline,kacct,x,alltranline5,IN,x,x=950&amp;cr=293" xr:uid="{5831FBDD-E55E-43FD-8679-30D2B4496806}"/>
    <hyperlink ref="B427" r:id="rId213" display="https://9607261.app.netsuite.com/app/reporting/reportrunner.nl?fromreport=320&amp;regtx,tranline,kacct,x,alltranline5,IN,x,x=950&amp;cr=293" xr:uid="{38AFDAF3-BEFD-4483-998D-90912E08293C}"/>
    <hyperlink ref="B429" r:id="rId214" display="https://9607261.app.netsuite.com/app/reporting/reportrunner.nl?fromreport=320&amp;regtx,tranline,kacct,x,alltranline5,IN,x,x=950&amp;cr=293" xr:uid="{BF66C6B1-7498-43FA-8BC9-DE07CA70743C}"/>
    <hyperlink ref="B431" r:id="rId215" display="https://9607261.app.netsuite.com/app/reporting/reportrunner.nl?fromreport=320&amp;regtx,tranline,kacct,x,alltranline5,IN,x,x=950&amp;cr=293" xr:uid="{241232E7-B3CA-43C6-90A5-90313D4093CE}"/>
    <hyperlink ref="B433" r:id="rId216" display="https://9607261.app.netsuite.com/app/reporting/reportrunner.nl?fromreport=320&amp;regtx,tranline,kacct,x,alltranline5,IN,x,x=950&amp;cr=293" xr:uid="{6DD27629-FDBD-47C5-80C4-605215A76CDF}"/>
    <hyperlink ref="B435" r:id="rId217" display="https://9607261.app.netsuite.com/app/reporting/reportrunner.nl?fromreport=320&amp;regtx,tranline,kacct,x,alltranline5,IN,x,x=950&amp;cr=293" xr:uid="{E6881D13-F641-4977-A8FF-68F9F3CB72F9}"/>
    <hyperlink ref="B437" r:id="rId218" display="https://9607261.app.netsuite.com/app/reporting/reportrunner.nl?fromreport=320&amp;regtx,tranline,kacct,x,alltranline5,IN,x,x=950&amp;cr=293" xr:uid="{447B31F8-0C98-443B-9920-B48779241C5E}"/>
    <hyperlink ref="B439" r:id="rId219" display="https://9607261.app.netsuite.com/app/reporting/reportrunner.nl?fromreport=320&amp;regtx,tranline,kacct,x,alltranline5,IN,x,x=950&amp;cr=293" xr:uid="{84AEB427-679D-4130-84F2-E12878FE25B7}"/>
    <hyperlink ref="B441" r:id="rId220" display="https://9607261.app.netsuite.com/app/reporting/reportrunner.nl?fromreport=320&amp;regtx,tranline,kacct,x,alltranline5,IN,x,x=950&amp;cr=293" xr:uid="{45AD2A71-BFB6-4D18-8A00-F7D4E6C6CF89}"/>
    <hyperlink ref="B443" r:id="rId221" display="https://9607261.app.netsuite.com/app/reporting/reportrunner.nl?fromreport=320&amp;regtx,tranline,kacct,x,alltranline5,IN,x,x=950&amp;cr=293" xr:uid="{F303576C-3A77-40DE-AE03-F94142DA9FB0}"/>
    <hyperlink ref="B445" r:id="rId222" display="https://9607261.app.netsuite.com/app/reporting/reportrunner.nl?fromreport=320&amp;regtx,tranline,kacct,x,alltranline5,IN,x,x=950&amp;cr=293" xr:uid="{04BFB4D9-3CB7-4C83-912F-6E50DE97EBA0}"/>
    <hyperlink ref="B447" r:id="rId223" display="https://9607261.app.netsuite.com/app/reporting/reportrunner.nl?fromreport=320&amp;regtx,tranline,kacct,x,alltranline5,IN,x,x=950&amp;cr=293" xr:uid="{90ED0E72-25E1-46FA-9665-874BA294A122}"/>
    <hyperlink ref="B449" r:id="rId224" display="https://9607261.app.netsuite.com/app/reporting/reportrunner.nl?fromreport=320&amp;regtx,tranline,kacct,x,alltranline5,IN,x,x=950&amp;cr=293" xr:uid="{8189F6AF-EB7F-4B06-9287-E8D0652F6954}"/>
    <hyperlink ref="B451" r:id="rId225" display="https://9607261.app.netsuite.com/app/reporting/reportrunner.nl?fromreport=320&amp;regtx,tranline,kacct,x,alltranline5,IN,x,x=950&amp;cr=293" xr:uid="{494A451C-FD00-4450-AC28-DA698B2F2DD9}"/>
    <hyperlink ref="B453" r:id="rId226" display="https://9607261.app.netsuite.com/app/reporting/reportrunner.nl?fromreport=320&amp;regtx,tranline,kacct,x,alltranline5,IN,x,x=950&amp;cr=293" xr:uid="{9C1F0D56-034E-400B-971B-9EE2B1DAB947}"/>
    <hyperlink ref="B455" r:id="rId227" display="https://9607261.app.netsuite.com/app/reporting/reportrunner.nl?fromreport=320&amp;regtx,tranline,kacct,x,alltranline5,IN,x,x=950&amp;cr=293" xr:uid="{C6219C79-7842-479B-AC87-3ECD8905F8B9}"/>
    <hyperlink ref="B457" r:id="rId228" display="https://9607261.app.netsuite.com/app/reporting/reportrunner.nl?fromreport=320&amp;regtx,tranline,kacct,x,alltranline5,IN,x,x=950&amp;cr=293" xr:uid="{AAD512F1-5C5A-45A8-9609-9530D9C5CF8B}"/>
    <hyperlink ref="B459" r:id="rId229" display="https://9607261.app.netsuite.com/app/reporting/reportrunner.nl?fromreport=320&amp;regtx,tranline,kacct,x,alltranline5,IN,x,x=950&amp;cr=293" xr:uid="{E2434988-47CD-4702-88B8-C71B928D6326}"/>
    <hyperlink ref="B461" r:id="rId230" display="https://9607261.app.netsuite.com/app/reporting/reportrunner.nl?fromreport=320&amp;regtx,tranline,kacct,x,alltranline5,IN,x,x=950&amp;cr=293" xr:uid="{96DC3A17-3DEF-4E95-B740-09867436C064}"/>
    <hyperlink ref="B463" r:id="rId231" display="https://9607261.app.netsuite.com/app/reporting/reportrunner.nl?fromreport=320&amp;regtx,tranline,kacct,x,alltranline5,IN,x,x=950&amp;cr=293" xr:uid="{93CD3323-6CC8-4A26-B8F1-BAD761DAAF36}"/>
    <hyperlink ref="B465" r:id="rId232" display="https://9607261.app.netsuite.com/app/reporting/reportrunner.nl?fromreport=320&amp;regtx,tranline,kacct,x,alltranline5,IN,x,x=950&amp;cr=293" xr:uid="{F8D029CC-3F8C-4304-AE7B-1AB1DF9C3673}"/>
    <hyperlink ref="B467" r:id="rId233" display="https://9607261.app.netsuite.com/app/reporting/reportrunner.nl?fromreport=320&amp;regtx,tranline,kacct,x,alltranline5,IN,x,x=950&amp;cr=293" xr:uid="{489C50B3-8BD9-467E-8EA7-D08F53FC4D8D}"/>
    <hyperlink ref="B469" r:id="rId234" display="https://9607261.app.netsuite.com/app/reporting/reportrunner.nl?fromreport=320&amp;regtx,tranline,kacct,x,alltranline5,IN,x,x=950&amp;cr=293" xr:uid="{E4545E13-2033-4EFB-B4CE-A354AFDFDCD5}"/>
    <hyperlink ref="B471" r:id="rId235" display="https://9607261.app.netsuite.com/app/reporting/reportrunner.nl?fromreport=320&amp;regtx,tranline,kacct,x,alltranline5,IN,x,x=950&amp;cr=293" xr:uid="{0C809CD4-AB97-4272-A32B-AACB8392180A}"/>
    <hyperlink ref="B473" r:id="rId236" display="https://9607261.app.netsuite.com/app/reporting/reportrunner.nl?fromreport=320&amp;regtx,tranline,kacct,x,alltranline5,IN,x,x=950&amp;cr=293" xr:uid="{3D0DF3B8-ECA5-446C-9F94-441C486B6A1D}"/>
    <hyperlink ref="B475" r:id="rId237" display="https://9607261.app.netsuite.com/app/reporting/reportrunner.nl?fromreport=320&amp;regtx,tranline,kacct,x,alltranline5,IN,x,x=950&amp;cr=293" xr:uid="{C24164C8-15BE-4335-899E-4A28446F861B}"/>
    <hyperlink ref="B477" r:id="rId238" display="https://9607261.app.netsuite.com/app/reporting/reportrunner.nl?fromreport=320&amp;regtx,tranline,kacct,x,alltranline5,IN,x,x=950&amp;cr=293" xr:uid="{E274FC3A-2C5B-4CF7-83C8-5D036A099E21}"/>
    <hyperlink ref="B479" r:id="rId239" display="https://9607261.app.netsuite.com/app/reporting/reportrunner.nl?fromreport=320&amp;regtx,tranline,kacct,x,alltranline5,IN,x,x=950&amp;cr=293" xr:uid="{81B18841-A93F-427F-A612-3C32E6122214}"/>
    <hyperlink ref="B481" r:id="rId240" display="https://9607261.app.netsuite.com/app/reporting/reportrunner.nl?fromreport=320&amp;regtx,tranline,kacct,x,alltranline5,IN,x,x=950&amp;cr=293" xr:uid="{96E9A371-8A1C-407A-B973-52E6216866E0}"/>
    <hyperlink ref="B483" r:id="rId241" display="https://9607261.app.netsuite.com/app/reporting/reportrunner.nl?fromreport=320&amp;regtx,tranline,kacct,x,alltranline5,IN,x,x=950&amp;cr=293" xr:uid="{16F90EB7-0D3B-435B-B345-3247D0BE5235}"/>
    <hyperlink ref="B485" r:id="rId242" display="https://9607261.app.netsuite.com/app/reporting/reportrunner.nl?fromreport=320&amp;regtx,tranline,kacct,x,alltranline5,IN,x,x=950&amp;cr=293" xr:uid="{55AA3806-C5DB-4908-916E-47A9FB61800E}"/>
    <hyperlink ref="B487" r:id="rId243" display="https://9607261.app.netsuite.com/app/reporting/reportrunner.nl?fromreport=320&amp;regtx,tranline,kacct,x,alltranline5,IN,x,x=950&amp;cr=293" xr:uid="{29F8B4B2-078E-4BF3-B759-EDCF8D4AEEEE}"/>
    <hyperlink ref="B489" r:id="rId244" display="https://9607261.app.netsuite.com/app/reporting/reportrunner.nl?fromreport=320&amp;regtx,tranline,kacct,x,alltranline5,IN,x,x=950&amp;cr=293" xr:uid="{70CE326D-F12A-4D9E-BFD5-E3566F914753}"/>
    <hyperlink ref="B491" r:id="rId245" display="https://9607261.app.netsuite.com/app/reporting/reportrunner.nl?fromreport=320&amp;regtx,tranline,kacct,x,alltranline5,IN,x,x=950&amp;cr=293" xr:uid="{3A21512C-B592-4BB8-8281-5EB15B7F5608}"/>
    <hyperlink ref="B493" r:id="rId246" display="https://9607261.app.netsuite.com/app/reporting/reportrunner.nl?fromreport=320&amp;regtx,tranline,kacct,x,alltranline5,IN,x,x=950&amp;cr=293" xr:uid="{34C90FE9-F3F3-462B-A5C5-377493AA9F1B}"/>
    <hyperlink ref="B495" r:id="rId247" display="https://9607261.app.netsuite.com/app/reporting/reportrunner.nl?fromreport=320&amp;regtx,tranline,kacct,x,alltranline5,IN,x,x=950&amp;cr=293" xr:uid="{B6B01C69-AF8B-46EA-939A-979F2D433BB7}"/>
    <hyperlink ref="B497" r:id="rId248" display="https://9607261.app.netsuite.com/app/reporting/reportrunner.nl?fromreport=320&amp;regtx,tranline,kacct,x,alltranline5,IN,x,x=950&amp;cr=293" xr:uid="{A6CC595D-8CD5-4948-A5A4-058BEE750209}"/>
    <hyperlink ref="B499" r:id="rId249" display="https://9607261.app.netsuite.com/app/reporting/reportrunner.nl?fromreport=320&amp;regtx,tranline,kacct,x,alltranline5,IN,x,x=950&amp;cr=293" xr:uid="{F3413EB9-B5A7-4082-9E3E-027BDEA6C81B}"/>
    <hyperlink ref="B501" r:id="rId250" display="https://9607261.app.netsuite.com/app/reporting/reportrunner.nl?fromreport=320&amp;regtx,tranline,kacct,x,alltranline5,IN,x,x=950&amp;cr=293" xr:uid="{4F6139E2-4A87-4BFC-BBCF-15FD52E67CAA}"/>
    <hyperlink ref="B503" r:id="rId251" display="https://9607261.app.netsuite.com/app/reporting/reportrunner.nl?fromreport=320&amp;regtx,tranline,kacct,x,alltranline5,IN,x,x=950&amp;cr=293" xr:uid="{507BBB6C-4917-43BB-8196-A58707EA2432}"/>
    <hyperlink ref="B505" r:id="rId252" display="https://9607261.app.netsuite.com/app/reporting/reportrunner.nl?fromreport=320&amp;regtx,tranline,kacct,x,alltranline5,IN,x,x=950&amp;cr=293" xr:uid="{AD202326-4F84-43BD-8A34-838DFDBFCA58}"/>
    <hyperlink ref="B507" r:id="rId253" display="https://9607261.app.netsuite.com/app/reporting/reportrunner.nl?fromreport=320&amp;regtx,tranline,kacct,x,alltranline5,IN,x,x=950&amp;cr=293" xr:uid="{6798E198-B9E8-4826-8285-7C6B1D09BDB8}"/>
    <hyperlink ref="B509" r:id="rId254" display="https://9607261.app.netsuite.com/app/reporting/reportrunner.nl?fromreport=320&amp;regtx,tranline,kacct,x,alltranline5,IN,x,x=950&amp;cr=293" xr:uid="{920B1764-28C8-42D8-BD2E-D8B56E44BC1C}"/>
    <hyperlink ref="B511" r:id="rId255" display="https://9607261.app.netsuite.com/app/reporting/reportrunner.nl?fromreport=320&amp;regtx,tranline,kacct,x,alltranline5,IN,x,x=950&amp;cr=293" xr:uid="{F3BB317C-CAC0-41E7-B284-7F07C53B696A}"/>
    <hyperlink ref="B513" r:id="rId256" display="https://9607261.app.netsuite.com/app/reporting/reportrunner.nl?fromreport=320&amp;regtx,tranline,kacct,x,alltranline5,IN,x,x=950&amp;cr=293" xr:uid="{6A964D42-22C1-4EE0-A710-A06C307ADB0A}"/>
    <hyperlink ref="B515" r:id="rId257" display="https://9607261.app.netsuite.com/app/reporting/reportrunner.nl?fromreport=320&amp;regtx,tranline,kacct,x,alltranline5,IN,x,x=950&amp;cr=293" xr:uid="{2DEE6A04-71BC-4601-93BD-576F1A1C0BFA}"/>
    <hyperlink ref="B517" r:id="rId258" display="https://9607261.app.netsuite.com/app/reporting/reportrunner.nl?fromreport=320&amp;regtx,tranline,kacct,x,alltranline5,IN,x,x=950&amp;cr=293" xr:uid="{544C064B-CAB9-4BA4-87A2-1C24835566D4}"/>
    <hyperlink ref="B519" r:id="rId259" display="https://9607261.app.netsuite.com/app/reporting/reportrunner.nl?fromreport=320&amp;regtx,tranline,kacct,x,alltranline5,IN,x,x=950&amp;cr=293" xr:uid="{2CEBB43A-F3D4-4FED-A645-19AC551612EF}"/>
    <hyperlink ref="B521" r:id="rId260" display="https://9607261.app.netsuite.com/app/reporting/reportrunner.nl?fromreport=320&amp;regtx,tranline,kacct,x,alltranline5,IN,x,x=950&amp;cr=293" xr:uid="{AC2990F0-7120-4F84-92B3-5FC17AEB692C}"/>
    <hyperlink ref="B523" r:id="rId261" display="https://9607261.app.netsuite.com/app/reporting/reportrunner.nl?fromreport=320&amp;regtx,tranline,kacct,x,alltranline5,IN,x,x=950&amp;cr=293" xr:uid="{1BD62717-5DDF-4462-94ED-46E799F0AB76}"/>
    <hyperlink ref="B525" r:id="rId262" display="https://9607261.app.netsuite.com/app/reporting/reportrunner.nl?fromreport=320&amp;regtx,tranline,kacct,x,alltranline5,IN,x,x=950&amp;cr=293" xr:uid="{19B8ED6D-502C-485A-B7C0-FADA649CF8FE}"/>
    <hyperlink ref="B527" r:id="rId263" display="https://9607261.app.netsuite.com/app/reporting/reportrunner.nl?fromreport=320&amp;regtx,tranline,kacct,x,alltranline5,IN,x,x=950&amp;cr=293" xr:uid="{B7B8E0E6-3C6C-4D41-9057-55BCC7E305EC}"/>
    <hyperlink ref="B529" r:id="rId264" display="https://9607261.app.netsuite.com/app/reporting/reportrunner.nl?fromreport=320&amp;regtx,tranline,kacct,x,alltranline5,IN,x,x=950&amp;cr=293" xr:uid="{4BA36F6A-7CD1-4BEA-9625-F7B47094439F}"/>
    <hyperlink ref="B531" r:id="rId265" display="https://9607261.app.netsuite.com/app/reporting/reportrunner.nl?fromreport=320&amp;regtx,tranline,kacct,x,alltranline5,IN,x,x=950&amp;cr=293" xr:uid="{CB7435DF-435B-4782-833F-750C77E10267}"/>
    <hyperlink ref="B533" r:id="rId266" display="https://9607261.app.netsuite.com/app/reporting/reportrunner.nl?fromreport=320&amp;regtx,tranline,kacct,x,alltranline5,IN,x,x=950&amp;cr=293" xr:uid="{1BFD40B1-A996-4242-B439-AC084B29840D}"/>
    <hyperlink ref="B535" r:id="rId267" display="https://9607261.app.netsuite.com/app/reporting/reportrunner.nl?fromreport=320&amp;regtx,tranline,kacct,x,alltranline5,IN,x,x=950&amp;cr=293" xr:uid="{38DFA33E-6921-422D-B964-C7FC7F9F1807}"/>
    <hyperlink ref="B537" r:id="rId268" display="https://9607261.app.netsuite.com/app/reporting/reportrunner.nl?fromreport=320&amp;regtx,tranline,kacct,x,alltranline5,IN,x,x=950&amp;cr=293" xr:uid="{0091CB54-AA5B-45BE-8580-93F16DE26418}"/>
    <hyperlink ref="B539" r:id="rId269" display="https://9607261.app.netsuite.com/app/reporting/reportrunner.nl?fromreport=320&amp;regtx,tranline,kacct,x,alltranline5,IN,x,x=950&amp;cr=293" xr:uid="{E58B0ABE-22AD-47B3-B639-4560EC0C2AE8}"/>
    <hyperlink ref="B541" r:id="rId270" display="https://9607261.app.netsuite.com/app/reporting/reportrunner.nl?fromreport=320&amp;regtx,tranline,kacct,x,alltranline5,IN,x,x=950&amp;cr=293" xr:uid="{345E0F53-D4E0-426E-BE21-A842C9C90262}"/>
    <hyperlink ref="B543" r:id="rId271" display="https://9607261.app.netsuite.com/app/reporting/reportrunner.nl?fromreport=320&amp;regtx,tranline,kacct,x,alltranline5,IN,x,x=950&amp;cr=293" xr:uid="{86D34C0F-84C8-4A59-A23D-7A792BBA4BDA}"/>
    <hyperlink ref="B545" r:id="rId272" display="https://9607261.app.netsuite.com/app/reporting/reportrunner.nl?fromreport=320&amp;regtx,tranline,kacct,x,alltranline5,IN,x,x=950&amp;cr=293" xr:uid="{DE632467-B928-4347-B518-3DD58050C648}"/>
    <hyperlink ref="B547" r:id="rId273" display="https://9607261.app.netsuite.com/app/reporting/reportrunner.nl?fromreport=320&amp;regtx,tranline,kacct,x,alltranline5,IN,x,x=950&amp;cr=293" xr:uid="{FCF2C3FF-7306-4758-97E9-C953BC4D89F4}"/>
    <hyperlink ref="B549" r:id="rId274" display="https://9607261.app.netsuite.com/app/reporting/reportrunner.nl?fromreport=320&amp;regtx,tranline,kacct,x,alltranline5,IN,x,x=950&amp;cr=293" xr:uid="{64EB9686-285D-47C6-8479-783AD8133ABD}"/>
    <hyperlink ref="B551" r:id="rId275" display="https://9607261.app.netsuite.com/app/reporting/reportrunner.nl?fromreport=320&amp;regtx,tranline,kacct,x,alltranline5,IN,x,x=950&amp;cr=293" xr:uid="{03E60849-3AB6-4044-A13F-F66864B3A8B7}"/>
    <hyperlink ref="B553" r:id="rId276" display="https://9607261.app.netsuite.com/app/reporting/reportrunner.nl?fromreport=320&amp;regtx,tranline,kacct,x,alltranline5,IN,x,x=950&amp;cr=293" xr:uid="{97FBF7E9-581F-425E-A4D7-C4CA3404154F}"/>
    <hyperlink ref="B555" r:id="rId277" display="https://9607261.app.netsuite.com/app/reporting/reportrunner.nl?fromreport=320&amp;regtx,tranline,kacct,x,alltranline5,IN,x,x=950&amp;cr=293" xr:uid="{CE217094-B8E2-47B4-AEE6-9498244041E9}"/>
    <hyperlink ref="B557" r:id="rId278" display="https://9607261.app.netsuite.com/app/reporting/reportrunner.nl?fromreport=320&amp;regtx,tranline,kacct,x,alltranline5,IN,x,x=950&amp;cr=293" xr:uid="{9B1C2792-CB60-4599-BF5C-529FFA189B61}"/>
    <hyperlink ref="B559" r:id="rId279" display="https://9607261.app.netsuite.com/app/reporting/reportrunner.nl?fromreport=320&amp;regtx,tranline,kacct,x,alltranline5,IN,x,x=950&amp;cr=293" xr:uid="{BC9D0AAC-12D0-4FB9-A85F-952D97386571}"/>
    <hyperlink ref="B561" r:id="rId280" display="https://9607261.app.netsuite.com/app/reporting/reportrunner.nl?fromreport=320&amp;regtx,tranline,kacct,x,alltranline5,IN,x,x=950&amp;cr=293" xr:uid="{686A16AE-6A2D-4A67-B4EB-6B8380037EB8}"/>
    <hyperlink ref="B563" r:id="rId281" display="https://9607261.app.netsuite.com/app/reporting/reportrunner.nl?fromreport=320&amp;regtx,tranline,kacct,x,alltranline5,IN,x,x=950&amp;cr=293" xr:uid="{1DDDE75B-F476-46CF-90EB-40C8B09A4474}"/>
    <hyperlink ref="B565" r:id="rId282" display="https://9607261.app.netsuite.com/app/reporting/reportrunner.nl?fromreport=320&amp;regtx,tranline,kacct,x,alltranline5,IN,x,x=950&amp;cr=293" xr:uid="{703E9CD1-1042-4091-BD80-4F523C8A4B95}"/>
    <hyperlink ref="B567" r:id="rId283" display="https://9607261.app.netsuite.com/app/reporting/reportrunner.nl?fromreport=320&amp;regtx,tranline,kacct,x,alltranline5,IN,x,x=950&amp;cr=293" xr:uid="{88049664-A10E-4A61-A789-55923F217D38}"/>
    <hyperlink ref="B569" r:id="rId284" display="https://9607261.app.netsuite.com/app/reporting/reportrunner.nl?fromreport=320&amp;regtx,tranline,kacct,x,alltranline5,IN,x,x=950&amp;cr=293" xr:uid="{731BBE37-CFED-47BB-860D-3861DD493E92}"/>
    <hyperlink ref="B571" r:id="rId285" display="https://9607261.app.netsuite.com/app/reporting/reportrunner.nl?fromreport=320&amp;regtx,tranline,kacct,x,alltranline5,IN,x,x=950&amp;cr=293" xr:uid="{79819117-AF5B-46B7-96E6-BE9688460122}"/>
    <hyperlink ref="B573" r:id="rId286" display="https://9607261.app.netsuite.com/app/reporting/reportrunner.nl?fromreport=320&amp;regtx,tranline,kacct,x,alltranline5,IN,x,x=950&amp;cr=293" xr:uid="{0060BF54-DF50-41A5-8DE2-7412E7FF0BCA}"/>
    <hyperlink ref="B575" r:id="rId287" display="https://9607261.app.netsuite.com/app/reporting/reportrunner.nl?fromreport=320&amp;regtx,tranline,kacct,x,alltranline5,IN,x,x=950&amp;cr=293" xr:uid="{72C37050-90F9-4712-9C44-58FD52FADE35}"/>
    <hyperlink ref="B577" r:id="rId288" display="https://9607261.app.netsuite.com/app/reporting/reportrunner.nl?fromreport=320&amp;regtx,tranline,kacct,x,alltranline5,IN,x,x=950&amp;cr=293" xr:uid="{24424D26-7EEA-4DCA-9116-47AFEE03BA78}"/>
    <hyperlink ref="B579" r:id="rId289" display="https://9607261.app.netsuite.com/app/reporting/reportrunner.nl?fromreport=320&amp;regtx,tranline,kacct,x,alltranline5,IN,x,x=950&amp;cr=293" xr:uid="{7CA9590F-6A5E-4C99-96D1-A2A511E62906}"/>
    <hyperlink ref="B581" r:id="rId290" display="https://9607261.app.netsuite.com/app/reporting/reportrunner.nl?fromreport=320&amp;regtx,tranline,kacct,x,alltranline5,IN,x,x=950&amp;cr=293" xr:uid="{782F6EDE-B05C-405E-876C-B47DF48E41B2}"/>
    <hyperlink ref="B583" r:id="rId291" display="https://9607261.app.netsuite.com/app/reporting/reportrunner.nl?fromreport=320&amp;regtx,tranline,kacct,x,alltranline5,IN,x,x=950&amp;cr=293" xr:uid="{879480F0-A497-4EB0-9EF1-824EA5BDBC72}"/>
    <hyperlink ref="B585" r:id="rId292" display="https://9607261.app.netsuite.com/app/reporting/reportrunner.nl?fromreport=320&amp;regtx,tranline,kacct,x,alltranline5,IN,x,x=950&amp;cr=293" xr:uid="{042B242F-FACF-4426-A2AC-89D9AB2017DB}"/>
    <hyperlink ref="B587" r:id="rId293" display="https://9607261.app.netsuite.com/app/reporting/reportrunner.nl?fromreport=320&amp;regtx,tranline,kacct,x,alltranline5,IN,x,x=950&amp;cr=293" xr:uid="{13F6E7BA-6390-4E4A-95C3-692C7C6D2946}"/>
    <hyperlink ref="B589" r:id="rId294" display="https://9607261.app.netsuite.com/app/reporting/reportrunner.nl?fromreport=320&amp;regtx,tranline,kacct,x,alltranline5,IN,x,x=950&amp;cr=293" xr:uid="{087916E3-AAAA-4694-A1BD-099056292665}"/>
    <hyperlink ref="B591" r:id="rId295" display="https://9607261.app.netsuite.com/app/reporting/reportrunner.nl?fromreport=320&amp;regtx,tranline,kacct,x,alltranline5,IN,x,x=950&amp;cr=293" xr:uid="{FB6DF0DE-7C32-4D0A-9833-256BA759BAF8}"/>
    <hyperlink ref="B593" r:id="rId296" display="https://9607261.app.netsuite.com/app/reporting/reportrunner.nl?fromreport=320&amp;regtx,tranline,kacct,x,alltranline5,IN,x,x=950&amp;cr=293" xr:uid="{FDE776D9-78B4-4FFA-A118-356AD2BCE61D}"/>
    <hyperlink ref="B595" r:id="rId297" display="https://9607261.app.netsuite.com/app/reporting/reportrunner.nl?fromreport=320&amp;regtx,tranline,kacct,x,alltranline5,IN,x,x=950&amp;cr=293" xr:uid="{C77358C2-CE6A-4E4C-92A8-CBC28E8D304C}"/>
    <hyperlink ref="B597" r:id="rId298" display="https://9607261.app.netsuite.com/app/reporting/reportrunner.nl?fromreport=320&amp;regtx,tranline,kacct,x,alltranline5,IN,x,x=950&amp;cr=293" xr:uid="{DF10A9DA-F816-43A5-B10C-C44EF284F958}"/>
    <hyperlink ref="B599" r:id="rId299" display="https://9607261.app.netsuite.com/app/reporting/reportrunner.nl?fromreport=320&amp;regtx,tranline,kacct,x,alltranline5,IN,x,x=950&amp;cr=293" xr:uid="{5418D084-8780-49C1-938F-99DC5941C90E}"/>
    <hyperlink ref="B601" r:id="rId300" display="https://9607261.app.netsuite.com/app/reporting/reportrunner.nl?fromreport=320&amp;regtx,tranline,kacct,x,alltranline5,IN,x,x=950&amp;cr=293" xr:uid="{E093235A-7D56-435D-A376-6B21C55D4E7A}"/>
    <hyperlink ref="B603" r:id="rId301" display="https://9607261.app.netsuite.com/app/reporting/reportrunner.nl?fromreport=320&amp;regtx,tranline,kacct,x,alltranline5,IN,x,x=950&amp;cr=293" xr:uid="{120FA8C6-7F55-450C-8C43-289A174E1934}"/>
    <hyperlink ref="B605" r:id="rId302" display="https://9607261.app.netsuite.com/app/reporting/reportrunner.nl?fromreport=320&amp;regtx,tranline,kacct,x,alltranline5,IN,x,x=950&amp;cr=293" xr:uid="{99BBE69F-93D1-4909-A0C0-158D38BE6821}"/>
    <hyperlink ref="B607" r:id="rId303" display="https://9607261.app.netsuite.com/app/reporting/reportrunner.nl?fromreport=320&amp;regtx,tranline,kacct,x,alltranline5,IN,x,x=950&amp;cr=293" xr:uid="{665C64CE-CF7F-4509-8198-E2524FCBF53C}"/>
    <hyperlink ref="B609" r:id="rId304" display="https://9607261.app.netsuite.com/app/reporting/reportrunner.nl?fromreport=320&amp;regtx,tranline,kacct,x,alltranline5,IN,x,x=950&amp;cr=293" xr:uid="{864DEF5B-870A-412D-BB4D-31B3B52F67B7}"/>
    <hyperlink ref="B611" r:id="rId305" display="https://9607261.app.netsuite.com/app/reporting/reportrunner.nl?fromreport=320&amp;regtx,tranline,kacct,x,alltranline5,IN,x,x=950&amp;cr=293" xr:uid="{C87899D7-1240-49A4-BAED-682308630A7F}"/>
    <hyperlink ref="B613" r:id="rId306" display="https://9607261.app.netsuite.com/app/reporting/reportrunner.nl?fromreport=320&amp;regtx,tranline,kacct,x,alltranline5,IN,x,x=950&amp;cr=293" xr:uid="{604F226E-9DA4-4787-8044-385C14DAB245}"/>
    <hyperlink ref="B615" r:id="rId307" display="https://9607261.app.netsuite.com/app/reporting/reportrunner.nl?fromreport=320&amp;regtx,tranline,kacct,x,alltranline5,IN,x,x=950&amp;cr=293" xr:uid="{0A09DE68-C8A4-46FF-AFBA-F2B1A4B7DBBC}"/>
    <hyperlink ref="B617" r:id="rId308" display="https://9607261.app.netsuite.com/app/reporting/reportrunner.nl?fromreport=320&amp;regtx,tranline,kacct,x,alltranline5,IN,x,x=950&amp;cr=293" xr:uid="{22F06BA4-C149-4E4B-9B84-7AD37A29AB7C}"/>
    <hyperlink ref="B619" r:id="rId309" display="https://9607261.app.netsuite.com/app/reporting/reportrunner.nl?fromreport=320&amp;regtx,tranline,kacct,x,alltranline5,IN,x,x=950&amp;cr=293" xr:uid="{904B743B-64FD-4040-A87A-37CEAE8AAAC6}"/>
    <hyperlink ref="B621" r:id="rId310" display="https://9607261.app.netsuite.com/app/reporting/reportrunner.nl?fromreport=320&amp;regtx,tranline,kacct,x,alltranline5,IN,x,x=950&amp;cr=293" xr:uid="{AB4B72EC-8C84-4D0E-ADB4-FA333743C5BD}"/>
    <hyperlink ref="B623" r:id="rId311" display="https://9607261.app.netsuite.com/app/reporting/reportrunner.nl?fromreport=320&amp;regtx,tranline,kacct,x,alltranline5,IN,x,x=950&amp;cr=293" xr:uid="{B448E1E8-110F-46EF-A644-81ED32EE19CD}"/>
    <hyperlink ref="B625" r:id="rId312" display="https://9607261.app.netsuite.com/app/reporting/reportrunner.nl?fromreport=320&amp;regtx,tranline,kacct,x,alltranline5,IN,x,x=950&amp;cr=293" xr:uid="{D80694D8-D0E1-49DE-914C-F195E289FD1B}"/>
    <hyperlink ref="B627" r:id="rId313" display="https://9607261.app.netsuite.com/app/reporting/reportrunner.nl?fromreport=320&amp;regtx,tranline,kacct,x,alltranline5,IN,x,x=950&amp;cr=293" xr:uid="{3B732835-F148-49A4-BB75-6E86EA6BB8A4}"/>
    <hyperlink ref="B629" r:id="rId314" display="https://9607261.app.netsuite.com/app/reporting/reportrunner.nl?fromreport=320&amp;regtx,tranline,kacct,x,alltranline5,IN,x,x=950&amp;cr=293" xr:uid="{FC8E408B-A7D2-4A1C-86EA-B526C676ACEA}"/>
    <hyperlink ref="B631" r:id="rId315" display="https://9607261.app.netsuite.com/app/reporting/reportrunner.nl?fromreport=320&amp;regtx,tranline,kacct,x,alltranline5,IN,x,x=950&amp;cr=293" xr:uid="{9F14AFB7-3800-4CB5-924B-B3DDFC50D8C0}"/>
    <hyperlink ref="B633" r:id="rId316" display="https://9607261.app.netsuite.com/app/reporting/reportrunner.nl?fromreport=320&amp;regtx,tranline,kacct,x,alltranline5,IN,x,x=950&amp;cr=293" xr:uid="{73DBF047-DA4F-4DE6-989E-A242253D48C7}"/>
    <hyperlink ref="B635" r:id="rId317" display="https://9607261.app.netsuite.com/app/reporting/reportrunner.nl?fromreport=320&amp;regtx,tranline,kacct,x,alltranline5,IN,x,x=950&amp;cr=293" xr:uid="{87544523-E888-41E3-8305-9428A897F2EF}"/>
    <hyperlink ref="B637" r:id="rId318" display="https://9607261.app.netsuite.com/app/reporting/reportrunner.nl?fromreport=320&amp;regtx,tranline,kacct,x,alltranline5,IN,x,x=950&amp;cr=293" xr:uid="{D306D945-16D1-4CCD-8C20-F70FEAB7AEAE}"/>
    <hyperlink ref="B639" r:id="rId319" display="https://9607261.app.netsuite.com/app/reporting/reportrunner.nl?fromreport=320&amp;regtx,tranline,kacct,x,alltranline5,IN,x,x=950&amp;cr=293" xr:uid="{7B81CDCB-325D-4195-89D3-1A7082B5FF8D}"/>
    <hyperlink ref="B641" r:id="rId320" display="https://9607261.app.netsuite.com/app/reporting/reportrunner.nl?fromreport=320&amp;regtx,tranline,kacct,x,alltranline5,IN,x,x=950&amp;cr=293" xr:uid="{343B7E42-D6FA-4B0D-A72B-894ED78BA02B}"/>
    <hyperlink ref="B643" r:id="rId321" display="https://9607261.app.netsuite.com/app/reporting/reportrunner.nl?fromreport=320&amp;regtx,tranline,kacct,x,alltranline5,IN,x,x=950&amp;cr=293" xr:uid="{8BDAAE25-BD07-44AC-B36F-1614EC67357D}"/>
    <hyperlink ref="B645" r:id="rId322" display="https://9607261.app.netsuite.com/app/reporting/reportrunner.nl?fromreport=320&amp;regtx,tranline,kacct,x,alltranline5,IN,x,x=950&amp;cr=293" xr:uid="{331F67B8-93F4-4B27-8C70-6904B095E5B8}"/>
    <hyperlink ref="B647" r:id="rId323" display="https://9607261.app.netsuite.com/app/reporting/reportrunner.nl?fromreport=320&amp;regtx,tranline,kacct,x,alltranline5,IN,x,x=950&amp;cr=293" xr:uid="{F9A6C405-1BDF-4C4F-AF6C-BB1FD9E7BA4A}"/>
    <hyperlink ref="B649" r:id="rId324" display="https://9607261.app.netsuite.com/app/reporting/reportrunner.nl?fromreport=320&amp;regtx,tranline,kacct,x,alltranline5,IN,x,x=950&amp;cr=293" xr:uid="{990200A1-041B-4E6B-983E-7F165A4E890B}"/>
    <hyperlink ref="B651" r:id="rId325" display="https://9607261.app.netsuite.com/app/reporting/reportrunner.nl?fromreport=320&amp;regtx,tranline,kacct,x,alltranline5,IN,x,x=950&amp;cr=293" xr:uid="{D38FBC89-71E7-4C57-91DB-A7FA11BC2C6F}"/>
    <hyperlink ref="B653" r:id="rId326" display="https://9607261.app.netsuite.com/app/reporting/reportrunner.nl?fromreport=320&amp;regtx,tranline,kacct,x,alltranline5,IN,x,x=950&amp;cr=293" xr:uid="{EEB5B011-6AA4-42A2-801A-A4E0D9AFF1E7}"/>
    <hyperlink ref="B655" r:id="rId327" display="https://9607261.app.netsuite.com/app/reporting/reportrunner.nl?fromreport=320&amp;regtx,tranline,kacct,x,alltranline5,IN,x,x=950&amp;cr=293" xr:uid="{D5970E4A-8741-4A34-854B-28DF362A3B34}"/>
    <hyperlink ref="B657" r:id="rId328" display="https://9607261.app.netsuite.com/app/reporting/reportrunner.nl?fromreport=320&amp;regtx,tranline,kacct,x,alltranline5,IN,x,x=950&amp;cr=293" xr:uid="{A756EE01-723E-4E39-8F57-2FB913380C10}"/>
    <hyperlink ref="B659" r:id="rId329" display="https://9607261.app.netsuite.com/app/reporting/reportrunner.nl?fromreport=320&amp;regtx,tranline,kacct,x,alltranline5,IN,x,x=950&amp;cr=293" xr:uid="{91B99447-E2FA-4671-BFE6-C8BECBF0F65D}"/>
    <hyperlink ref="B661" r:id="rId330" display="https://9607261.app.netsuite.com/app/reporting/reportrunner.nl?fromreport=320&amp;regtx,tranline,kacct,x,alltranline5,IN,x,x=950&amp;cr=293" xr:uid="{4E7580B9-9FC3-4F3E-9B11-BB1245491C7F}"/>
    <hyperlink ref="B663" r:id="rId331" display="https://9607261.app.netsuite.com/app/reporting/reportrunner.nl?fromreport=320&amp;regtx,tranline,kacct,x,alltranline5,IN,x,x=950&amp;cr=293" xr:uid="{4EAFBDC4-E382-4234-BC4B-2B1B9111189F}"/>
    <hyperlink ref="B665" r:id="rId332" display="https://9607261.app.netsuite.com/app/reporting/reportrunner.nl?fromreport=320&amp;regtx,tranline,kacct,x,alltranline5,IN,x,x=950&amp;cr=293" xr:uid="{AAD99E01-F399-4567-AF23-A3A7BF3A52D2}"/>
    <hyperlink ref="B667" r:id="rId333" display="https://9607261.app.netsuite.com/app/reporting/reportrunner.nl?fromreport=320&amp;regtx,tranline,kacct,x,alltranline5,IN,x,x=950&amp;cr=293" xr:uid="{CD48763A-E258-4680-AF00-492CE750EFDA}"/>
    <hyperlink ref="B669" r:id="rId334" display="https://9607261.app.netsuite.com/app/reporting/reportrunner.nl?fromreport=320&amp;regtx,tranline,kacct,x,alltranline5,IN,x,x=950&amp;cr=293" xr:uid="{3974B1FE-1F32-485F-B5D1-829A8A7962C7}"/>
    <hyperlink ref="B671" r:id="rId335" display="https://9607261.app.netsuite.com/app/reporting/reportrunner.nl?fromreport=320&amp;regtx,tranline,kacct,x,alltranline5,IN,x,x=950&amp;cr=293" xr:uid="{B97E1FBB-54B0-4F82-9BBC-301BE9ACDE4F}"/>
    <hyperlink ref="B673" r:id="rId336" display="https://9607261.app.netsuite.com/app/reporting/reportrunner.nl?fromreport=320&amp;regtx,tranline,kacct,x,alltranline5,IN,x,x=950&amp;cr=293" xr:uid="{64A6700E-F918-4023-9038-96281BF8C07B}"/>
    <hyperlink ref="B675" r:id="rId337" display="https://9607261.app.netsuite.com/app/reporting/reportrunner.nl?fromreport=320&amp;regtx,tranline,kacct,x,alltranline5,IN,x,x=950&amp;cr=293" xr:uid="{CFA91618-8CDA-4EB9-9116-10B32A2E6F1B}"/>
    <hyperlink ref="B677" r:id="rId338" display="https://9607261.app.netsuite.com/app/reporting/reportrunner.nl?fromreport=320&amp;regtx,tranline,kacct,x,alltranline5,IN,x,x=950&amp;cr=293" xr:uid="{AA5CE662-30F7-46D4-8A4C-447A673D9316}"/>
    <hyperlink ref="B679" r:id="rId339" display="https://9607261.app.netsuite.com/app/reporting/reportrunner.nl?fromreport=320&amp;regtx,tranline,kacct,x,alltranline5,IN,x,x=950&amp;cr=293" xr:uid="{4BA3B076-8E59-4D9F-95E0-718A78606C29}"/>
    <hyperlink ref="B681" r:id="rId340" display="https://9607261.app.netsuite.com/app/reporting/reportrunner.nl?fromreport=320&amp;regtx,tranline,kacct,x,alltranline5,IN,x,x=950&amp;cr=293" xr:uid="{6D1D3C75-8CDE-436E-A97D-94B57EE7ADA3}"/>
    <hyperlink ref="B683" r:id="rId341" display="https://9607261.app.netsuite.com/app/reporting/reportrunner.nl?fromreport=320&amp;regtx,tranline,kacct,x,alltranline5,IN,x,x=950&amp;cr=293" xr:uid="{B9D40FFC-88F3-48DC-A8A1-57CD1692EA2A}"/>
    <hyperlink ref="B685" r:id="rId342" display="https://9607261.app.netsuite.com/app/reporting/reportrunner.nl?fromreport=320&amp;regtx,tranline,kacct,x,alltranline5,IN,x,x=950&amp;cr=293" xr:uid="{DBD5900B-DC9D-477C-870B-E41184AB6019}"/>
    <hyperlink ref="B687" r:id="rId343" display="https://9607261.app.netsuite.com/app/reporting/reportrunner.nl?fromreport=320&amp;regtx,tranline,kacct,x,alltranline5,IN,x,x=950&amp;cr=293" xr:uid="{ECA8EEBF-7DF2-4208-8AC7-5D457B796ED7}"/>
    <hyperlink ref="B689" r:id="rId344" display="https://9607261.app.netsuite.com/app/reporting/reportrunner.nl?fromreport=320&amp;regtx,tranline,kacct,x,alltranline5,IN,x,x=950&amp;cr=293" xr:uid="{7C41B25F-E170-4E35-B538-D91F533EED8E}"/>
    <hyperlink ref="B691" r:id="rId345" display="https://9607261.app.netsuite.com/app/reporting/reportrunner.nl?fromreport=320&amp;regtx,tranline,kacct,x,alltranline5,IN,x,x=950&amp;cr=293" xr:uid="{42ACEED5-071B-4D5A-BDA4-64823F048124}"/>
    <hyperlink ref="B693" r:id="rId346" display="https://9607261.app.netsuite.com/app/reporting/reportrunner.nl?fromreport=320&amp;regtx,tranline,kacct,x,alltranline5,IN,x,x=950&amp;cr=293" xr:uid="{F9C9D294-4CE2-4701-B3BE-34CA682463EC}"/>
    <hyperlink ref="B695" r:id="rId347" display="https://9607261.app.netsuite.com/app/reporting/reportrunner.nl?fromreport=320&amp;regtx,tranline,kacct,x,alltranline5,IN,x,x=950&amp;cr=293" xr:uid="{07BE3C90-F843-4096-BEA2-4B6A4F794E28}"/>
    <hyperlink ref="B697" r:id="rId348" display="https://9607261.app.netsuite.com/app/reporting/reportrunner.nl?fromreport=320&amp;regtx,tranline,kacct,x,alltranline5,IN,x,x=950&amp;cr=293" xr:uid="{828E6894-3112-496C-8299-DC32650A645D}"/>
    <hyperlink ref="B699" r:id="rId349" display="https://9607261.app.netsuite.com/app/reporting/reportrunner.nl?fromreport=320&amp;regtx,tranline,kacct,x,alltranline5,IN,x,x=950&amp;cr=293" xr:uid="{B36DC41D-F9C8-4561-8891-268D69E2634F}"/>
    <hyperlink ref="B701" r:id="rId350" display="https://9607261.app.netsuite.com/app/reporting/reportrunner.nl?fromreport=320&amp;regtx,tranline,kacct,x,alltranline5,IN,x,x=950&amp;cr=293" xr:uid="{32DE3FF0-15B2-45FD-BE68-3B36709CBAD7}"/>
    <hyperlink ref="B703" r:id="rId351" display="https://9607261.app.netsuite.com/app/reporting/reportrunner.nl?fromreport=320&amp;regtx,tranline,kacct,x,alltranline5,IN,x,x=950&amp;cr=293" xr:uid="{8BA2BE4E-9C87-4957-A6C7-BD193FA97280}"/>
    <hyperlink ref="B705" r:id="rId352" display="https://9607261.app.netsuite.com/app/reporting/reportrunner.nl?fromreport=320&amp;regtx,tranline,kacct,x,alltranline5,IN,x,x=950&amp;cr=293" xr:uid="{A34F15C3-802F-4442-BCF2-3EC63678CCDE}"/>
    <hyperlink ref="B707" r:id="rId353" display="https://9607261.app.netsuite.com/app/reporting/reportrunner.nl?fromreport=320&amp;regtx,tranline,kacct,x,alltranline5,IN,x,x=950&amp;cr=293" xr:uid="{7D57A9FF-B373-4970-8425-620D6819EAAD}"/>
    <hyperlink ref="B709" r:id="rId354" display="https://9607261.app.netsuite.com/app/reporting/reportrunner.nl?fromreport=320&amp;regtx,tranline,kacct,x,alltranline5,IN,x,x=950&amp;cr=293" xr:uid="{14F0AB47-6729-4C7E-8751-5889F9D2650B}"/>
    <hyperlink ref="B711" r:id="rId355" display="https://9607261.app.netsuite.com/app/reporting/reportrunner.nl?fromreport=320&amp;regtx,tranline,kacct,x,alltranline5,IN,x,x=950&amp;cr=293" xr:uid="{1A63DD0B-AA2E-4244-9490-D74787834D28}"/>
    <hyperlink ref="B713" r:id="rId356" display="https://9607261.app.netsuite.com/app/reporting/reportrunner.nl?fromreport=320&amp;regtx,tranline,kacct,x,alltranline5,IN,x,x=950&amp;cr=293" xr:uid="{6FD04297-539F-4F44-8282-5CED26E7E86B}"/>
    <hyperlink ref="B715" r:id="rId357" display="https://9607261.app.netsuite.com/app/reporting/reportrunner.nl?fromreport=320&amp;regtx,tranline,kacct,x,alltranline5,IN,x,x=950&amp;cr=293" xr:uid="{487CC0AF-147B-4230-9D11-27C4FF44D6C7}"/>
    <hyperlink ref="B717" r:id="rId358" display="https://9607261.app.netsuite.com/app/reporting/reportrunner.nl?fromreport=320&amp;regtx,tranline,kacct,x,alltranline5,IN,x,x=950&amp;cr=293" xr:uid="{18B6CC7C-B2D9-4900-89FD-D4DDA6FCE906}"/>
    <hyperlink ref="B719" r:id="rId359" display="https://9607261.app.netsuite.com/app/reporting/reportrunner.nl?fromreport=320&amp;regtx,tranline,kacct,x,alltranline5,IN,x,x=950&amp;cr=293" xr:uid="{1847579B-D4C1-4C29-88AD-1BF31B2CB160}"/>
    <hyperlink ref="B721" r:id="rId360" display="https://9607261.app.netsuite.com/app/reporting/reportrunner.nl?fromreport=320&amp;regtx,tranline,kacct,x,alltranline5,IN,x,x=950&amp;cr=293" xr:uid="{E771FE9E-4F8A-43A1-9FC9-D5C0588AAAF7}"/>
    <hyperlink ref="B723" r:id="rId361" display="https://9607261.app.netsuite.com/app/reporting/reportrunner.nl?fromreport=320&amp;regtx,tranline,kacct,x,alltranline5,IN,x,x=950&amp;cr=293" xr:uid="{E1E84722-7050-4CFC-A8B5-F66F444818B7}"/>
    <hyperlink ref="B725" r:id="rId362" display="https://9607261.app.netsuite.com/app/reporting/reportrunner.nl?fromreport=320&amp;regtx,tranline,kacct,x,alltranline5,IN,x,x=950&amp;cr=293" xr:uid="{0ED61E8C-5059-4040-B008-17595E9B7444}"/>
    <hyperlink ref="B727" r:id="rId363" display="https://9607261.app.netsuite.com/app/reporting/reportrunner.nl?fromreport=320&amp;regtx,tranline,kacct,x,alltranline5,IN,x,x=950&amp;cr=293" xr:uid="{ACB1966D-7FD2-44B4-A062-CE6E9A562FEB}"/>
    <hyperlink ref="B729" r:id="rId364" display="https://9607261.app.netsuite.com/app/reporting/reportrunner.nl?fromreport=320&amp;regtx,tranline,kacct,x,alltranline5,IN,x,x=950&amp;cr=293" xr:uid="{2F69E860-A2C3-44FB-8545-9D729E6BB05F}"/>
    <hyperlink ref="B731" r:id="rId365" display="https://9607261.app.netsuite.com/app/reporting/reportrunner.nl?fromreport=320&amp;regtx,tranline,kacct,x,alltranline5,IN,x,x=950&amp;cr=293" xr:uid="{71427E2B-9F17-4BB4-9A8C-572F53EEC044}"/>
    <hyperlink ref="B733" r:id="rId366" display="https://9607261.app.netsuite.com/app/reporting/reportrunner.nl?fromreport=320&amp;regtx,tranline,kacct,x,alltranline5,IN,x,x=950&amp;cr=293" xr:uid="{DEE6D317-BC63-474A-8AA0-880AD1167917}"/>
    <hyperlink ref="B735" r:id="rId367" display="https://9607261.app.netsuite.com/app/reporting/reportrunner.nl?fromreport=320&amp;regtx,tranline,kacct,x,alltranline5,IN,x,x=950&amp;cr=293" xr:uid="{DA3B3CC8-F956-40CA-A76A-535C36FE17AD}"/>
    <hyperlink ref="B737" r:id="rId368" display="https://9607261.app.netsuite.com/app/reporting/reportrunner.nl?fromreport=320&amp;regtx,tranline,kacct,x,alltranline5,IN,x,x=950&amp;cr=293" xr:uid="{E3D36E53-FE0D-4B3D-BB15-E5460A5E4C2E}"/>
    <hyperlink ref="B739" r:id="rId369" display="https://9607261.app.netsuite.com/app/reporting/reportrunner.nl?fromreport=320&amp;regtx,tranline,kacct,x,alltranline5,IN,x,x=950&amp;cr=293" xr:uid="{877A67EB-AB5D-416B-AA4A-A98FE3A99DD3}"/>
    <hyperlink ref="B741" r:id="rId370" display="https://9607261.app.netsuite.com/app/reporting/reportrunner.nl?fromreport=320&amp;regtx,tranline,kacct,x,alltranline5,IN,x,x=950&amp;cr=293" xr:uid="{B11431AB-15CA-45BD-B14D-699EFE546498}"/>
    <hyperlink ref="B743" r:id="rId371" display="https://9607261.app.netsuite.com/app/reporting/reportrunner.nl?fromreport=320&amp;regtx,tranline,kacct,x,alltranline5,IN,x,x=950&amp;cr=293" xr:uid="{5A42DB46-E5E8-40B8-B022-F96AC2FBF277}"/>
    <hyperlink ref="B745" r:id="rId372" display="https://9607261.app.netsuite.com/app/reporting/reportrunner.nl?fromreport=320&amp;regtx,tranline,kacct,x,alltranline5,IN,x,x=950&amp;cr=293" xr:uid="{94596E48-3D47-4833-9E93-9DAF6FCFCE86}"/>
    <hyperlink ref="B747" r:id="rId373" display="https://9607261.app.netsuite.com/app/reporting/reportrunner.nl?fromreport=320&amp;regtx,tranline,kacct,x,alltranline5,IN,x,x=950&amp;cr=293" xr:uid="{2860E7EF-29F9-4C8E-ABAB-AC65B6BFEA69}"/>
    <hyperlink ref="B749" r:id="rId374" display="https://9607261.app.netsuite.com/app/reporting/reportrunner.nl?fromreport=320&amp;regtx,tranline,kacct,x,alltranline5,IN,x,x=950&amp;cr=293" xr:uid="{B525AEF6-6394-43DA-93FE-78317CF1AEF5}"/>
    <hyperlink ref="B751" r:id="rId375" display="https://9607261.app.netsuite.com/app/reporting/reportrunner.nl?fromreport=320&amp;regtx,tranline,kacct,x,alltranline5,IN,x,x=950&amp;cr=293" xr:uid="{DACFAEA0-AE27-4EF7-9C85-79FD84DCCC0C}"/>
    <hyperlink ref="B753" r:id="rId376" display="https://9607261.app.netsuite.com/app/reporting/reportrunner.nl?fromreport=320&amp;regtx,tranline,kacct,x,alltranline5,IN,x,x=950&amp;cr=293" xr:uid="{B4DB8722-67B7-48DA-A42C-50106BC34995}"/>
    <hyperlink ref="B755" r:id="rId377" display="https://9607261.app.netsuite.com/app/reporting/reportrunner.nl?fromreport=320&amp;regtx,tranline,kacct,x,alltranline5,IN,x,x=950&amp;cr=293" xr:uid="{ACC18D56-36D5-41F0-B90B-C71E64933E4C}"/>
    <hyperlink ref="B757" r:id="rId378" display="https://9607261.app.netsuite.com/app/reporting/reportrunner.nl?fromreport=320&amp;regtx,tranline,kacct,x,alltranline5,IN,x,x=950&amp;cr=293" xr:uid="{73C5ED7A-513F-432D-B8B0-98468B817A04}"/>
    <hyperlink ref="B759" r:id="rId379" display="https://9607261.app.netsuite.com/app/reporting/reportrunner.nl?fromreport=320&amp;regtx,tranline,kacct,x,alltranline5,IN,x,x=950&amp;cr=293" xr:uid="{B34422C7-5390-4168-AB66-5F32B9C09D8B}"/>
    <hyperlink ref="B761" r:id="rId380" display="https://9607261.app.netsuite.com/app/reporting/reportrunner.nl?fromreport=320&amp;regtx,tranline,kacct,x,alltranline5,IN,x,x=950&amp;cr=293" xr:uid="{930A6489-DA1D-4E64-B20E-11D912500773}"/>
    <hyperlink ref="B763" r:id="rId381" display="https://9607261.app.netsuite.com/app/reporting/reportrunner.nl?fromreport=320&amp;regtx,tranline,kacct,x,alltranline5,IN,x,x=950&amp;cr=293" xr:uid="{254FFEE2-C73D-4796-9894-3F64706A1DE9}"/>
    <hyperlink ref="B765" r:id="rId382" display="https://9607261.app.netsuite.com/app/reporting/reportrunner.nl?fromreport=320&amp;regtx,tranline,kacct,x,alltranline5,IN,x,x=950&amp;cr=293" xr:uid="{68490F1C-8AA9-423F-A2BD-068401D50CB0}"/>
    <hyperlink ref="B767" r:id="rId383" display="https://9607261.app.netsuite.com/app/reporting/reportrunner.nl?fromreport=320&amp;regtx,tranline,kacct,x,alltranline5,IN,x,x=950&amp;cr=293" xr:uid="{A0F52D5C-A9F5-490D-89DC-75ED88E7496D}"/>
    <hyperlink ref="B769" r:id="rId384" display="https://9607261.app.netsuite.com/app/reporting/reportrunner.nl?fromreport=320&amp;regtx,tranline,kacct,x,alltranline5,IN,x,x=950&amp;cr=293" xr:uid="{41C55F68-BA5F-483D-B950-BF409E6460CB}"/>
    <hyperlink ref="B771" r:id="rId385" display="https://9607261.app.netsuite.com/app/reporting/reportrunner.nl?fromreport=320&amp;regtx,tranline,kacct,x,alltranline5,IN,x,x=950&amp;cr=293" xr:uid="{F51F094A-F18F-40E9-B92F-11DC2118A218}"/>
    <hyperlink ref="B773" r:id="rId386" display="https://9607261.app.netsuite.com/app/reporting/reportrunner.nl?fromreport=320&amp;regtx,tranline,kacct,x,alltranline5,IN,x,x=950&amp;cr=293" xr:uid="{1759AC40-DB57-4C0B-A571-A4F91055C5BA}"/>
    <hyperlink ref="B775" r:id="rId387" display="https://9607261.app.netsuite.com/app/reporting/reportrunner.nl?fromreport=320&amp;regtx,tranline,kacct,x,alltranline5,IN,x,x=950&amp;cr=293" xr:uid="{563B1463-B0CB-4790-90E6-E1BE68A8BC22}"/>
    <hyperlink ref="B777" r:id="rId388" display="https://9607261.app.netsuite.com/app/reporting/reportrunner.nl?fromreport=320&amp;regtx,tranline,kacct,x,alltranline5,IN,x,x=950&amp;cr=293" xr:uid="{66386C73-C433-4528-84A3-48A585AC265E}"/>
    <hyperlink ref="B779" r:id="rId389" display="https://9607261.app.netsuite.com/app/reporting/reportrunner.nl?fromreport=320&amp;regtx,tranline,kacct,x,alltranline5,IN,x,x=950&amp;cr=293" xr:uid="{EE414419-5699-4CC9-9431-D5702C1545AA}"/>
    <hyperlink ref="B781" r:id="rId390" display="https://9607261.app.netsuite.com/app/reporting/reportrunner.nl?fromreport=320&amp;regtx,tranline,kacct,x,alltranline5,IN,x,x=950&amp;cr=293" xr:uid="{54185E36-4088-49C1-AC37-7D5C06EAB813}"/>
    <hyperlink ref="B783" r:id="rId391" display="https://9607261.app.netsuite.com/app/reporting/reportrunner.nl?fromreport=320&amp;regtx,tranline,kacct,x,alltranline5,IN,x,x=950&amp;cr=293" xr:uid="{2B819277-9E7F-4FF2-BC8E-27CB10B18D12}"/>
    <hyperlink ref="B785" r:id="rId392" display="https://9607261.app.netsuite.com/app/reporting/reportrunner.nl?fromreport=320&amp;regtx,tranline,kacct,x,alltranline5,IN,x,x=950&amp;cr=293" xr:uid="{989E015F-29C4-4DA8-8E15-90910F96EF9D}"/>
    <hyperlink ref="B787" r:id="rId393" display="https://9607261.app.netsuite.com/app/reporting/reportrunner.nl?fromreport=320&amp;regtx,tranline,kacct,x,alltranline5,IN,x,x=950&amp;cr=293" xr:uid="{3346C2B0-A890-49F6-906C-51768E37EC8D}"/>
    <hyperlink ref="B789" r:id="rId394" display="https://9607261.app.netsuite.com/app/reporting/reportrunner.nl?fromreport=320&amp;regtx,tranline,kacct,x,alltranline5,IN,x,x=950&amp;cr=293" xr:uid="{2B2E1B2C-DF05-43CF-8FA8-879D95288909}"/>
    <hyperlink ref="B791" r:id="rId395" display="https://9607261.app.netsuite.com/app/reporting/reportrunner.nl?fromreport=320&amp;regtx,tranline,kacct,x,alltranline5,IN,x,x=950&amp;cr=293" xr:uid="{4FC63FCF-610A-4999-9860-C196A6C61D49}"/>
    <hyperlink ref="B793" r:id="rId396" display="https://9607261.app.netsuite.com/app/reporting/reportrunner.nl?fromreport=320&amp;regtx,tranline,kacct,x,alltranline5,IN,x,x=950&amp;cr=293" xr:uid="{1DD00155-1352-483A-943B-5431FF236629}"/>
    <hyperlink ref="B795" r:id="rId397" display="https://9607261.app.netsuite.com/app/reporting/reportrunner.nl?fromreport=320&amp;regtx,tranline,kacct,x,alltranline5,IN,x,x=950&amp;cr=293" xr:uid="{E23124C3-4289-45D8-8064-A555E16A6D77}"/>
    <hyperlink ref="B797" r:id="rId398" display="https://9607261.app.netsuite.com/app/reporting/reportrunner.nl?fromreport=320&amp;regtx,tranline,kacct,x,alltranline5,IN,x,x=950&amp;cr=293" xr:uid="{2295FE36-397F-45A6-9058-B4581800843D}"/>
    <hyperlink ref="B799" r:id="rId399" display="https://9607261.app.netsuite.com/app/reporting/reportrunner.nl?fromreport=320&amp;regtx,tranline,kacct,x,alltranline5,IN,x,x=950&amp;cr=293" xr:uid="{6F93C8B6-5D29-472C-AD4B-04356539A234}"/>
    <hyperlink ref="B801" r:id="rId400" display="https://9607261.app.netsuite.com/app/reporting/reportrunner.nl?fromreport=320&amp;regtx,tranline,kacct,x,alltranline5,IN,x,x=950&amp;cr=293" xr:uid="{6E043973-60A2-4228-9417-442D480365B5}"/>
    <hyperlink ref="B803" r:id="rId401" display="https://9607261.app.netsuite.com/app/reporting/reportrunner.nl?fromreport=320&amp;regtx,tranline,kacct,x,alltranline5,IN,x,x=950&amp;cr=293" xr:uid="{FEB369CE-1604-4C37-985A-BEAB3A1289A2}"/>
    <hyperlink ref="B805" r:id="rId402" display="https://9607261.app.netsuite.com/app/reporting/reportrunner.nl?fromreport=320&amp;regtx,tranline,kacct,x,alltranline5,IN,x,x=950&amp;cr=293" xr:uid="{A74B3AA9-3F6B-4A97-A677-86C7FC458045}"/>
    <hyperlink ref="B807" r:id="rId403" display="https://9607261.app.netsuite.com/app/reporting/reportrunner.nl?fromreport=320&amp;regtx,tranline,kacct,x,alltranline5,IN,x,x=950&amp;cr=293" xr:uid="{A2798CAC-D4A0-4CCC-A5D5-957D28F2C221}"/>
    <hyperlink ref="B809" r:id="rId404" display="https://9607261.app.netsuite.com/app/reporting/reportrunner.nl?fromreport=320&amp;regtx,tranline,kacct,x,alltranline5,IN,x,x=950&amp;cr=293" xr:uid="{3D58A359-011A-43FB-B15B-27B324D205DD}"/>
    <hyperlink ref="B811" r:id="rId405" display="https://9607261.app.netsuite.com/app/reporting/reportrunner.nl?fromreport=320&amp;regtx,tranline,kacct,x,alltranline5,IN,x,x=950&amp;cr=293" xr:uid="{D158A6CB-8F12-4B62-88A6-577818321584}"/>
    <hyperlink ref="B813" r:id="rId406" display="https://9607261.app.netsuite.com/app/reporting/reportrunner.nl?fromreport=320&amp;regtx,tranline,kacct,x,alltranline5,IN,x,x=950&amp;cr=293" xr:uid="{140C9CD5-17A8-4B2E-8CCE-1C45816FA827}"/>
    <hyperlink ref="B815" r:id="rId407" display="https://9607261.app.netsuite.com/app/reporting/reportrunner.nl?fromreport=320&amp;regtx,tranline,kacct,x,alltranline5,IN,x,x=950&amp;cr=293" xr:uid="{8DA12C89-61A2-4E09-A621-D16C39CB01AF}"/>
    <hyperlink ref="B817" r:id="rId408" display="https://9607261.app.netsuite.com/app/reporting/reportrunner.nl?fromreport=320&amp;regtx,tranline,kacct,x,alltranline5,IN,x,x=950&amp;cr=293" xr:uid="{190B1801-CB5F-42F0-BB82-B6E47152A4CA}"/>
    <hyperlink ref="B819" r:id="rId409" display="https://9607261.app.netsuite.com/app/reporting/reportrunner.nl?fromreport=320&amp;regtx,tranline,kacct,x,alltranline5,IN,x,x=950&amp;cr=293" xr:uid="{4F06955C-BBE9-49D6-A7CE-8363BE0CBBD0}"/>
    <hyperlink ref="B821" r:id="rId410" display="https://9607261.app.netsuite.com/app/reporting/reportrunner.nl?fromreport=320&amp;regtx,tranline,kacct,x,alltranline5,IN,x,x=950&amp;cr=293" xr:uid="{5A9519F3-B322-43AC-8E2F-CB733B7526AD}"/>
    <hyperlink ref="B823" r:id="rId411" display="https://9607261.app.netsuite.com/app/reporting/reportrunner.nl?fromreport=320&amp;regtx,tranline,kacct,x,alltranline5,IN,x,x=950&amp;cr=293" xr:uid="{A1E01707-90C8-4376-B50D-5A0CD1B4303F}"/>
    <hyperlink ref="B825" r:id="rId412" display="https://9607261.app.netsuite.com/app/reporting/reportrunner.nl?fromreport=320&amp;regtx,tranline,kacct,x,alltranline5,IN,x,x=950&amp;cr=293" xr:uid="{4480609B-3B2D-40EE-8587-2E159D4972D4}"/>
    <hyperlink ref="B827" r:id="rId413" display="https://9607261.app.netsuite.com/app/reporting/reportrunner.nl?fromreport=320&amp;regtx,tranline,kacct,x,alltranline5,IN,x,x=950&amp;cr=293" xr:uid="{B0CAD012-6207-47E3-B07A-2B6EF4826094}"/>
    <hyperlink ref="B829" r:id="rId414" display="https://9607261.app.netsuite.com/app/reporting/reportrunner.nl?fromreport=320&amp;regtx,tranline,kacct,x,alltranline5,IN,x,x=950&amp;cr=293" xr:uid="{731186A8-EF78-4477-BDB8-182579F5256B}"/>
    <hyperlink ref="B831" r:id="rId415" display="https://9607261.app.netsuite.com/app/reporting/reportrunner.nl?fromreport=320&amp;regtx,tranline,kacct,x,alltranline5,IN,x,x=950&amp;cr=293" xr:uid="{183AC620-D842-41CA-8D9F-2AE2920489DB}"/>
    <hyperlink ref="B833" r:id="rId416" display="https://9607261.app.netsuite.com/app/reporting/reportrunner.nl?fromreport=320&amp;regtx,tranline,kacct,x,alltranline5,IN,x,x=950&amp;cr=293" xr:uid="{929BAF9F-2431-4172-BEC7-5F8F1CAEC63C}"/>
    <hyperlink ref="B835" r:id="rId417" display="https://9607261.app.netsuite.com/app/reporting/reportrunner.nl?fromreport=320&amp;regtx,tranline,kacct,x,alltranline5,IN,x,x=950&amp;cr=293" xr:uid="{13CD0AF3-2E75-4F43-A892-C0F5D5CCECC7}"/>
    <hyperlink ref="B837" r:id="rId418" display="https://9607261.app.netsuite.com/app/reporting/reportrunner.nl?fromreport=320&amp;regtx,tranline,kacct,x,alltranline5,IN,x,x=950&amp;cr=293" xr:uid="{CF8A6B4D-53B4-4B7C-93E0-A8E424463FCE}"/>
    <hyperlink ref="B839" r:id="rId419" display="https://9607261.app.netsuite.com/app/reporting/reportrunner.nl?fromreport=320&amp;regtx,tranline,kacct,x,alltranline5,IN,x,x=950&amp;cr=293" xr:uid="{3AF3964A-5441-494D-9685-F6994EF1AF5C}"/>
    <hyperlink ref="B841" r:id="rId420" display="https://9607261.app.netsuite.com/app/reporting/reportrunner.nl?fromreport=320&amp;regtx,tranline,kacct,x,alltranline5,IN,x,x=950&amp;cr=293" xr:uid="{BF777230-ADFE-4696-9CC0-05F7A1FFE4A3}"/>
    <hyperlink ref="B843" r:id="rId421" display="https://9607261.app.netsuite.com/app/reporting/reportrunner.nl?fromreport=320&amp;regtx,tranline,kacct,x,alltranline5,IN,x,x=950&amp;cr=293" xr:uid="{DF23E1AC-8CFD-4B9A-A293-7BE63F2B8EA3}"/>
    <hyperlink ref="B845" r:id="rId422" display="https://9607261.app.netsuite.com/app/reporting/reportrunner.nl?fromreport=320&amp;regtx,tranline,kacct,x,alltranline5,IN,x,x=950&amp;cr=293" xr:uid="{31CE6170-5113-4C2E-9508-7891E54287D8}"/>
    <hyperlink ref="B847" r:id="rId423" display="https://9607261.app.netsuite.com/app/reporting/reportrunner.nl?fromreport=320&amp;regtx,tranline,kacct,x,alltranline5,IN,x,x=950&amp;cr=293" xr:uid="{D5DFEA5D-4C6D-477C-A63E-EB48155E2410}"/>
    <hyperlink ref="B849" r:id="rId424" display="https://9607261.app.netsuite.com/app/reporting/reportrunner.nl?fromreport=320&amp;regtx,tranline,kacct,x,alltranline5,IN,x,x=950&amp;cr=293" xr:uid="{EB0FDBF9-FB33-4765-A6D6-3D14D7EC7A07}"/>
    <hyperlink ref="B851" r:id="rId425" display="https://9607261.app.netsuite.com/app/reporting/reportrunner.nl?fromreport=320&amp;regtx,tranline,kacct,x,alltranline5,IN,x,x=950&amp;cr=293" xr:uid="{F9808D4C-7FF9-4FCF-B5CA-5A185900FC52}"/>
    <hyperlink ref="B853" r:id="rId426" display="https://9607261.app.netsuite.com/app/reporting/reportrunner.nl?fromreport=320&amp;regtx,tranline,kacct,x,alltranline5,IN,x,x=950&amp;cr=293" xr:uid="{29879BC1-130F-4F66-AFE0-170F4734053B}"/>
    <hyperlink ref="B855" r:id="rId427" display="https://9607261.app.netsuite.com/app/reporting/reportrunner.nl?fromreport=320&amp;regtx,tranline,kacct,x,alltranline5,IN,x,x=950&amp;cr=293" xr:uid="{01D6AE4D-7A8A-426F-9FD1-E9F4EE1218A0}"/>
    <hyperlink ref="B857" r:id="rId428" display="https://9607261.app.netsuite.com/app/reporting/reportrunner.nl?fromreport=320&amp;regtx,tranline,kacct,x,alltranline5,IN,x,x=950&amp;cr=293" xr:uid="{15066E2D-3F38-4FCF-8A72-A0ED7F6A0778}"/>
    <hyperlink ref="B859" r:id="rId429" display="https://9607261.app.netsuite.com/app/reporting/reportrunner.nl?fromreport=320&amp;regtx,tranline,kacct,x,alltranline5,IN,x,x=950&amp;cr=293" xr:uid="{1F1D4AD9-FD6D-4086-ACFF-BEA50065D520}"/>
    <hyperlink ref="B861" r:id="rId430" display="https://9607261.app.netsuite.com/app/reporting/reportrunner.nl?fromreport=320&amp;regtx,tranline,kacct,x,alltranline5,IN,x,x=950&amp;cr=293" xr:uid="{3F759693-D154-4DB1-AD1A-BBB370F67837}"/>
    <hyperlink ref="B863" r:id="rId431" display="https://9607261.app.netsuite.com/app/reporting/reportrunner.nl?fromreport=320&amp;regtx,tranline,kacct,x,alltranline5,IN,x,x=950&amp;cr=293" xr:uid="{7E9FB52D-7DF1-4778-85F5-F8E74495DC98}"/>
    <hyperlink ref="B865" r:id="rId432" display="https://9607261.app.netsuite.com/app/reporting/reportrunner.nl?fromreport=320&amp;regtx,tranline,kacct,x,alltranline5,IN,x,x=950&amp;cr=293" xr:uid="{987AC4BC-8E39-4359-9F83-54CE3E90C9FE}"/>
    <hyperlink ref="B867" r:id="rId433" display="https://9607261.app.netsuite.com/app/reporting/reportrunner.nl?fromreport=320&amp;regtx,tranline,kacct,x,alltranline5,IN,x,x=950&amp;cr=293" xr:uid="{A11E6CB4-B726-4767-9626-CC6BF8251D89}"/>
    <hyperlink ref="B869" r:id="rId434" display="https://9607261.app.netsuite.com/app/reporting/reportrunner.nl?fromreport=320&amp;regtx,tranline,kacct,x,alltranline5,IN,x,x=950&amp;cr=293" xr:uid="{5369507F-FFFD-44FC-9A95-7A592973F3B9}"/>
    <hyperlink ref="B871" r:id="rId435" display="https://9607261.app.netsuite.com/app/reporting/reportrunner.nl?fromreport=320&amp;regtx,tranline,kacct,x,alltranline5,IN,x,x=950&amp;cr=293" xr:uid="{A1A26592-C57C-4AD2-92AB-071A2A6B6CDD}"/>
    <hyperlink ref="B873" r:id="rId436" display="https://9607261.app.netsuite.com/app/reporting/reportrunner.nl?fromreport=320&amp;regtx,tranline,kacct,x,alltranline5,IN,x,x=950&amp;cr=293" xr:uid="{59EF3284-6442-4275-BBE2-66A72B279533}"/>
    <hyperlink ref="B875" r:id="rId437" display="https://9607261.app.netsuite.com/app/reporting/reportrunner.nl?fromreport=320&amp;regtx,tranline,kacct,x,alltranline5,IN,x,x=950&amp;cr=293" xr:uid="{948B0C36-9498-47B8-9F15-976DEF5B3BB7}"/>
    <hyperlink ref="B877" r:id="rId438" display="https://9607261.app.netsuite.com/app/reporting/reportrunner.nl?fromreport=320&amp;regtx,tranline,kacct,x,alltranline5,IN,x,x=950&amp;cr=293" xr:uid="{787F5B28-D2EE-4A9F-950C-CAB5DBFAA5A3}"/>
    <hyperlink ref="B879" r:id="rId439" display="https://9607261.app.netsuite.com/app/reporting/reportrunner.nl?fromreport=320&amp;regtx,tranline,kacct,x,alltranline5,IN,x,x=950&amp;cr=293" xr:uid="{C2560B51-241A-4D3F-B0F4-4DBD0881AB6F}"/>
    <hyperlink ref="B881" r:id="rId440" display="https://9607261.app.netsuite.com/app/reporting/reportrunner.nl?fromreport=320&amp;regtx,tranline,kacct,x,alltranline5,IN,x,x=950&amp;cr=293" xr:uid="{12A221E1-7E4C-4A31-9F1C-B3878A3032BD}"/>
    <hyperlink ref="B883" r:id="rId441" display="https://9607261.app.netsuite.com/app/reporting/reportrunner.nl?fromreport=320&amp;regtx,tranline,kacct,x,alltranline5,IN,x,x=950&amp;cr=293" xr:uid="{641A5A70-0C3F-4A86-B2D8-5A5C8AA99C59}"/>
    <hyperlink ref="B885" r:id="rId442" display="https://9607261.app.netsuite.com/app/reporting/reportrunner.nl?fromreport=320&amp;regtx,tranline,kacct,x,alltranline5,IN,x,x=950&amp;cr=293" xr:uid="{0C5A2EF4-6870-4BF9-9A1F-C0A1465B3AC9}"/>
    <hyperlink ref="B887" r:id="rId443" display="https://9607261.app.netsuite.com/app/reporting/reportrunner.nl?fromreport=320&amp;regtx,tranline,kacct,x,alltranline5,IN,x,x=950&amp;cr=293" xr:uid="{7BE3F2B0-2A33-4463-AE4E-671104987CD9}"/>
    <hyperlink ref="B889" r:id="rId444" display="https://9607261.app.netsuite.com/app/reporting/reportrunner.nl?fromreport=320&amp;regtx,tranline,kacct,x,alltranline5,IN,x,x=950&amp;cr=293" xr:uid="{7B5E32A8-4F06-4A8E-B09E-B223EA19633C}"/>
    <hyperlink ref="B891" r:id="rId445" display="https://9607261.app.netsuite.com/app/reporting/reportrunner.nl?fromreport=320&amp;regtx,tranline,kacct,x,alltranline5,IN,x,x=950&amp;cr=293" xr:uid="{36FCE1C6-A3CD-4F73-865E-CC87B4DE6845}"/>
    <hyperlink ref="B893" r:id="rId446" display="https://9607261.app.netsuite.com/app/reporting/reportrunner.nl?fromreport=320&amp;regtx,tranline,kacct,x,alltranline5,IN,x,x=950&amp;cr=293" xr:uid="{AD40C1E4-94C4-4D74-9109-77773E510FE1}"/>
    <hyperlink ref="B895" r:id="rId447" display="https://9607261.app.netsuite.com/app/reporting/reportrunner.nl?fromreport=320&amp;regtx,tranline,kacct,x,alltranline5,IN,x,x=950&amp;cr=293" xr:uid="{69EF34C7-9FE5-48EC-A244-4DE986EC4700}"/>
    <hyperlink ref="B897" r:id="rId448" display="https://9607261.app.netsuite.com/app/reporting/reportrunner.nl?fromreport=320&amp;regtx,tranline,kacct,x,alltranline5,IN,x,x=950&amp;cr=293" xr:uid="{9797C547-6C55-48DF-A319-D5CA3D2FFA35}"/>
    <hyperlink ref="B899" r:id="rId449" display="https://9607261.app.netsuite.com/app/reporting/reportrunner.nl?fromreport=320&amp;regtx,tranline,kacct,x,alltranline5,IN,x,x=950&amp;cr=293" xr:uid="{B9E8BB50-9B22-40BA-B4F8-4A17957C7438}"/>
    <hyperlink ref="B901" r:id="rId450" display="https://9607261.app.netsuite.com/app/reporting/reportrunner.nl?fromreport=320&amp;regtx,tranline,kacct,x,alltranline5,IN,x,x=950&amp;cr=293" xr:uid="{8164F0E2-0970-4CED-86EB-893372ACFF6F}"/>
    <hyperlink ref="B903" r:id="rId451" display="https://9607261.app.netsuite.com/app/reporting/reportrunner.nl?fromreport=320&amp;regtx,tranline,kacct,x,alltranline5,IN,x,x=950&amp;cr=293" xr:uid="{5655688B-D333-4001-85B6-44CA77D1A878}"/>
    <hyperlink ref="B905" r:id="rId452" display="https://9607261.app.netsuite.com/app/reporting/reportrunner.nl?fromreport=320&amp;regtx,tranline,kacct,x,alltranline5,IN,x,x=950&amp;cr=293" xr:uid="{F6F4DCFC-EF2F-4707-BA76-431D8DCB961C}"/>
    <hyperlink ref="B907" r:id="rId453" display="https://9607261.app.netsuite.com/app/reporting/reportrunner.nl?fromreport=320&amp;regtx,tranline,kacct,x,alltranline5,IN,x,x=950&amp;cr=293" xr:uid="{1A5A0392-62E4-4AA3-A054-60FC3F44EA14}"/>
    <hyperlink ref="B909" r:id="rId454" display="https://9607261.app.netsuite.com/app/reporting/reportrunner.nl?fromreport=320&amp;regtx,tranline,kacct,x,alltranline5,IN,x,x=950&amp;cr=293" xr:uid="{4B257DFD-B511-4DBB-BC93-0B2C0DFB68B8}"/>
    <hyperlink ref="B911" r:id="rId455" display="https://9607261.app.netsuite.com/app/reporting/reportrunner.nl?fromreport=320&amp;regtx,tranline,kacct,x,alltranline5,IN,x,x=950&amp;cr=293" xr:uid="{F3C24979-A37F-434A-8563-464BB219AD32}"/>
    <hyperlink ref="B913" r:id="rId456" display="https://9607261.app.netsuite.com/app/reporting/reportrunner.nl?fromreport=320&amp;regtx,tranline,kacct,x,alltranline5,IN,x,x=950&amp;cr=293" xr:uid="{1588A222-CB6C-431C-AD8D-4DDF74E8088D}"/>
    <hyperlink ref="B915" r:id="rId457" display="https://9607261.app.netsuite.com/app/reporting/reportrunner.nl?fromreport=320&amp;regtx,tranline,kacct,x,alltranline5,IN,x,x=950&amp;cr=293" xr:uid="{9B9E93CC-9E12-4973-80B8-8E01AFDF7D95}"/>
    <hyperlink ref="B917" r:id="rId458" display="https://9607261.app.netsuite.com/app/reporting/reportrunner.nl?fromreport=320&amp;regtx,tranline,kacct,x,alltranline5,IN,x,x=950&amp;cr=293" xr:uid="{429377CC-5FAB-4980-AFBA-03EEB944C2E5}"/>
    <hyperlink ref="B919" r:id="rId459" display="https://9607261.app.netsuite.com/app/reporting/reportrunner.nl?fromreport=320&amp;regtx,tranline,kacct,x,alltranline5,IN,x,x=950&amp;cr=293" xr:uid="{6AC4BE53-24DF-4D99-99F5-8231571A7924}"/>
    <hyperlink ref="B921" r:id="rId460" display="https://9607261.app.netsuite.com/app/reporting/reportrunner.nl?fromreport=320&amp;regtx,tranline,kacct,x,alltranline5,IN,x,x=950&amp;cr=293" xr:uid="{B2018976-FBAC-4830-9FA3-6D687E8839AC}"/>
    <hyperlink ref="B923" r:id="rId461" display="https://9607261.app.netsuite.com/app/reporting/reportrunner.nl?fromreport=320&amp;regtx,tranline,kacct,x,alltranline5,IN,x,x=950&amp;cr=293" xr:uid="{CD546017-192E-4CA9-9A6A-7544EB7C6186}"/>
    <hyperlink ref="B925" r:id="rId462" display="https://9607261.app.netsuite.com/app/reporting/reportrunner.nl?fromreport=320&amp;regtx,tranline,kacct,x,alltranline5,IN,x,x=950&amp;cr=293" xr:uid="{29CA6025-F063-4729-B6D7-DBED3DE984A0}"/>
    <hyperlink ref="B927" r:id="rId463" display="https://9607261.app.netsuite.com/app/reporting/reportrunner.nl?fromreport=320&amp;regtx,tranline,kacct,x,alltranline5,IN,x,x=950&amp;cr=293" xr:uid="{CE3F72ED-1309-4072-9FAE-7394CC9FAB79}"/>
    <hyperlink ref="B929" r:id="rId464" display="https://9607261.app.netsuite.com/app/reporting/reportrunner.nl?fromreport=320&amp;regtx,tranline,kacct,x,alltranline5,IN,x,x=950&amp;cr=293" xr:uid="{F7F026D5-37FB-4177-B921-31A2BF9EF135}"/>
    <hyperlink ref="B931" r:id="rId465" display="https://9607261.app.netsuite.com/app/reporting/reportrunner.nl?fromreport=320&amp;regtx,tranline,kacct,x,alltranline5,IN,x,x=950&amp;cr=293" xr:uid="{4D7A6210-B773-4130-BF87-5548AE330BAE}"/>
    <hyperlink ref="B933" r:id="rId466" display="https://9607261.app.netsuite.com/app/reporting/reportrunner.nl?fromreport=320&amp;regtx,tranline,kacct,x,alltranline5,IN,x,x=950&amp;cr=293" xr:uid="{6C15505F-B243-4870-8BF8-4E3A96D319FF}"/>
    <hyperlink ref="B935" r:id="rId467" display="https://9607261.app.netsuite.com/app/reporting/reportrunner.nl?fromreport=320&amp;regtx,tranline,kacct,x,alltranline5,IN,x,x=950&amp;cr=293" xr:uid="{32A108EF-0374-4FCA-A58A-028E991B8A24}"/>
    <hyperlink ref="B937" r:id="rId468" display="https://9607261.app.netsuite.com/app/reporting/reportrunner.nl?fromreport=320&amp;regtx,tranline,kacct,x,alltranline5,IN,x,x=950&amp;cr=293" xr:uid="{B8E33043-1462-449E-AA4E-92392B0B58A7}"/>
    <hyperlink ref="B939" r:id="rId469" display="https://9607261.app.netsuite.com/app/reporting/reportrunner.nl?fromreport=320&amp;regtx,tranline,kacct,x,alltranline5,IN,x,x=950&amp;cr=293" xr:uid="{80A936A3-21AC-42EA-B194-1C5974C6E8D3}"/>
    <hyperlink ref="B941" r:id="rId470" display="https://9607261.app.netsuite.com/app/reporting/reportrunner.nl?fromreport=320&amp;regtx,tranline,kacct,x,alltranline5,IN,x,x=950&amp;cr=293" xr:uid="{948664A2-CD03-451D-B4E5-F115EC2E43D1}"/>
    <hyperlink ref="B943" r:id="rId471" display="https://9607261.app.netsuite.com/app/reporting/reportrunner.nl?fromreport=320&amp;regtx,tranline,kacct,x,alltranline5,IN,x,x=950&amp;cr=293" xr:uid="{C38380D0-7623-472E-A817-277C164496D8}"/>
    <hyperlink ref="B945" r:id="rId472" display="https://9607261.app.netsuite.com/app/reporting/reportrunner.nl?fromreport=320&amp;regtx,tranline,kacct,x,alltranline5,IN,x,x=950&amp;cr=293" xr:uid="{0E3E59A3-4E12-4CD3-9CDC-5FC264945F39}"/>
    <hyperlink ref="B947" r:id="rId473" display="https://9607261.app.netsuite.com/app/reporting/reportrunner.nl?fromreport=320&amp;regtx,tranline,kacct,x,alltranline5,IN,x,x=950&amp;cr=293" xr:uid="{DBD3678E-C9C9-41E9-B3E3-FA5B19C5BE1C}"/>
    <hyperlink ref="B949" r:id="rId474" display="https://9607261.app.netsuite.com/app/reporting/reportrunner.nl?fromreport=320&amp;regtx,tranline,kacct,x,alltranline5,IN,x,x=950&amp;cr=293" xr:uid="{C46BCDE7-9A15-4164-8611-47FB404C918C}"/>
    <hyperlink ref="B951" r:id="rId475" display="https://9607261.app.netsuite.com/app/reporting/reportrunner.nl?fromreport=320&amp;regtx,tranline,kacct,x,alltranline5,IN,x,x=950&amp;cr=293" xr:uid="{7EDBBF33-DCCA-415C-B1A8-D3A55ED27065}"/>
    <hyperlink ref="B953" r:id="rId476" display="https://9607261.app.netsuite.com/app/reporting/reportrunner.nl?fromreport=320&amp;regtx,tranline,kacct,x,alltranline5,IN,x,x=950&amp;cr=293" xr:uid="{A13506A1-09EC-4BE0-8D75-F7E8BFA1E65E}"/>
    <hyperlink ref="B955" r:id="rId477" display="https://9607261.app.netsuite.com/app/reporting/reportrunner.nl?fromreport=320&amp;regtx,tranline,kacct,x,alltranline5,IN,x,x=950&amp;cr=293" xr:uid="{7ABB1B16-2C15-4FAE-8751-239D2262BF8F}"/>
    <hyperlink ref="B957" r:id="rId478" display="https://9607261.app.netsuite.com/app/reporting/reportrunner.nl?fromreport=320&amp;regtx,tranline,kacct,x,alltranline5,IN,x,x=950&amp;cr=293" xr:uid="{E560D813-D92E-4CC5-B358-F03FDCDB38D2}"/>
    <hyperlink ref="B959" r:id="rId479" display="https://9607261.app.netsuite.com/app/reporting/reportrunner.nl?fromreport=320&amp;regtx,tranline,kacct,x,alltranline5,IN,x,x=950&amp;cr=293" xr:uid="{C86F002F-CF8A-481D-B929-96FB2C09E64E}"/>
    <hyperlink ref="B961" r:id="rId480" display="https://9607261.app.netsuite.com/app/reporting/reportrunner.nl?fromreport=320&amp;regtx,tranline,kacct,x,alltranline5,IN,x,x=950&amp;cr=293" xr:uid="{2D9C36B5-1D7E-4160-B378-4776CCE93578}"/>
    <hyperlink ref="B963" r:id="rId481" display="https://9607261.app.netsuite.com/app/reporting/reportrunner.nl?fromreport=320&amp;regtx,tranline,kacct,x,alltranline5,IN,x,x=950&amp;cr=293" xr:uid="{BA78CED8-10CE-48E7-959A-A4000E5B49FF}"/>
    <hyperlink ref="B965" r:id="rId482" display="https://9607261.app.netsuite.com/app/reporting/reportrunner.nl?fromreport=320&amp;regtx,tranline,kacct,x,alltranline5,IN,x,x=950&amp;cr=293" xr:uid="{97153A2B-E1C6-4074-B92F-9234D751E517}"/>
    <hyperlink ref="B967" r:id="rId483" display="https://9607261.app.netsuite.com/app/reporting/reportrunner.nl?fromreport=320&amp;regtx,tranline,kacct,x,alltranline5,IN,x,x=950&amp;cr=293" xr:uid="{DFD570A4-73BC-488E-9E63-28BD5CF7FFAD}"/>
    <hyperlink ref="B969" r:id="rId484" display="https://9607261.app.netsuite.com/app/reporting/reportrunner.nl?fromreport=320&amp;regtx,tranline,kacct,x,alltranline5,IN,x,x=950&amp;cr=293" xr:uid="{91A27B65-CD93-4BD0-A0CC-9A23CA8C5423}"/>
    <hyperlink ref="B971" r:id="rId485" display="https://9607261.app.netsuite.com/app/reporting/reportrunner.nl?fromreport=320&amp;regtx,tranline,kacct,x,alltranline5,IN,x,x=950&amp;cr=293" xr:uid="{10057C7A-B16C-4BBB-A3FC-9C1550E530A5}"/>
    <hyperlink ref="B973" r:id="rId486" display="https://9607261.app.netsuite.com/app/reporting/reportrunner.nl?fromreport=320&amp;regtx,tranline,kacct,x,alltranline5,IN,x,x=950&amp;cr=293" xr:uid="{B12DCA02-F543-4A81-B322-68059A3BC637}"/>
    <hyperlink ref="B975" r:id="rId487" display="https://9607261.app.netsuite.com/app/reporting/reportrunner.nl?fromreport=320&amp;regtx,tranline,kacct,x,alltranline5,IN,x,x=950&amp;cr=293" xr:uid="{67925395-94C5-4E0E-83EB-18F15D482951}"/>
    <hyperlink ref="B977" r:id="rId488" display="https://9607261.app.netsuite.com/app/reporting/reportrunner.nl?fromreport=320&amp;regtx,tranline,kacct,x,alltranline5,IN,x,x=950&amp;cr=293" xr:uid="{DEA8372D-623A-4979-A9D6-903776083854}"/>
    <hyperlink ref="B979" r:id="rId489" display="https://9607261.app.netsuite.com/app/reporting/reportrunner.nl?fromreport=320&amp;regtx,tranline,kacct,x,alltranline5,IN,x,x=950&amp;cr=293" xr:uid="{A25BD9C1-2942-469A-928C-28EE550691B4}"/>
    <hyperlink ref="B981" r:id="rId490" display="https://9607261.app.netsuite.com/app/reporting/reportrunner.nl?fromreport=320&amp;regtx,tranline,kacct,x,alltranline5,IN,x,x=950&amp;cr=293" xr:uid="{CBA3449B-8684-4F60-8E98-409A13A305AE}"/>
    <hyperlink ref="B983" r:id="rId491" display="https://9607261.app.netsuite.com/app/reporting/reportrunner.nl?fromreport=320&amp;regtx,tranline,kacct,x,alltranline5,IN,x,x=950&amp;cr=293" xr:uid="{5ED9FDCE-50AC-4A9D-8ED2-D5E90768757B}"/>
    <hyperlink ref="B985" r:id="rId492" display="https://9607261.app.netsuite.com/app/reporting/reportrunner.nl?fromreport=320&amp;regtx,tranline,kacct,x,alltranline5,IN,x,x=950&amp;cr=293" xr:uid="{CE57E37E-63E7-47F7-9C5E-D76FEB0F73DC}"/>
    <hyperlink ref="B987" r:id="rId493" display="https://9607261.app.netsuite.com/app/reporting/reportrunner.nl?fromreport=320&amp;regtx,tranline,kacct,x,alltranline5,IN,x,x=950&amp;cr=293" xr:uid="{B7A90F42-DA75-48CD-A8EB-8E28F3571019}"/>
    <hyperlink ref="B989" r:id="rId494" display="https://9607261.app.netsuite.com/app/reporting/reportrunner.nl?fromreport=320&amp;regtx,tranline,kacct,x,alltranline5,IN,x,x=950&amp;cr=293" xr:uid="{62280829-D498-4521-BCE6-7D0BA44BECFA}"/>
    <hyperlink ref="B991" r:id="rId495" display="https://9607261.app.netsuite.com/app/reporting/reportrunner.nl?fromreport=320&amp;regtx,tranline,kacct,x,alltranline5,IN,x,x=950&amp;cr=293" xr:uid="{2C6B1FAB-9E6B-4151-A6CD-A21BFB18F2F5}"/>
    <hyperlink ref="B993" r:id="rId496" display="https://9607261.app.netsuite.com/app/reporting/reportrunner.nl?fromreport=320&amp;regtx,tranline,kacct,x,alltranline5,IN,x,x=950&amp;cr=293" xr:uid="{6A4ABFFE-F894-4CCC-9457-632BF7921B68}"/>
    <hyperlink ref="B995" r:id="rId497" display="https://9607261.app.netsuite.com/app/reporting/reportrunner.nl?fromreport=320&amp;regtx,tranline,kacct,x,alltranline5,IN,x,x=950&amp;cr=293" xr:uid="{BA384599-AB4E-42A3-84C3-D8DB10D08ED3}"/>
    <hyperlink ref="B997" r:id="rId498" display="https://9607261.app.netsuite.com/app/reporting/reportrunner.nl?fromreport=320&amp;regtx,tranline,kacct,x,alltranline5,IN,x,x=950&amp;cr=293" xr:uid="{78128E05-71EF-4CD8-A2E3-F764F9EE7518}"/>
    <hyperlink ref="B999" r:id="rId499" display="https://9607261.app.netsuite.com/app/reporting/reportrunner.nl?fromreport=320&amp;regtx,tranline,kacct,x,alltranline5,IN,x,x=950&amp;cr=293" xr:uid="{6795644C-D3AC-4CD1-9C8D-64D8F7E123FB}"/>
    <hyperlink ref="B1001" r:id="rId500" display="https://9607261.app.netsuite.com/app/reporting/reportrunner.nl?fromreport=320&amp;regtx,tranline,kacct,x,alltranline5,IN,x,x=950&amp;cr=293" xr:uid="{EECDE4D2-8F1C-413B-8CBB-26882F30CE3D}"/>
    <hyperlink ref="B1003" r:id="rId501" display="https://9607261.app.netsuite.com/app/reporting/reportrunner.nl?fromreport=320&amp;regtx,tranline,kacct,x,alltranline5,IN,x,x=950&amp;cr=293" xr:uid="{FD037B8A-AA57-437D-B09D-25C48C770316}"/>
    <hyperlink ref="B1005" r:id="rId502" display="https://9607261.app.netsuite.com/app/reporting/reportrunner.nl?fromreport=320&amp;regtx,tranline,kacct,x,alltranline5,IN,x,x=950&amp;cr=293" xr:uid="{657B9074-138E-4225-B0FB-9AD6FAECC40B}"/>
    <hyperlink ref="B1007" r:id="rId503" display="https://9607261.app.netsuite.com/app/reporting/reportrunner.nl?fromreport=320&amp;regtx,tranline,kacct,x,alltranline5,IN,x,x=950&amp;cr=293" xr:uid="{4E0544A8-FE36-4FE2-A54A-3D1B51EAFF58}"/>
    <hyperlink ref="B1009" r:id="rId504" display="https://9607261.app.netsuite.com/app/reporting/reportrunner.nl?fromreport=320&amp;regtx,tranline,kacct,x,alltranline5,IN,x,x=950&amp;cr=293" xr:uid="{B53EB8BC-236E-4C89-B1B1-F2F329E4DE94}"/>
    <hyperlink ref="B1011" r:id="rId505" display="https://9607261.app.netsuite.com/app/reporting/reportrunner.nl?fromreport=320&amp;regtx,tranline,kacct,x,alltranline5,IN,x,x=950&amp;cr=293" xr:uid="{09CE0B26-6721-4861-94FA-F50CBBD640A2}"/>
    <hyperlink ref="B1013" r:id="rId506" display="https://9607261.app.netsuite.com/app/reporting/reportrunner.nl?fromreport=320&amp;regtx,tranline,kacct,x,alltranline5,IN,x,x=950&amp;cr=293" xr:uid="{85CBCC99-DF66-48CE-AFB4-7B6D8734629A}"/>
    <hyperlink ref="B1015" r:id="rId507" display="https://9607261.app.netsuite.com/app/reporting/reportrunner.nl?fromreport=320&amp;regtx,tranline,kacct,x,alltranline5,IN,x,x=950&amp;cr=293" xr:uid="{04003E6F-A209-4541-91C5-31B6CDC1FD00}"/>
    <hyperlink ref="B1017" r:id="rId508" display="https://9607261.app.netsuite.com/app/reporting/reportrunner.nl?fromreport=320&amp;regtx,tranline,kacct,x,alltranline5,IN,x,x=950&amp;cr=293" xr:uid="{EF003D8D-C556-4B64-B067-7C747E0F8E58}"/>
    <hyperlink ref="B1019" r:id="rId509" display="https://9607261.app.netsuite.com/app/reporting/reportrunner.nl?fromreport=320&amp;regtx,tranline,kacct,x,alltranline5,IN,x,x=950&amp;cr=293" xr:uid="{A5F24494-B2F6-4448-9664-E0838DEAE59F}"/>
    <hyperlink ref="B1021" r:id="rId510" display="https://9607261.app.netsuite.com/app/reporting/reportrunner.nl?fromreport=320&amp;regtx,tranline,kacct,x,alltranline5,IN,x,x=950&amp;cr=293" xr:uid="{1935B421-5ECE-46EF-BB9B-87870D6156C6}"/>
    <hyperlink ref="B1023" r:id="rId511" display="https://9607261.app.netsuite.com/app/reporting/reportrunner.nl?fromreport=320&amp;regtx,tranline,kacct,x,alltranline5,IN,x,x=950&amp;cr=293" xr:uid="{1C99C19A-189C-4802-AC0B-9EA071EEBF07}"/>
    <hyperlink ref="B1025" r:id="rId512" display="https://9607261.app.netsuite.com/app/reporting/reportrunner.nl?fromreport=320&amp;regtx,tranline,kacct,x,alltranline5,IN,x,x=950&amp;cr=293" xr:uid="{0842B9F4-0F1B-4DBD-AEA1-E51726CE88CC}"/>
    <hyperlink ref="B1027" r:id="rId513" display="https://9607261.app.netsuite.com/app/reporting/reportrunner.nl?fromreport=320&amp;regtx,tranline,kacct,x,alltranline5,IN,x,x=950&amp;cr=293" xr:uid="{90D14A6D-D164-4361-AFE8-6C1CCC979A20}"/>
    <hyperlink ref="B1029" r:id="rId514" display="https://9607261.app.netsuite.com/app/reporting/reportrunner.nl?fromreport=320&amp;regtx,tranline,kacct,x,alltranline5,IN,x,x=950&amp;cr=293" xr:uid="{DBDCDCC8-8CD3-4426-B278-AFFE3ABB600C}"/>
    <hyperlink ref="B1031" r:id="rId515" display="https://9607261.app.netsuite.com/app/reporting/reportrunner.nl?fromreport=320&amp;regtx,tranline,kacct,x,alltranline5,IN,x,x=950&amp;cr=293" xr:uid="{C5BC5277-C696-496D-BDC2-8268E02508E4}"/>
    <hyperlink ref="B1033" r:id="rId516" display="https://9607261.app.netsuite.com/app/reporting/reportrunner.nl?fromreport=320&amp;regtx,tranline,kacct,x,alltranline5,IN,x,x=950&amp;cr=293" xr:uid="{D76BE38C-A740-40D1-BF44-2617E2E8EFDD}"/>
    <hyperlink ref="B1035" r:id="rId517" display="https://9607261.app.netsuite.com/app/reporting/reportrunner.nl?fromreport=320&amp;regtx,tranline,kacct,x,alltranline5,IN,x,x=950&amp;cr=293" xr:uid="{C4FC015B-6BC3-4117-8104-A83C04E3D635}"/>
    <hyperlink ref="B1037" r:id="rId518" display="https://9607261.app.netsuite.com/app/reporting/reportrunner.nl?fromreport=320&amp;regtx,tranline,kacct,x,alltranline5,IN,x,x=950&amp;cr=293" xr:uid="{94945215-1483-4E34-8C0F-EC9A0296C3D9}"/>
    <hyperlink ref="B1039" r:id="rId519" display="https://9607261.app.netsuite.com/app/reporting/reportrunner.nl?fromreport=320&amp;regtx,tranline,kacct,x,alltranline5,IN,x,x=950&amp;cr=293" xr:uid="{8EA9130D-1D85-4FB6-97E5-9322E45F1678}"/>
    <hyperlink ref="B1041" r:id="rId520" display="https://9607261.app.netsuite.com/app/reporting/reportrunner.nl?fromreport=320&amp;regtx,tranline,kacct,x,alltranline5,IN,x,x=950&amp;cr=293" xr:uid="{04F79147-28C7-4E47-A1A6-977AFE93C96C}"/>
    <hyperlink ref="B1043" r:id="rId521" display="https://9607261.app.netsuite.com/app/reporting/reportrunner.nl?fromreport=320&amp;regtx,tranline,kacct,x,alltranline5,IN,x,x=950&amp;cr=293" xr:uid="{29446370-2FDD-402F-9B82-1415930BAA66}"/>
    <hyperlink ref="B1045" r:id="rId522" display="https://9607261.app.netsuite.com/app/reporting/reportrunner.nl?fromreport=320&amp;regtx,tranline,kacct,x,alltranline5,IN,x,x=950&amp;cr=293" xr:uid="{260E2F11-67D3-4F03-9819-A5300D5D62C4}"/>
    <hyperlink ref="B1047" r:id="rId523" display="https://9607261.app.netsuite.com/app/reporting/reportrunner.nl?fromreport=320&amp;regtx,tranline,kacct,x,alltranline5,IN,x,x=950&amp;cr=293" xr:uid="{420DC517-A983-4BA7-B92A-E9D281BFB4C5}"/>
    <hyperlink ref="B1049" r:id="rId524" display="https://9607261.app.netsuite.com/app/reporting/reportrunner.nl?fromreport=320&amp;regtx,tranline,kacct,x,alltranline5,IN,x,x=950&amp;cr=293" xr:uid="{E3E3CA06-36B5-43A6-B4B8-910132E281C0}"/>
    <hyperlink ref="B1051" r:id="rId525" display="https://9607261.app.netsuite.com/app/reporting/reportrunner.nl?fromreport=320&amp;regtx,tranline,kacct,x,alltranline5,IN,x,x=950&amp;cr=293" xr:uid="{BBFC06AC-662E-46A2-AC96-CE4C6BC0C257}"/>
    <hyperlink ref="B1053" r:id="rId526" display="https://9607261.app.netsuite.com/app/reporting/reportrunner.nl?fromreport=320&amp;regtx,tranline,kacct,x,alltranline5,IN,x,x=950&amp;cr=293" xr:uid="{14B57D8C-06FC-4901-B610-CED349D5A2F5}"/>
    <hyperlink ref="B1055" r:id="rId527" display="https://9607261.app.netsuite.com/app/reporting/reportrunner.nl?fromreport=320&amp;regtx,tranline,kacct,x,alltranline5,IN,x,x=950&amp;cr=293" xr:uid="{9A2EB777-7794-4A8F-AD13-D0120BBC1023}"/>
    <hyperlink ref="B1057" r:id="rId528" display="https://9607261.app.netsuite.com/app/reporting/reportrunner.nl?fromreport=320&amp;regtx,tranline,kacct,x,alltranline5,IN,x,x=950&amp;cr=293" xr:uid="{B67E9CB7-C82C-447C-A57E-BF44E4F58B93}"/>
    <hyperlink ref="B1059" r:id="rId529" display="https://9607261.app.netsuite.com/app/reporting/reportrunner.nl?fromreport=320&amp;regtx,tranline,kacct,x,alltranline5,IN,x,x=950&amp;cr=293" xr:uid="{DEC6F038-A29B-4AD1-8C32-FCAF0C63DDC3}"/>
    <hyperlink ref="B1061" r:id="rId530" display="https://9607261.app.netsuite.com/app/reporting/reportrunner.nl?fromreport=320&amp;regtx,tranline,kacct,x,alltranline5,IN,x,x=950&amp;cr=293" xr:uid="{99DF11C0-81BB-4628-BB02-BD4CBCA1EEED}"/>
    <hyperlink ref="B1063" r:id="rId531" display="https://9607261.app.netsuite.com/app/reporting/reportrunner.nl?fromreport=320&amp;regtx,tranline,kacct,x,alltranline5,IN,x,x=950&amp;cr=293" xr:uid="{03C1B6B9-876D-48E5-B4BD-43D09498E68E}"/>
    <hyperlink ref="B1065" r:id="rId532" display="https://9607261.app.netsuite.com/app/reporting/reportrunner.nl?fromreport=320&amp;regtx,tranline,kacct,x,alltranline5,IN,x,x=950&amp;cr=293" xr:uid="{943AF685-401D-4A40-9180-F5DD938973DA}"/>
    <hyperlink ref="B1067" r:id="rId533" display="https://9607261.app.netsuite.com/app/reporting/reportrunner.nl?fromreport=320&amp;regtx,tranline,kacct,x,alltranline5,IN,x,x=950&amp;cr=293" xr:uid="{8146BFCA-7C29-4D14-BB4D-26F0691BF502}"/>
    <hyperlink ref="B1069" r:id="rId534" display="https://9607261.app.netsuite.com/app/reporting/reportrunner.nl?fromreport=320&amp;regtx,tranline,kacct,x,alltranline5,IN,x,x=950&amp;cr=293" xr:uid="{7465B2F0-E890-4F46-92C4-3341D8361CCF}"/>
    <hyperlink ref="B1071" r:id="rId535" display="https://9607261.app.netsuite.com/app/reporting/reportrunner.nl?fromreport=320&amp;regtx,tranline,kacct,x,alltranline5,IN,x,x=950&amp;cr=293" xr:uid="{87380899-9783-4EAE-9FC1-45ECD6427BD8}"/>
    <hyperlink ref="B1073" r:id="rId536" display="https://9607261.app.netsuite.com/app/reporting/reportrunner.nl?fromreport=320&amp;regtx,tranline,kacct,x,alltranline5,IN,x,x=950&amp;cr=293" xr:uid="{B103C758-C2A8-4ABE-BA97-F834BC874889}"/>
    <hyperlink ref="B1075" r:id="rId537" display="https://9607261.app.netsuite.com/app/reporting/reportrunner.nl?fromreport=320&amp;regtx,tranline,kacct,x,alltranline5,IN,x,x=950&amp;cr=293" xr:uid="{BDA4B297-B2C6-42BE-8F4C-64F428A743EE}"/>
    <hyperlink ref="B1077" r:id="rId538" display="https://9607261.app.netsuite.com/app/reporting/reportrunner.nl?fromreport=320&amp;regtx,tranline,kacct,x,alltranline5,IN,x,x=950&amp;cr=293" xr:uid="{9F3C7835-0D0C-483C-9663-1C40632F3E5D}"/>
    <hyperlink ref="B1079" r:id="rId539" display="https://9607261.app.netsuite.com/app/reporting/reportrunner.nl?fromreport=320&amp;regtx,tranline,kacct,x,alltranline5,IN,x,x=950&amp;cr=293" xr:uid="{4EE78750-73D6-49E7-BE23-D3BB34047C41}"/>
    <hyperlink ref="B1081" r:id="rId540" display="https://9607261.app.netsuite.com/app/reporting/reportrunner.nl?fromreport=320&amp;regtx,tranline,kacct,x,alltranline5,IN,x,x=950&amp;cr=293" xr:uid="{9F2B5C4A-0E01-49C5-AC4B-5C171938CE53}"/>
    <hyperlink ref="B1083" r:id="rId541" display="https://9607261.app.netsuite.com/app/reporting/reportrunner.nl?fromreport=320&amp;regtx,tranline,kacct,x,alltranline5,IN,x,x=950&amp;cr=293" xr:uid="{E7B36231-A2FF-48D9-B3D5-F389C7AE7736}"/>
    <hyperlink ref="B1085" r:id="rId542" display="https://9607261.app.netsuite.com/app/reporting/reportrunner.nl?fromreport=320&amp;regtx,tranline,kacct,x,alltranline5,IN,x,x=950&amp;cr=293" xr:uid="{F0E391EB-AD8A-4440-959F-CD5AE936721B}"/>
    <hyperlink ref="B1087" r:id="rId543" display="https://9607261.app.netsuite.com/app/reporting/reportrunner.nl?fromreport=320&amp;regtx,tranline,kacct,x,alltranline5,IN,x,x=950&amp;cr=293" xr:uid="{D1F91012-6F70-44C6-B632-82BC85D6A84D}"/>
    <hyperlink ref="B1089" r:id="rId544" display="https://9607261.app.netsuite.com/app/reporting/reportrunner.nl?fromreport=320&amp;regtx,tranline,kacct,x,alltranline5,IN,x,x=950&amp;cr=293" xr:uid="{DF77BA4D-9ACA-45F6-A7BD-25134BF0AD75}"/>
    <hyperlink ref="B1091" r:id="rId545" display="https://9607261.app.netsuite.com/app/reporting/reportrunner.nl?fromreport=320&amp;regtx,tranline,kacct,x,alltranline5,IN,x,x=950&amp;cr=293" xr:uid="{99F0F9AE-C1A1-42E7-80F1-CE8A2D4B38AB}"/>
    <hyperlink ref="B1093" r:id="rId546" display="https://9607261.app.netsuite.com/app/reporting/reportrunner.nl?fromreport=320&amp;regtx,tranline,kacct,x,alltranline5,IN,x,x=950&amp;cr=293" xr:uid="{31B27FF7-C40C-4CBD-990A-2610BD96F777}"/>
    <hyperlink ref="B1095" r:id="rId547" display="https://9607261.app.netsuite.com/app/reporting/reportrunner.nl?fromreport=320&amp;regtx,tranline,kacct,x,alltranline5,IN,x,x=950&amp;cr=293" xr:uid="{E6A7A2CF-800C-4A9D-83AA-E97436FEAB9A}"/>
    <hyperlink ref="B1097" r:id="rId548" display="https://9607261.app.netsuite.com/app/reporting/reportrunner.nl?fromreport=320&amp;regtx,tranline,kacct,x,alltranline5,IN,x,x=950&amp;cr=293" xr:uid="{C46F6647-34B0-47E5-AD0B-4BBC8024FCF5}"/>
    <hyperlink ref="B1099" r:id="rId549" display="https://9607261.app.netsuite.com/app/reporting/reportrunner.nl?fromreport=320&amp;regtx,tranline,kacct,x,alltranline5,IN,x,x=950&amp;cr=293" xr:uid="{E1D96DE3-AC6B-47B8-8AEF-C32DBD32E0C5}"/>
    <hyperlink ref="B1101" r:id="rId550" display="https://9607261.app.netsuite.com/app/reporting/reportrunner.nl?fromreport=320&amp;regtx,tranline,kacct,x,alltranline5,IN,x,x=950&amp;cr=293" xr:uid="{EEB7D3C4-45B0-4E52-B062-096A6444682D}"/>
    <hyperlink ref="B1103" r:id="rId551" display="https://9607261.app.netsuite.com/app/reporting/reportrunner.nl?fromreport=320&amp;regtx,tranline,kacct,x,alltranline5,IN,x,x=950&amp;cr=293" xr:uid="{C70F48EE-3179-43C7-A645-6651620E6894}"/>
    <hyperlink ref="B1105" r:id="rId552" display="https://9607261.app.netsuite.com/app/reporting/reportrunner.nl?fromreport=320&amp;regtx,tranline,kacct,x,alltranline5,IN,x,x=950&amp;cr=293" xr:uid="{C7726B7B-9E2D-49DC-AEA1-ECD7693FEFEF}"/>
    <hyperlink ref="B1107" r:id="rId553" display="https://9607261.app.netsuite.com/app/reporting/reportrunner.nl?fromreport=320&amp;regtx,tranline,kacct,x,alltranline5,IN,x,x=950&amp;cr=293" xr:uid="{FA4808D3-1380-464F-9AD9-2C6D4E7C61D1}"/>
    <hyperlink ref="B1109" r:id="rId554" display="https://9607261.app.netsuite.com/app/reporting/reportrunner.nl?fromreport=320&amp;regtx,tranline,kacct,x,alltranline5,IN,x,x=950&amp;cr=293" xr:uid="{AE94D1D1-76DF-4E0C-9FAE-47D11184CA87}"/>
    <hyperlink ref="B1111" r:id="rId555" display="https://9607261.app.netsuite.com/app/reporting/reportrunner.nl?fromreport=320&amp;regtx,tranline,kacct,x,alltranline5,IN,x,x=950&amp;cr=293" xr:uid="{207DCE47-B00B-4F50-A2ED-48161200E710}"/>
    <hyperlink ref="B1113" r:id="rId556" display="https://9607261.app.netsuite.com/app/reporting/reportrunner.nl?fromreport=320&amp;regtx,tranline,kacct,x,alltranline5,IN,x,x=950&amp;cr=293" xr:uid="{751F9A26-5ECA-419F-A3E4-158A2548DFFB}"/>
    <hyperlink ref="B1115" r:id="rId557" display="https://9607261.app.netsuite.com/app/reporting/reportrunner.nl?fromreport=320&amp;regtx,tranline,kacct,x,alltranline5,IN,x,x=950&amp;cr=293" xr:uid="{279E7D1A-26D4-40A2-8966-6DEFDC5B5554}"/>
    <hyperlink ref="B1117" r:id="rId558" display="https://9607261.app.netsuite.com/app/reporting/reportrunner.nl?fromreport=320&amp;regtx,tranline,kacct,x,alltranline5,IN,x,x=950&amp;cr=293" xr:uid="{E09C9355-B314-4165-B75D-D254C585F684}"/>
    <hyperlink ref="B1119" r:id="rId559" display="https://9607261.app.netsuite.com/app/reporting/reportrunner.nl?fromreport=320&amp;regtx,tranline,kacct,x,alltranline5,IN,x,x=950&amp;cr=293" xr:uid="{6784B571-CE2A-488A-B442-ECB688408096}"/>
    <hyperlink ref="B1121" r:id="rId560" display="https://9607261.app.netsuite.com/app/reporting/reportrunner.nl?fromreport=320&amp;regtx,tranline,kacct,x,alltranline5,IN,x,x=950&amp;cr=293" xr:uid="{2C421561-1787-429D-A233-9E44762DCA03}"/>
    <hyperlink ref="B1123" r:id="rId561" display="https://9607261.app.netsuite.com/app/reporting/reportrunner.nl?fromreport=320&amp;regtx,tranline,kacct,x,alltranline5,IN,x,x=950&amp;cr=293" xr:uid="{5CB7173A-08E3-4349-AE71-783EAAF61D54}"/>
    <hyperlink ref="B1125" r:id="rId562" display="https://9607261.app.netsuite.com/app/reporting/reportrunner.nl?fromreport=320&amp;regtx,tranline,kacct,x,alltranline5,IN,x,x=950&amp;cr=293" xr:uid="{65EB6DFC-765A-4CE9-95E0-FF6BAB17946C}"/>
    <hyperlink ref="B1127" r:id="rId563" display="https://9607261.app.netsuite.com/app/reporting/reportrunner.nl?fromreport=320&amp;regtx,tranline,kacct,x,alltranline5,IN,x,x=950&amp;cr=293" xr:uid="{2C96FE00-8BAC-4F60-BC67-5DD215E1D61C}"/>
    <hyperlink ref="B1129" r:id="rId564" display="https://9607261.app.netsuite.com/app/reporting/reportrunner.nl?fromreport=320&amp;regtx,tranline,kacct,x,alltranline5,IN,x,x=950&amp;cr=293" xr:uid="{A5CFED9F-2D7C-4A32-BBC9-D459BF8F7FAD}"/>
    <hyperlink ref="B1131" r:id="rId565" display="https://9607261.app.netsuite.com/app/reporting/reportrunner.nl?fromreport=320&amp;regtx,tranline,kacct,x,alltranline5,IN,x,x=950&amp;cr=293" xr:uid="{A221EDBB-70CF-4F04-9E7D-C93CD4086ECB}"/>
    <hyperlink ref="B1133" r:id="rId566" display="https://9607261.app.netsuite.com/app/reporting/reportrunner.nl?fromreport=320&amp;regtx,tranline,kacct,x,alltranline5,IN,x,x=950&amp;cr=293" xr:uid="{560B253A-3167-4480-BD5E-1175E65A9297}"/>
    <hyperlink ref="B1135" r:id="rId567" display="https://9607261.app.netsuite.com/app/reporting/reportrunner.nl?fromreport=320&amp;regtx,tranline,kacct,x,alltranline5,IN,x,x=950&amp;cr=293" xr:uid="{98964318-0564-400D-BB96-9C157EFC9133}"/>
    <hyperlink ref="B1137" r:id="rId568" display="https://9607261.app.netsuite.com/app/reporting/reportrunner.nl?fromreport=320&amp;regtx,tranline,kacct,x,alltranline5,IN,x,x=950&amp;cr=293" xr:uid="{CAAA0700-EC8E-49A2-A5FF-BC1AA6274C14}"/>
    <hyperlink ref="B1139" r:id="rId569" display="https://9607261.app.netsuite.com/app/reporting/reportrunner.nl?fromreport=320&amp;regtx,tranline,kacct,x,alltranline5,IN,x,x=950&amp;cr=293" xr:uid="{73A69DE3-23B5-43B4-A868-C1BEA5F9559A}"/>
    <hyperlink ref="B1141" r:id="rId570" display="https://9607261.app.netsuite.com/app/reporting/reportrunner.nl?fromreport=320&amp;regtx,tranline,kacct,x,alltranline5,IN,x,x=950&amp;cr=293" xr:uid="{55C690C1-5B47-48D6-850B-BD8D8F7BB499}"/>
    <hyperlink ref="B1143" r:id="rId571" display="https://9607261.app.netsuite.com/app/reporting/reportrunner.nl?fromreport=320&amp;regtx,tranline,kacct,x,alltranline5,IN,x,x=950&amp;cr=293" xr:uid="{09E2145D-6825-46D9-9FF5-47EC727940C0}"/>
    <hyperlink ref="B1145" r:id="rId572" display="https://9607261.app.netsuite.com/app/reporting/reportrunner.nl?fromreport=320&amp;regtx,tranline,kacct,x,alltranline5,IN,x,x=950&amp;cr=293" xr:uid="{82E61B93-24FA-4C8C-8C8D-82479AB547CD}"/>
    <hyperlink ref="B1147" r:id="rId573" display="https://9607261.app.netsuite.com/app/reporting/reportrunner.nl?fromreport=320&amp;regtx,tranline,kacct,x,alltranline5,IN,x,x=950&amp;cr=293" xr:uid="{B95EE741-2163-4126-8B55-1B0B41B36CF7}"/>
    <hyperlink ref="B1149" r:id="rId574" display="https://9607261.app.netsuite.com/app/reporting/reportrunner.nl?fromreport=320&amp;regtx,tranline,kacct,x,alltranline5,IN,x,x=950&amp;cr=293" xr:uid="{05C1EA7F-43EE-4F58-80A0-27D3874714C2}"/>
    <hyperlink ref="B1151" r:id="rId575" display="https://9607261.app.netsuite.com/app/reporting/reportrunner.nl?fromreport=320&amp;regtx,tranline,kacct,x,alltranline5,IN,x,x=950&amp;cr=293" xr:uid="{6242C29D-19C0-45D7-98A2-BB94EEC383FE}"/>
    <hyperlink ref="B1153" r:id="rId576" display="https://9607261.app.netsuite.com/app/reporting/reportrunner.nl?fromreport=320&amp;regtx,tranline,kacct,x,alltranline5,IN,x,x=950&amp;cr=293" xr:uid="{BB411C89-1C3F-40E2-91A8-13D05228043D}"/>
    <hyperlink ref="B1155" r:id="rId577" display="https://9607261.app.netsuite.com/app/reporting/reportrunner.nl?fromreport=320&amp;regtx,tranline,kacct,x,alltranline5,IN,x,x=950&amp;cr=293" xr:uid="{DE6F0B28-13A8-4E94-B8B1-A50C47FA15BC}"/>
    <hyperlink ref="B1157" r:id="rId578" display="https://9607261.app.netsuite.com/app/reporting/reportrunner.nl?fromreport=320&amp;regtx,tranline,kacct,x,alltranline5,IN,x,x=950&amp;cr=293" xr:uid="{A984E015-A6C3-47E0-8656-AD2C6607DAD2}"/>
    <hyperlink ref="B1159" r:id="rId579" display="https://9607261.app.netsuite.com/app/reporting/reportrunner.nl?fromreport=320&amp;regtx,tranline,kacct,x,alltranline5,IN,x,x=950&amp;cr=293" xr:uid="{6CDBD79B-226C-4221-A735-586E7D45655B}"/>
    <hyperlink ref="B1161" r:id="rId580" display="https://9607261.app.netsuite.com/app/reporting/reportrunner.nl?fromreport=320&amp;regtx,tranline,kacct,x,alltranline5,IN,x,x=950&amp;cr=293" xr:uid="{B53033F1-D182-46C0-B92C-FC9DC1245CB0}"/>
    <hyperlink ref="B1163" r:id="rId581" display="https://9607261.app.netsuite.com/app/reporting/reportrunner.nl?fromreport=320&amp;regtx,tranline,kacct,x,alltranline5,IN,x,x=950&amp;cr=293" xr:uid="{0C2A38C3-F714-420B-A853-0F992270D9A8}"/>
    <hyperlink ref="B1165" r:id="rId582" display="https://9607261.app.netsuite.com/app/reporting/reportrunner.nl?fromreport=320&amp;regtx,tranline,kacct,x,alltranline5,IN,x,x=950&amp;cr=293" xr:uid="{953CA1F7-F4FA-4711-AAB6-922E8D0C34C5}"/>
    <hyperlink ref="B1167" r:id="rId583" display="https://9607261.app.netsuite.com/app/reporting/reportrunner.nl?fromreport=320&amp;regtx,tranline,kacct,x,alltranline5,IN,x,x=950&amp;cr=293" xr:uid="{BB2DB59A-0727-4E88-9F93-65BE62B1FEAC}"/>
    <hyperlink ref="B1169" r:id="rId584" display="https://9607261.app.netsuite.com/app/reporting/reportrunner.nl?fromreport=320&amp;regtx,tranline,kacct,x,alltranline5,IN,x,x=950&amp;cr=293" xr:uid="{544345AD-907E-4936-967E-BFCDE0926A84}"/>
    <hyperlink ref="B1171" r:id="rId585" display="https://9607261.app.netsuite.com/app/reporting/reportrunner.nl?fromreport=320&amp;regtx,tranline,kacct,x,alltranline5,IN,x,x=950&amp;cr=293" xr:uid="{97002E33-E5C3-4ED3-8771-577C3B113C61}"/>
    <hyperlink ref="B1173" r:id="rId586" display="https://9607261.app.netsuite.com/app/reporting/reportrunner.nl?fromreport=320&amp;regtx,tranline,kacct,x,alltranline5,IN,x,x=950&amp;cr=293" xr:uid="{755F7CED-38D6-407D-8D1C-2C61065FECB9}"/>
    <hyperlink ref="B1175" r:id="rId587" display="https://9607261.app.netsuite.com/app/reporting/reportrunner.nl?fromreport=320&amp;regtx,tranline,kacct,x,alltranline5,IN,x,x=950&amp;cr=293" xr:uid="{5758B779-F982-4E2B-911A-DF5DAFE648D5}"/>
    <hyperlink ref="B1177" r:id="rId588" display="https://9607261.app.netsuite.com/app/reporting/reportrunner.nl?fromreport=320&amp;regtx,tranline,kacct,x,alltranline5,IN,x,x=950&amp;cr=293" xr:uid="{94755B98-EE05-4F7E-B6BB-B8EFC0B3199F}"/>
    <hyperlink ref="B1179" r:id="rId589" display="https://9607261.app.netsuite.com/app/reporting/reportrunner.nl?fromreport=320&amp;regtx,tranline,kacct,x,alltranline5,IN,x,x=950&amp;cr=293" xr:uid="{CEC7AD9E-5733-4B79-9717-338C16E8B438}"/>
    <hyperlink ref="B1181" r:id="rId590" display="https://9607261.app.netsuite.com/app/reporting/reportrunner.nl?fromreport=320&amp;regtx,tranline,kacct,x,alltranline5,IN,x,x=950&amp;cr=293" xr:uid="{04AE32CC-A0D7-4583-BED0-15DC55D66075}"/>
    <hyperlink ref="B1183" r:id="rId591" display="https://9607261.app.netsuite.com/app/reporting/reportrunner.nl?fromreport=320&amp;regtx,tranline,kacct,x,alltranline5,IN,x,x=950&amp;cr=293" xr:uid="{FC28E077-6F4A-41EB-B5ED-E893DCAC5A55}"/>
    <hyperlink ref="B1185" r:id="rId592" display="https://9607261.app.netsuite.com/app/reporting/reportrunner.nl?fromreport=320&amp;regtx,tranline,kacct,x,alltranline5,IN,x,x=950&amp;cr=293" xr:uid="{570B614B-FEB8-4000-9F34-15D89F097E5E}"/>
    <hyperlink ref="B1187" r:id="rId593" display="https://9607261.app.netsuite.com/app/reporting/reportrunner.nl?fromreport=320&amp;regtx,tranline,kacct,x,alltranline5,IN,x,x=950&amp;cr=293" xr:uid="{CB9C9747-8FE1-4694-840D-1ECA746FD3BD}"/>
    <hyperlink ref="B1189" r:id="rId594" display="https://9607261.app.netsuite.com/app/reporting/reportrunner.nl?fromreport=320&amp;regtx,tranline,kacct,x,alltranline5,IN,x,x=950&amp;cr=293" xr:uid="{BEC984E5-C239-4D62-A686-EFEB0BB54CA3}"/>
    <hyperlink ref="B1191" r:id="rId595" display="https://9607261.app.netsuite.com/app/reporting/reportrunner.nl?fromreport=320&amp;regtx,tranline,kacct,x,alltranline5,IN,x,x=950&amp;cr=293" xr:uid="{0A116EAF-1669-441E-A95F-A4AE516E7D83}"/>
    <hyperlink ref="B1193" r:id="rId596" display="https://9607261.app.netsuite.com/app/reporting/reportrunner.nl?fromreport=320&amp;regtx,tranline,kacct,x,alltranline5,IN,x,x=950&amp;cr=293" xr:uid="{3E23203A-9AF5-4530-AAC7-D43F3465A7EF}"/>
    <hyperlink ref="B1195" r:id="rId597" display="https://9607261.app.netsuite.com/app/reporting/reportrunner.nl?fromreport=320&amp;regtx,tranline,kacct,x,alltranline5,IN,x,x=950&amp;cr=293" xr:uid="{B6B8ADBA-6A21-49A0-A5F9-6012BAD98D3B}"/>
    <hyperlink ref="B1197" r:id="rId598" display="https://9607261.app.netsuite.com/app/reporting/reportrunner.nl?fromreport=320&amp;regtx,tranline,kacct,x,alltranline5,IN,x,x=950&amp;cr=293" xr:uid="{FB9B569A-FB9E-48A1-9F2B-5DDD01FB3C88}"/>
    <hyperlink ref="B1199" r:id="rId599" display="https://9607261.app.netsuite.com/app/reporting/reportrunner.nl?fromreport=320&amp;regtx,tranline,kacct,x,alltranline5,IN,x,x=950&amp;cr=293" xr:uid="{42C5E4D9-B2E4-4CE1-9F57-AC2583360187}"/>
    <hyperlink ref="B1201" r:id="rId600" display="https://9607261.app.netsuite.com/app/reporting/reportrunner.nl?fromreport=320&amp;regtx,tranline,kacct,x,alltranline5,IN,x,x=950&amp;cr=293" xr:uid="{84B1165F-A035-4325-A0F1-B58EC1C0EF48}"/>
    <hyperlink ref="B1203" r:id="rId601" display="https://9607261.app.netsuite.com/app/reporting/reportrunner.nl?fromreport=320&amp;regtx,tranline,kacct,x,alltranline5,IN,x,x=950&amp;cr=293" xr:uid="{9B0FCC9D-C0B6-4377-AC18-C389B9C17504}"/>
    <hyperlink ref="B1205" r:id="rId602" display="https://9607261.app.netsuite.com/app/reporting/reportrunner.nl?fromreport=320&amp;regtx,tranline,kacct,x,alltranline5,IN,x,x=950&amp;cr=293" xr:uid="{520E9CB1-04B3-4858-BE15-9A9129799086}"/>
    <hyperlink ref="B1207" r:id="rId603" display="https://9607261.app.netsuite.com/app/reporting/reportrunner.nl?fromreport=320&amp;regtx,tranline,kacct,x,alltranline5,IN,x,x=950&amp;cr=293" xr:uid="{45150353-8B4E-4B37-8F41-9CB0FDED3CB5}"/>
    <hyperlink ref="B1209" r:id="rId604" display="https://9607261.app.netsuite.com/app/reporting/reportrunner.nl?fromreport=320&amp;regtx,tranline,kacct,x,alltranline5,IN,x,x=950&amp;cr=293" xr:uid="{F78EEB6E-5E73-4162-BF37-71528D4866A6}"/>
    <hyperlink ref="B1211" r:id="rId605" display="https://9607261.app.netsuite.com/app/reporting/reportrunner.nl?fromreport=320&amp;regtx,tranline,kacct,x,alltranline5,IN,x,x=950&amp;cr=293" xr:uid="{DA637735-5778-4F0A-8A1F-8989F8D0511C}"/>
    <hyperlink ref="B1213" r:id="rId606" display="https://9607261.app.netsuite.com/app/reporting/reportrunner.nl?fromreport=320&amp;regtx,tranline,kacct,x,alltranline5,IN,x,x=950&amp;cr=293" xr:uid="{DD238C8A-64EA-4FF6-9668-0BD40FA4CD02}"/>
    <hyperlink ref="B1215" r:id="rId607" display="https://9607261.app.netsuite.com/app/reporting/reportrunner.nl?fromreport=320&amp;regtx,tranline,kacct,x,alltranline5,IN,x,x=950&amp;cr=293" xr:uid="{C5061BA2-5D5A-4FD5-9546-CD6948CAEF99}"/>
    <hyperlink ref="B1217" r:id="rId608" display="https://9607261.app.netsuite.com/app/reporting/reportrunner.nl?fromreport=320&amp;regtx,tranline,kacct,x,alltranline5,IN,x,x=950&amp;cr=293" xr:uid="{DA093B5D-1CC6-451D-BE1F-B7ADB0ABC76A}"/>
    <hyperlink ref="B1219" r:id="rId609" display="https://9607261.app.netsuite.com/app/reporting/reportrunner.nl?fromreport=320&amp;regtx,tranline,kacct,x,alltranline5,IN,x,x=950&amp;cr=293" xr:uid="{CD006CA8-95AF-49EB-AB7A-9E8564345EF6}"/>
    <hyperlink ref="B1221" r:id="rId610" display="https://9607261.app.netsuite.com/app/reporting/reportrunner.nl?fromreport=320&amp;regtx,tranline,kacct,x,alltranline5,IN,x,x=950&amp;cr=293" xr:uid="{58C7C5F8-680B-4088-97C7-D97D9E5495E3}"/>
    <hyperlink ref="B1223" r:id="rId611" display="https://9607261.app.netsuite.com/app/reporting/reportrunner.nl?fromreport=320&amp;regtx,tranline,kacct,x,alltranline5,IN,x,x=950&amp;cr=293" xr:uid="{489C2C46-E8C7-4981-A264-6D2D00DB340B}"/>
    <hyperlink ref="B1225" r:id="rId612" display="https://9607261.app.netsuite.com/app/reporting/reportrunner.nl?fromreport=320&amp;regtx,tranline,kacct,x,alltranline5,IN,x,x=950&amp;cr=293" xr:uid="{6724662B-BA10-4F4E-9CA8-5190CDDF18CC}"/>
    <hyperlink ref="B1227" r:id="rId613" display="https://9607261.app.netsuite.com/app/reporting/reportrunner.nl?fromreport=320&amp;regtx,tranline,kacct,x,alltranline5,IN,x,x=950&amp;cr=293" xr:uid="{EBB44260-4559-4BB7-9830-7408AEA80FB1}"/>
    <hyperlink ref="B1229" r:id="rId614" display="https://9607261.app.netsuite.com/app/reporting/reportrunner.nl?fromreport=320&amp;regtx,tranline,kacct,x,alltranline5,IN,x,x=950&amp;cr=293" xr:uid="{CBA91270-7B4C-460E-84BC-0923597749FC}"/>
    <hyperlink ref="B1231" r:id="rId615" display="https://9607261.app.netsuite.com/app/reporting/reportrunner.nl?fromreport=320&amp;regtx,tranline,kacct,x,alltranline5,IN,x,x=950&amp;cr=293" xr:uid="{A6588B7B-F209-4EE4-AAD0-21AE762B89A2}"/>
    <hyperlink ref="B1233" r:id="rId616" display="https://9607261.app.netsuite.com/app/reporting/reportrunner.nl?fromreport=320&amp;regtx,tranline,kacct,x,alltranline5,IN,x,x=950&amp;cr=293" xr:uid="{7A266B15-0FDE-4344-802C-CA2BDE8E6F44}"/>
    <hyperlink ref="B1235" r:id="rId617" display="https://9607261.app.netsuite.com/app/reporting/reportrunner.nl?fromreport=320&amp;regtx,tranline,kacct,x,alltranline5,IN,x,x=950&amp;cr=293" xr:uid="{20066441-78D6-4E41-93CA-C12E77691873}"/>
    <hyperlink ref="B1237" r:id="rId618" display="https://9607261.app.netsuite.com/app/reporting/reportrunner.nl?fromreport=320&amp;regtx,tranline,kacct,x,alltranline5,IN,x,x=950&amp;cr=293" xr:uid="{70040DCE-8B5F-40AB-9C25-B4D03B966511}"/>
    <hyperlink ref="B1239" r:id="rId619" display="https://9607261.app.netsuite.com/app/reporting/reportrunner.nl?fromreport=320&amp;regtx,tranline,kacct,x,alltranline5,IN,x,x=950&amp;cr=293" xr:uid="{D1CFABBD-CB9A-45C9-AE57-B527B9D86BC6}"/>
    <hyperlink ref="B1241" r:id="rId620" display="https://9607261.app.netsuite.com/app/reporting/reportrunner.nl?fromreport=320&amp;regtx,tranline,kacct,x,alltranline5,IN,x,x=950&amp;cr=293" xr:uid="{E20E32FB-4CF9-4332-AA1C-C6F82F6399E1}"/>
    <hyperlink ref="B1243" r:id="rId621" display="https://9607261.app.netsuite.com/app/reporting/reportrunner.nl?fromreport=320&amp;regtx,tranline,kacct,x,alltranline5,IN,x,x=950&amp;cr=293" xr:uid="{3C4A46C1-2B3C-461E-9092-44A024D74D49}"/>
    <hyperlink ref="B1245" r:id="rId622" display="https://9607261.app.netsuite.com/app/reporting/reportrunner.nl?fromreport=320&amp;regtx,tranline,kacct,x,alltranline5,IN,x,x=950&amp;cr=293" xr:uid="{9AA8A32B-FF82-4AE1-A836-6DF963C67C97}"/>
    <hyperlink ref="B1247" r:id="rId623" display="https://9607261.app.netsuite.com/app/reporting/reportrunner.nl?fromreport=320&amp;regtx,tranline,kacct,x,alltranline5,IN,x,x=950&amp;cr=293" xr:uid="{33436ED5-CD13-4EF7-970F-E0904EAC13AE}"/>
    <hyperlink ref="B1249" r:id="rId624" display="https://9607261.app.netsuite.com/app/reporting/reportrunner.nl?fromreport=320&amp;regtx,tranline,kacct,x,alltranline5,IN,x,x=950&amp;cr=293" xr:uid="{65D02135-4C5E-4635-984C-D540FD5D02F1}"/>
    <hyperlink ref="B1251" r:id="rId625" display="https://9607261.app.netsuite.com/app/reporting/reportrunner.nl?fromreport=320&amp;regtx,tranline,kacct,x,alltranline5,IN,x,x=950&amp;cr=293" xr:uid="{E1643F78-6430-4776-951B-E68570F69A13}"/>
    <hyperlink ref="B1253" r:id="rId626" display="https://9607261.app.netsuite.com/app/reporting/reportrunner.nl?fromreport=320&amp;regtx,tranline,kacct,x,alltranline5,IN,x,x=950&amp;cr=293" xr:uid="{108699D1-AFD9-43F0-BE86-4B11832E8ED0}"/>
    <hyperlink ref="B1255" r:id="rId627" display="https://9607261.app.netsuite.com/app/reporting/reportrunner.nl?fromreport=320&amp;regtx,tranline,kacct,x,alltranline5,IN,x,x=950&amp;cr=293" xr:uid="{3E4D8BFB-E3BD-45D9-BC1E-CDC012DA6E73}"/>
    <hyperlink ref="B1257" r:id="rId628" display="https://9607261.app.netsuite.com/app/reporting/reportrunner.nl?fromreport=320&amp;regtx,tranline,kacct,x,alltranline5,IN,x,x=950&amp;cr=293" xr:uid="{B0C4B4B2-0E67-4281-9134-45878422C85C}"/>
    <hyperlink ref="B1259" r:id="rId629" display="https://9607261.app.netsuite.com/app/reporting/reportrunner.nl?fromreport=320&amp;regtx,tranline,kacct,x,alltranline5,IN,x,x=950&amp;cr=293" xr:uid="{0F110557-75B1-4178-8F95-6C3605AD7743}"/>
    <hyperlink ref="B1261" r:id="rId630" display="https://9607261.app.netsuite.com/app/reporting/reportrunner.nl?fromreport=320&amp;regtx,tranline,kacct,x,alltranline5,IN,x,x=950&amp;cr=293" xr:uid="{38657226-3805-41DB-9CAF-44AE1B4E6949}"/>
    <hyperlink ref="B1263" r:id="rId631" display="https://9607261.app.netsuite.com/app/reporting/reportrunner.nl?fromreport=320&amp;regtx,tranline,kacct,x,alltranline5,IN,x,x=950&amp;cr=293" xr:uid="{BCE5C5EE-089F-4062-B7BD-F28E100EBEF9}"/>
    <hyperlink ref="B1265" r:id="rId632" display="https://9607261.app.netsuite.com/app/reporting/reportrunner.nl?fromreport=320&amp;regtx,tranline,kacct,x,alltranline5,IN,x,x=950&amp;cr=293" xr:uid="{F309A726-BCB2-4FCE-ABFA-DF743B2C1186}"/>
    <hyperlink ref="B1267" r:id="rId633" display="https://9607261.app.netsuite.com/app/reporting/reportrunner.nl?fromreport=320&amp;regtx,tranline,kacct,x,alltranline5,IN,x,x=950&amp;cr=293" xr:uid="{3AF01E84-250D-456F-BC69-3D706BCCB820}"/>
    <hyperlink ref="B1269" r:id="rId634" display="https://9607261.app.netsuite.com/app/reporting/reportrunner.nl?fromreport=320&amp;regtx,tranline,kacct,x,alltranline5,IN,x,x=950&amp;cr=293" xr:uid="{5B48FCC0-F049-4854-9039-7ED737AE97AB}"/>
    <hyperlink ref="B1271" r:id="rId635" display="https://9607261.app.netsuite.com/app/reporting/reportrunner.nl?fromreport=320&amp;regtx,tranline,kacct,x,alltranline5,IN,x,x=950&amp;cr=293" xr:uid="{18F3F90B-2A58-48DB-AE85-E1781E2483EA}"/>
    <hyperlink ref="B1273" r:id="rId636" display="https://9607261.app.netsuite.com/app/reporting/reportrunner.nl?fromreport=320&amp;regtx,tranline,kacct,x,alltranline5,IN,x,x=950&amp;cr=293" xr:uid="{FE13CB1D-D6A8-4ABA-A089-949993C29833}"/>
    <hyperlink ref="B1275" r:id="rId637" display="https://9607261.app.netsuite.com/app/reporting/reportrunner.nl?fromreport=320&amp;regtx,tranline,kacct,x,alltranline5,IN,x,x=950&amp;cr=293" xr:uid="{AC3F7084-1B92-4FD0-A0C0-4C7CB8329E3F}"/>
    <hyperlink ref="B1277" r:id="rId638" display="https://9607261.app.netsuite.com/app/reporting/reportrunner.nl?fromreport=320&amp;regtx,tranline,kacct,x,alltranline5,IN,x,x=950&amp;cr=293" xr:uid="{8CB9AFD8-DB5B-4786-8B1D-5791AFF4135B}"/>
    <hyperlink ref="B1279" r:id="rId639" display="https://9607261.app.netsuite.com/app/reporting/reportrunner.nl?fromreport=320&amp;regtx,tranline,kacct,x,alltranline5,IN,x,x=950&amp;cr=293" xr:uid="{9A3E99FA-1283-4BEC-8B6E-6A9FE403FCCE}"/>
    <hyperlink ref="B1281" r:id="rId640" display="https://9607261.app.netsuite.com/app/reporting/reportrunner.nl?fromreport=320&amp;regtx,tranline,kacct,x,alltranline5,IN,x,x=950&amp;cr=293" xr:uid="{144963D7-9136-4628-9F42-CF0310E2E8B6}"/>
    <hyperlink ref="B1283" r:id="rId641" display="https://9607261.app.netsuite.com/app/reporting/reportrunner.nl?fromreport=320&amp;regtx,tranline,kacct,x,alltranline5,IN,x,x=950&amp;cr=293" xr:uid="{4ABE7116-04AD-4463-BA99-394C75431FA8}"/>
    <hyperlink ref="B1285" r:id="rId642" display="https://9607261.app.netsuite.com/app/reporting/reportrunner.nl?fromreport=320&amp;regtx,tranline,kacct,x,alltranline5,IN,x,x=950&amp;cr=293" xr:uid="{BEB829C5-0FD2-4088-AD61-01CED031C044}"/>
    <hyperlink ref="B1287" r:id="rId643" display="https://9607261.app.netsuite.com/app/reporting/reportrunner.nl?fromreport=320&amp;regtx,tranline,kacct,x,alltranline5,IN,x,x=950&amp;cr=293" xr:uid="{F8C7520C-B792-4DD8-8D46-374667A764D7}"/>
    <hyperlink ref="B1289" r:id="rId644" display="https://9607261.app.netsuite.com/app/reporting/reportrunner.nl?fromreport=320&amp;regtx,tranline,kacct,x,alltranline5,IN,x,x=950&amp;cr=293" xr:uid="{16C36DCD-677C-4040-8754-DDF716BC3C15}"/>
    <hyperlink ref="B1291" r:id="rId645" display="https://9607261.app.netsuite.com/app/reporting/reportrunner.nl?fromreport=320&amp;regtx,tranline,kacct,x,alltranline5,IN,x,x=950&amp;cr=293" xr:uid="{7787077A-EA56-40B8-9D52-86842F5AE338}"/>
    <hyperlink ref="B1293" r:id="rId646" display="https://9607261.app.netsuite.com/app/reporting/reportrunner.nl?fromreport=320&amp;regtx,tranline,kacct,x,alltranline5,IN,x,x=950&amp;cr=293" xr:uid="{70F07407-BD9D-47DE-BA7F-165B3E4776AE}"/>
    <hyperlink ref="B1295" r:id="rId647" display="https://9607261.app.netsuite.com/app/reporting/reportrunner.nl?fromreport=320&amp;regtx,tranline,kacct,x,alltranline5,IN,x,x=950&amp;cr=293" xr:uid="{A2F05104-238D-40E9-9E24-917EEAB34BAE}"/>
    <hyperlink ref="B1297" r:id="rId648" display="https://9607261.app.netsuite.com/app/reporting/reportrunner.nl?fromreport=320&amp;regtx,tranline,kacct,x,alltranline5,IN,x,x=950&amp;cr=293" xr:uid="{F8527399-F59C-4C7F-B35D-4EC7DCD8B43F}"/>
    <hyperlink ref="B1299" r:id="rId649" display="https://9607261.app.netsuite.com/app/reporting/reportrunner.nl?fromreport=320&amp;regtx,tranline,kacct,x,alltranline5,IN,x,x=950&amp;cr=293" xr:uid="{0C9F9074-2684-4DC4-9BA4-8CA62B62077B}"/>
    <hyperlink ref="B1301" r:id="rId650" display="https://9607261.app.netsuite.com/app/reporting/reportrunner.nl?fromreport=320&amp;regtx,tranline,kacct,x,alltranline5,IN,x,x=950&amp;cr=293" xr:uid="{00B5AE43-372B-45A6-AFE6-A90936808F92}"/>
    <hyperlink ref="B1303" r:id="rId651" display="https://9607261.app.netsuite.com/app/reporting/reportrunner.nl?fromreport=320&amp;regtx,tranline,kacct,x,alltranline5,IN,x,x=950&amp;cr=293" xr:uid="{C2B0EA38-7C70-4167-80C0-678046FBEEE8}"/>
    <hyperlink ref="B1305" r:id="rId652" display="https://9607261.app.netsuite.com/app/reporting/reportrunner.nl?fromreport=320&amp;regtx,tranline,kacct,x,alltranline5,IN,x,x=950&amp;cr=293" xr:uid="{77E5A87F-2BFE-4868-9CF8-6F9A6AD48636}"/>
    <hyperlink ref="B1307" r:id="rId653" display="https://9607261.app.netsuite.com/app/reporting/reportrunner.nl?fromreport=320&amp;regtx,tranline,kacct,x,alltranline5,IN,x,x=950&amp;cr=293" xr:uid="{980D21B5-B94E-4423-813D-022A46A8B88B}"/>
    <hyperlink ref="B1309" r:id="rId654" display="https://9607261.app.netsuite.com/app/reporting/reportrunner.nl?fromreport=320&amp;regtx,tranline,kacct,x,alltranline5,IN,x,x=950&amp;cr=293" xr:uid="{2E2830F0-E3A8-44B0-A8FB-1C4331FCD360}"/>
    <hyperlink ref="B1311" r:id="rId655" display="https://9607261.app.netsuite.com/app/reporting/reportrunner.nl?fromreport=320&amp;regtx,tranline,kacct,x,alltranline5,IN,x,x=950&amp;cr=293" xr:uid="{DE508F2B-A1F1-4896-AE6D-EAC7BBA15B72}"/>
    <hyperlink ref="B1313" r:id="rId656" display="https://9607261.app.netsuite.com/app/reporting/reportrunner.nl?fromreport=320&amp;regtx,tranline,kacct,x,alltranline5,IN,x,x=950&amp;cr=293" xr:uid="{F4857879-F0A7-494D-9278-B1DCDD427A8D}"/>
    <hyperlink ref="B1315" r:id="rId657" display="https://9607261.app.netsuite.com/app/reporting/reportrunner.nl?fromreport=320&amp;regtx,tranline,kacct,x,alltranline5,IN,x,x=950&amp;cr=293" xr:uid="{9EB3A4D4-DE90-412B-9C1A-3A175BED0987}"/>
    <hyperlink ref="B1317" r:id="rId658" display="https://9607261.app.netsuite.com/app/reporting/reportrunner.nl?fromreport=320&amp;regtx,tranline,kacct,x,alltranline5,IN,x,x=950&amp;cr=293" xr:uid="{5685D017-B8E0-413B-A42A-935C80E7734D}"/>
    <hyperlink ref="B1319" r:id="rId659" display="https://9607261.app.netsuite.com/app/reporting/reportrunner.nl?fromreport=320&amp;regtx,tranline,kacct,x,alltranline5,IN,x,x=950&amp;cr=293" xr:uid="{F0168814-A706-48FC-B3B8-096E80A793C8}"/>
    <hyperlink ref="B1321" r:id="rId660" display="https://9607261.app.netsuite.com/app/reporting/reportrunner.nl?fromreport=320&amp;regtx,tranline,kacct,x,alltranline5,IN,x,x=950&amp;cr=293" xr:uid="{2B40C237-1801-4D68-A131-8317986132E1}"/>
    <hyperlink ref="B1323" r:id="rId661" display="https://9607261.app.netsuite.com/app/reporting/reportrunner.nl?fromreport=320&amp;regtx,tranline,kacct,x,alltranline5,IN,x,x=950&amp;cr=293" xr:uid="{7E4F0C4A-3B3D-4CB6-B351-284F1BFDC374}"/>
    <hyperlink ref="B1325" r:id="rId662" display="https://9607261.app.netsuite.com/app/reporting/reportrunner.nl?fromreport=320&amp;regtx,tranline,kacct,x,alltranline5,IN,x,x=950&amp;cr=293" xr:uid="{24A80354-D553-4149-87D9-6052B8E89D05}"/>
    <hyperlink ref="B1327" r:id="rId663" display="https://9607261.app.netsuite.com/app/reporting/reportrunner.nl?fromreport=320&amp;regtx,tranline,kacct,x,alltranline5,IN,x,x=950&amp;cr=293" xr:uid="{8B216DBA-98F6-4AFB-AAE8-7FFADBBB8A14}"/>
    <hyperlink ref="B1329" r:id="rId664" display="https://9607261.app.netsuite.com/app/reporting/reportrunner.nl?fromreport=320&amp;regtx,tranline,kacct,x,alltranline5,IN,x,x=950&amp;cr=293" xr:uid="{71C8C48A-DB0E-4CEA-A717-C63DCCFE3DA8}"/>
    <hyperlink ref="B1331" r:id="rId665" display="https://9607261.app.netsuite.com/app/reporting/reportrunner.nl?fromreport=320&amp;regtx,tranline,kacct,x,alltranline5,IN,x,x=950&amp;cr=293" xr:uid="{7C4ED3EF-C337-4474-81DF-2676883A06D2}"/>
    <hyperlink ref="B1333" r:id="rId666" display="https://9607261.app.netsuite.com/app/reporting/reportrunner.nl?fromreport=320&amp;regtx,tranline,kacct,x,alltranline5,IN,x,x=950&amp;cr=293" xr:uid="{3E619C54-B9CF-4D45-BA6F-27B4F357F84C}"/>
    <hyperlink ref="B1335" r:id="rId667" display="https://9607261.app.netsuite.com/app/reporting/reportrunner.nl?fromreport=320&amp;regtx,tranline,kacct,x,alltranline5,IN,x,x=950&amp;cr=293" xr:uid="{BBFAD109-484D-4B60-87FA-715A2BC46642}"/>
    <hyperlink ref="B1337" r:id="rId668" display="https://9607261.app.netsuite.com/app/reporting/reportrunner.nl?fromreport=320&amp;regtx,tranline,kacct,x,alltranline5,IN,x,x=950&amp;cr=293" xr:uid="{5B1FC278-2EFF-45F1-BAE7-10BB5E46F5C2}"/>
    <hyperlink ref="B1339" r:id="rId669" display="https://9607261.app.netsuite.com/app/reporting/reportrunner.nl?fromreport=320&amp;regtx,tranline,kacct,x,alltranline5,IN,x,x=950&amp;cr=293" xr:uid="{AC75133B-11AA-4EFE-8AFB-B4BF4D3EDBB1}"/>
    <hyperlink ref="B1341" r:id="rId670" display="https://9607261.app.netsuite.com/app/reporting/reportrunner.nl?fromreport=320&amp;regtx,tranline,kacct,x,alltranline5,IN,x,x=950&amp;cr=293" xr:uid="{DCAF40AF-8DFE-4877-8266-21DFEB9E8413}"/>
    <hyperlink ref="B1343" r:id="rId671" display="https://9607261.app.netsuite.com/app/reporting/reportrunner.nl?fromreport=320&amp;regtx,tranline,kacct,x,alltranline5,IN,x,x=950&amp;cr=293" xr:uid="{407304BE-60CF-4731-BF87-57BBD5D0ED7F}"/>
    <hyperlink ref="B1345" r:id="rId672" display="https://9607261.app.netsuite.com/app/reporting/reportrunner.nl?fromreport=320&amp;regtx,tranline,kacct,x,alltranline5,IN,x,x=950&amp;cr=293" xr:uid="{A9530B90-E226-4AB1-8540-869AFF51A024}"/>
    <hyperlink ref="B1347" r:id="rId673" display="https://9607261.app.netsuite.com/app/reporting/reportrunner.nl?fromreport=320&amp;regtx,tranline,kacct,x,alltranline5,IN,x,x=950&amp;cr=293" xr:uid="{9A4D28C4-449E-4CA2-9DED-C3DFB1D655BB}"/>
    <hyperlink ref="B1349" r:id="rId674" display="https://9607261.app.netsuite.com/app/reporting/reportrunner.nl?fromreport=320&amp;regtx,tranline,kacct,x,alltranline5,IN,x,x=950&amp;cr=293" xr:uid="{51C749D4-D419-4F0A-BDED-488C5CB4F57B}"/>
    <hyperlink ref="B1351" r:id="rId675" display="https://9607261.app.netsuite.com/app/reporting/reportrunner.nl?fromreport=320&amp;regtx,tranline,kacct,x,alltranline5,IN,x,x=950&amp;cr=293" xr:uid="{B6585BA2-855F-489C-96F0-0EFD3989E27A}"/>
    <hyperlink ref="B1353" r:id="rId676" display="https://9607261.app.netsuite.com/app/reporting/reportrunner.nl?fromreport=320&amp;regtx,tranline,kacct,x,alltranline5,IN,x,x=950&amp;cr=293" xr:uid="{F54E1A14-C045-40DF-A3A7-D7824B9467FC}"/>
    <hyperlink ref="B1355" r:id="rId677" display="https://9607261.app.netsuite.com/app/reporting/reportrunner.nl?fromreport=320&amp;regtx,tranline,kacct,x,alltranline5,IN,x,x=950&amp;cr=293" xr:uid="{DAEC1743-9643-49AC-9737-C0B7E0E06D8C}"/>
    <hyperlink ref="B1357" r:id="rId678" display="https://9607261.app.netsuite.com/app/reporting/reportrunner.nl?fromreport=320&amp;regtx,tranline,kacct,x,alltranline5,IN,x,x=950&amp;cr=293" xr:uid="{95D11EB7-F31B-48C8-B8EF-ED4E4AFE5A4B}"/>
    <hyperlink ref="B1359" r:id="rId679" display="https://9607261.app.netsuite.com/app/reporting/reportrunner.nl?fromreport=320&amp;regtx,tranline,kacct,x,alltranline5,IN,x,x=950&amp;cr=293" xr:uid="{C51300AC-87EB-45FC-8764-C0AD465C3C30}"/>
    <hyperlink ref="B1361" r:id="rId680" display="https://9607261.app.netsuite.com/app/reporting/reportrunner.nl?fromreport=320&amp;regtx,tranline,kacct,x,alltranline5,IN,x,x=950&amp;cr=293" xr:uid="{680C187E-E671-43D9-A61E-8C99EA7FE966}"/>
    <hyperlink ref="B1363" r:id="rId681" display="https://9607261.app.netsuite.com/app/reporting/reportrunner.nl?fromreport=320&amp;regtx,tranline,kacct,x,alltranline5,IN,x,x=950&amp;cr=293" xr:uid="{80D26AC5-30CC-49DF-A180-2CFFC1B555EB}"/>
    <hyperlink ref="B1365" r:id="rId682" display="https://9607261.app.netsuite.com/app/reporting/reportrunner.nl?fromreport=320&amp;regtx,tranline,kacct,x,alltranline5,IN,x,x=950&amp;cr=293" xr:uid="{3114D69D-751D-4BE0-B4F4-C24F377125EB}"/>
    <hyperlink ref="B1367" r:id="rId683" display="https://9607261.app.netsuite.com/app/reporting/reportrunner.nl?fromreport=320&amp;regtx,tranline,kacct,x,alltranline5,IN,x,x=950&amp;cr=293" xr:uid="{17CB406A-948A-4ED1-A44F-80A283B8F012}"/>
    <hyperlink ref="B1369" r:id="rId684" display="https://9607261.app.netsuite.com/app/reporting/reportrunner.nl?fromreport=320&amp;regtx,tranline,kacct,x,alltranline5,IN,x,x=950&amp;cr=293" xr:uid="{331DE136-069B-43D9-BB0A-11D3D6A31D1B}"/>
    <hyperlink ref="B1371" r:id="rId685" display="https://9607261.app.netsuite.com/app/reporting/reportrunner.nl?fromreport=320&amp;regtx,tranline,kacct,x,alltranline5,IN,x,x=950&amp;cr=293" xr:uid="{29F4B48A-5D76-4FE2-B201-0CE35A961C70}"/>
    <hyperlink ref="B1373" r:id="rId686" display="https://9607261.app.netsuite.com/app/reporting/reportrunner.nl?fromreport=320&amp;regtx,tranline,kacct,x,alltranline5,IN,x,x=950&amp;cr=293" xr:uid="{A717DF15-ADCB-4C59-B623-A356093597A6}"/>
    <hyperlink ref="B1375" r:id="rId687" display="https://9607261.app.netsuite.com/app/reporting/reportrunner.nl?fromreport=320&amp;regtx,tranline,kacct,x,alltranline5,IN,x,x=950&amp;cr=293" xr:uid="{7B428AF0-4801-4C29-A962-AE7C24BB7AA6}"/>
    <hyperlink ref="B1377" r:id="rId688" display="https://9607261.app.netsuite.com/app/reporting/reportrunner.nl?fromreport=320&amp;regtx,tranline,kacct,x,alltranline5,IN,x,x=950&amp;cr=293" xr:uid="{16FC76C0-7FE8-44B9-9F71-7BBDC1920986}"/>
    <hyperlink ref="B1379" r:id="rId689" display="https://9607261.app.netsuite.com/app/reporting/reportrunner.nl?fromreport=320&amp;regtx,tranline,kacct,x,alltranline5,IN,x,x=950&amp;cr=293" xr:uid="{9C920FD7-7F5F-4281-B791-86270BCB00D2}"/>
    <hyperlink ref="B1381" r:id="rId690" display="https://9607261.app.netsuite.com/app/reporting/reportrunner.nl?fromreport=320&amp;regtx,tranline,kacct,x,alltranline5,IN,x,x=950&amp;cr=293" xr:uid="{CC04E8C3-2A7E-4862-A04A-99364DCA1D4A}"/>
    <hyperlink ref="B1383" r:id="rId691" display="https://9607261.app.netsuite.com/app/reporting/reportrunner.nl?fromreport=320&amp;regtx,tranline,kacct,x,alltranline5,IN,x,x=950&amp;cr=293" xr:uid="{11779A73-C092-4D1C-BC7F-C1CAD66A6F58}"/>
    <hyperlink ref="B1385" r:id="rId692" display="https://9607261.app.netsuite.com/app/reporting/reportrunner.nl?fromreport=320&amp;regtx,tranline,kacct,x,alltranline5,IN,x,x=950&amp;cr=293" xr:uid="{5A6A09D2-CBAC-40DF-A569-27FD19423D08}"/>
    <hyperlink ref="B1387" r:id="rId693" display="https://9607261.app.netsuite.com/app/reporting/reportrunner.nl?fromreport=320&amp;regtx,tranline,kacct,x,alltranline5,IN,x,x=950&amp;cr=293" xr:uid="{3514832F-BF34-4AB8-966A-227078D2137E}"/>
    <hyperlink ref="B1389" r:id="rId694" display="https://9607261.app.netsuite.com/app/reporting/reportrunner.nl?fromreport=320&amp;regtx,tranline,kacct,x,alltranline5,IN,x,x=950&amp;cr=293" xr:uid="{8D4E355E-7E45-43D4-A0B2-DF3B7E9D6EF6}"/>
    <hyperlink ref="B1391" r:id="rId695" display="https://9607261.app.netsuite.com/app/reporting/reportrunner.nl?fromreport=320&amp;regtx,tranline,kacct,x,alltranline5,IN,x,x=950&amp;cr=293" xr:uid="{23260C6B-1559-4AC1-9A20-1475DE0351C5}"/>
    <hyperlink ref="B1393" r:id="rId696" display="https://9607261.app.netsuite.com/app/reporting/reportrunner.nl?fromreport=320&amp;regtx,tranline,kacct,x,alltranline5,IN,x,x=950&amp;cr=293" xr:uid="{F12760DD-C652-4A76-ABF7-7D8695F143BE}"/>
    <hyperlink ref="B1395" r:id="rId697" display="https://9607261.app.netsuite.com/app/reporting/reportrunner.nl?fromreport=320&amp;regtx,tranline,kacct,x,alltranline5,IN,x,x=950&amp;cr=293" xr:uid="{6AFEF5F0-E6ED-483D-BA55-B8DE2E2420EF}"/>
    <hyperlink ref="B1397" r:id="rId698" display="https://9607261.app.netsuite.com/app/reporting/reportrunner.nl?fromreport=320&amp;regtx,tranline,kacct,x,alltranline5,IN,x,x=950&amp;cr=293" xr:uid="{D199F41F-6F3D-49D1-ACA0-BA1CF0431543}"/>
    <hyperlink ref="B1399" r:id="rId699" display="https://9607261.app.netsuite.com/app/reporting/reportrunner.nl?fromreport=320&amp;regtx,tranline,kacct,x,alltranline5,IN,x,x=950&amp;cr=293" xr:uid="{79D1F599-0C6E-4D36-91F1-EE8FB28AEE21}"/>
    <hyperlink ref="B1401" r:id="rId700" display="https://9607261.app.netsuite.com/app/reporting/reportrunner.nl?fromreport=320&amp;regtx,tranline,kacct,x,alltranline5,IN,x,x=950&amp;cr=293" xr:uid="{EB3ACDBF-2965-4A06-8CC0-7A1F7A0C0CC4}"/>
    <hyperlink ref="B1403" r:id="rId701" display="https://9607261.app.netsuite.com/app/reporting/reportrunner.nl?fromreport=320&amp;regtx,tranline,kacct,x,alltranline5,IN,x,x=950&amp;cr=293" xr:uid="{70A3BE4F-7F49-41C9-82E2-F56022C05248}"/>
    <hyperlink ref="B1405" r:id="rId702" display="https://9607261.app.netsuite.com/app/reporting/reportrunner.nl?fromreport=320&amp;regtx,tranline,kacct,x,alltranline5,IN,x,x=950&amp;cr=293" xr:uid="{D9D1E386-6336-41E1-B5C0-A928460617D0}"/>
    <hyperlink ref="B1407" r:id="rId703" display="https://9607261.app.netsuite.com/app/reporting/reportrunner.nl?fromreport=320&amp;regtx,tranline,kacct,x,alltranline5,IN,x,x=950&amp;cr=293" xr:uid="{F7654934-2A94-47F3-83FC-37F7AAF6A76E}"/>
    <hyperlink ref="B1409" r:id="rId704" display="https://9607261.app.netsuite.com/app/reporting/reportrunner.nl?fromreport=320&amp;regtx,tranline,kacct,x,alltranline5,IN,x,x=950&amp;cr=293" xr:uid="{40806F63-DB45-4E40-92BA-837BF3782187}"/>
    <hyperlink ref="B1411" r:id="rId705" display="https://9607261.app.netsuite.com/app/reporting/reportrunner.nl?fromreport=320&amp;regtx,tranline,kacct,x,alltranline5,IN,x,x=950&amp;cr=293" xr:uid="{4DB037EA-0046-4A88-983E-80BD79824C06}"/>
    <hyperlink ref="B1413" r:id="rId706" display="https://9607261.app.netsuite.com/app/reporting/reportrunner.nl?fromreport=320&amp;regtx,tranline,kacct,x,alltranline5,IN,x,x=950&amp;cr=293" xr:uid="{9B104F9A-C820-460E-8502-5BD76B7356D7}"/>
    <hyperlink ref="B1415" r:id="rId707" display="https://9607261.app.netsuite.com/app/reporting/reportrunner.nl?fromreport=320&amp;regtx,tranline,kacct,x,alltranline5,IN,x,x=950&amp;cr=293" xr:uid="{ED47DD8B-B360-4DF4-BF70-4DC50AE021B9}"/>
    <hyperlink ref="B1417" r:id="rId708" display="https://9607261.app.netsuite.com/app/reporting/reportrunner.nl?fromreport=320&amp;regtx,tranline,kacct,x,alltranline5,IN,x,x=950&amp;cr=293" xr:uid="{123DB858-D1F4-4F59-AAC0-1EF3AB079FAE}"/>
    <hyperlink ref="B1419" r:id="rId709" display="https://9607261.app.netsuite.com/app/reporting/reportrunner.nl?fromreport=320&amp;regtx,tranline,kacct,x,alltranline5,IN,x,x=950&amp;cr=293" xr:uid="{24FEB0F1-61C1-44CF-B43C-E6B07EA23C66}"/>
    <hyperlink ref="B1421" r:id="rId710" display="https://9607261.app.netsuite.com/app/reporting/reportrunner.nl?fromreport=320&amp;regtx,tranline,kacct,x,alltranline5,IN,x,x=950&amp;cr=293" xr:uid="{D22C7902-FF08-4367-ABD4-7CA37088BCED}"/>
    <hyperlink ref="B1423" r:id="rId711" display="https://9607261.app.netsuite.com/app/reporting/reportrunner.nl?fromreport=320&amp;regtx,tranline,kacct,x,alltranline5,IN,x,x=950&amp;cr=293" xr:uid="{3FF79B82-BBF9-4931-8397-B935D72290B1}"/>
    <hyperlink ref="B1425" r:id="rId712" display="https://9607261.app.netsuite.com/app/reporting/reportrunner.nl?fromreport=320&amp;regtx,tranline,kacct,x,alltranline5,IN,x,x=950&amp;cr=293" xr:uid="{5934D6BB-36CC-49FD-9C1D-EDF09B18F239}"/>
    <hyperlink ref="B1427" r:id="rId713" display="https://9607261.app.netsuite.com/app/reporting/reportrunner.nl?fromreport=320&amp;regtx,tranline,kacct,x,alltranline5,IN,x,x=950&amp;cr=293" xr:uid="{C561960A-7CEB-49F1-BBAE-32039C9E2F47}"/>
    <hyperlink ref="B1429" r:id="rId714" display="https://9607261.app.netsuite.com/app/reporting/reportrunner.nl?fromreport=320&amp;regtx,tranline,kacct,x,alltranline5,IN,x,x=950&amp;cr=293" xr:uid="{4702202C-A6E7-4CBB-8EBC-76170657B4A3}"/>
    <hyperlink ref="B1431" r:id="rId715" display="https://9607261.app.netsuite.com/app/reporting/reportrunner.nl?fromreport=320&amp;regtx,tranline,kacct,x,alltranline5,IN,x,x=950&amp;cr=293" xr:uid="{933CE1F2-BCB9-48F7-B793-7CFAC48DF655}"/>
    <hyperlink ref="B1433" r:id="rId716" display="https://9607261.app.netsuite.com/app/reporting/reportrunner.nl?fromreport=320&amp;regtx,tranline,kacct,x,alltranline5,IN,x,x=950&amp;cr=293" xr:uid="{BD1D3E0C-69EB-425B-AE8B-C7A33AE7C71B}"/>
    <hyperlink ref="B1435" r:id="rId717" display="https://9607261.app.netsuite.com/app/reporting/reportrunner.nl?fromreport=320&amp;regtx,tranline,kacct,x,alltranline5,IN,x,x=950&amp;cr=293" xr:uid="{FD1E7E5C-8BFD-44E3-AF46-E7BBA8D8FC39}"/>
    <hyperlink ref="B1437" r:id="rId718" display="https://9607261.app.netsuite.com/app/reporting/reportrunner.nl?fromreport=320&amp;regtx,tranline,kacct,x,alltranline5,IN,x,x=950&amp;cr=293" xr:uid="{1FA31FBD-6648-4B40-AE87-CF0FC616CBA8}"/>
    <hyperlink ref="B1439" r:id="rId719" display="https://9607261.app.netsuite.com/app/reporting/reportrunner.nl?fromreport=320&amp;regtx,tranline,kacct,x,alltranline5,IN,x,x=950&amp;cr=293" xr:uid="{2C85C547-F883-4BD8-8218-271F3AC2DEF7}"/>
    <hyperlink ref="B1441" r:id="rId720" display="https://9607261.app.netsuite.com/app/reporting/reportrunner.nl?fromreport=320&amp;regtx,tranline,kacct,x,alltranline5,IN,x,x=950&amp;cr=293" xr:uid="{1BA95B45-2210-4B86-A514-5535B3738F94}"/>
    <hyperlink ref="B1443" r:id="rId721" display="https://9607261.app.netsuite.com/app/reporting/reportrunner.nl?fromreport=320&amp;regtx,tranline,kacct,x,alltranline5,IN,x,x=950&amp;cr=293" xr:uid="{36CFFF62-151C-4452-9A97-1DF71B7990B0}"/>
    <hyperlink ref="B1445" r:id="rId722" display="https://9607261.app.netsuite.com/app/reporting/reportrunner.nl?fromreport=320&amp;regtx,tranline,kacct,x,alltranline5,IN,x,x=950&amp;cr=293" xr:uid="{CF240A64-1554-439B-B48C-7D0CBF60045C}"/>
    <hyperlink ref="B1447" r:id="rId723" display="https://9607261.app.netsuite.com/app/reporting/reportrunner.nl?fromreport=320&amp;regtx,tranline,kacct,x,alltranline5,IN,x,x=950&amp;cr=293" xr:uid="{49C9B127-33AC-4A5E-9D06-612514A30CDA}"/>
    <hyperlink ref="B1449" r:id="rId724" display="https://9607261.app.netsuite.com/app/reporting/reportrunner.nl?fromreport=320&amp;regtx,tranline,kacct,x,alltranline5,IN,x,x=950&amp;cr=293" xr:uid="{DA435CA2-F507-412F-B1F8-61E871414AA7}"/>
    <hyperlink ref="B1451" r:id="rId725" display="https://9607261.app.netsuite.com/app/reporting/reportrunner.nl?fromreport=320&amp;regtx,tranline,kacct,x,alltranline5,IN,x,x=950&amp;cr=293" xr:uid="{77E5D32D-1EFC-4E5A-A403-AF56564B7B1B}"/>
    <hyperlink ref="B1453" r:id="rId726" display="https://9607261.app.netsuite.com/app/reporting/reportrunner.nl?fromreport=320&amp;regtx,tranline,kacct,x,alltranline5,IN,x,x=950&amp;cr=293" xr:uid="{0A03336E-FBFD-4064-B607-E39821988CD4}"/>
    <hyperlink ref="B1455" r:id="rId727" display="https://9607261.app.netsuite.com/app/reporting/reportrunner.nl?fromreport=320&amp;regtx,tranline,kacct,x,alltranline5,IN,x,x=950&amp;cr=293" xr:uid="{2E64590C-AEB3-4D71-AEEC-E993A984E44A}"/>
    <hyperlink ref="B1457" r:id="rId728" display="https://9607261.app.netsuite.com/app/reporting/reportrunner.nl?fromreport=320&amp;regtx,tranline,kacct,x,alltranline5,IN,x,x=950&amp;cr=293" xr:uid="{C25B0A0E-BEED-4981-83C6-B4EB4983D8E7}"/>
    <hyperlink ref="B1459" r:id="rId729" display="https://9607261.app.netsuite.com/app/reporting/reportrunner.nl?fromreport=320&amp;regtx,tranline,kacct,x,alltranline5,IN,x,x=950&amp;cr=293" xr:uid="{30281E76-E1E3-4676-A505-8AC11C76405A}"/>
    <hyperlink ref="B1461" r:id="rId730" display="https://9607261.app.netsuite.com/app/reporting/reportrunner.nl?fromreport=320&amp;regtx,tranline,kacct,x,alltranline5,IN,x,x=950&amp;cr=293" xr:uid="{1A4AE42B-16D6-4E08-BB9E-9213FB8A8641}"/>
    <hyperlink ref="B1463" r:id="rId731" display="https://9607261.app.netsuite.com/app/reporting/reportrunner.nl?fromreport=320&amp;regtx,tranline,kacct,x,alltranline5,IN,x,x=950&amp;cr=293" xr:uid="{82B2E230-926F-483A-BF4D-B2469B417EE9}"/>
    <hyperlink ref="B1465" r:id="rId732" display="https://9607261.app.netsuite.com/app/reporting/reportrunner.nl?fromreport=320&amp;regtx,tranline,kacct,x,alltranline5,IN,x,x=950&amp;cr=293" xr:uid="{372A93A4-40A3-401D-99C8-939BE43E6A81}"/>
    <hyperlink ref="B1467" r:id="rId733" display="https://9607261.app.netsuite.com/app/reporting/reportrunner.nl?fromreport=320&amp;regtx,tranline,kacct,x,alltranline5,IN,x,x=950&amp;cr=293" xr:uid="{AD128E5D-E1C4-460D-9427-831B9B28315E}"/>
    <hyperlink ref="B1469" r:id="rId734" display="https://9607261.app.netsuite.com/app/reporting/reportrunner.nl?fromreport=320&amp;regtx,tranline,kacct,x,alltranline5,IN,x,x=950&amp;cr=293" xr:uid="{91CFA3D1-D482-4BBE-B389-946F492BF634}"/>
    <hyperlink ref="B1471" r:id="rId735" display="https://9607261.app.netsuite.com/app/reporting/reportrunner.nl?fromreport=320&amp;regtx,tranline,kacct,x,alltranline5,IN,x,x=950&amp;cr=293" xr:uid="{0F29E7E8-7728-4AD2-AE27-F8CD610E27F7}"/>
    <hyperlink ref="B1473" r:id="rId736" display="https://9607261.app.netsuite.com/app/reporting/reportrunner.nl?fromreport=320&amp;regtx,tranline,kacct,x,alltranline5,IN,x,x=950&amp;cr=293" xr:uid="{DA56A5C4-40D4-48C8-95CD-E33DB9037087}"/>
    <hyperlink ref="B1475" r:id="rId737" display="https://9607261.app.netsuite.com/app/reporting/reportrunner.nl?fromreport=320&amp;regtx,tranline,kacct,x,alltranline5,IN,x,x=950&amp;cr=293" xr:uid="{EFF1892D-A697-43F1-B3FD-1FBCC1F40AE3}"/>
    <hyperlink ref="B1477" r:id="rId738" display="https://9607261.app.netsuite.com/app/reporting/reportrunner.nl?fromreport=320&amp;regtx,tranline,kacct,x,alltranline5,IN,x,x=950&amp;cr=293" xr:uid="{71240CEC-44BD-45D6-9684-9EBB3F7C4393}"/>
    <hyperlink ref="B1479" r:id="rId739" display="https://9607261.app.netsuite.com/app/reporting/reportrunner.nl?fromreport=320&amp;regtx,tranline,kacct,x,alltranline5,IN,x,x=950&amp;cr=293" xr:uid="{B597FE51-67E1-4E8C-A0D6-B735104D2B9E}"/>
    <hyperlink ref="B1481" r:id="rId740" display="https://9607261.app.netsuite.com/app/reporting/reportrunner.nl?fromreport=320&amp;regtx,tranline,kacct,x,alltranline5,IN,x,x=950&amp;cr=293" xr:uid="{87AC01FB-0FC3-4B52-A984-DA0F5D30794C}"/>
    <hyperlink ref="B1483" r:id="rId741" display="https://9607261.app.netsuite.com/app/reporting/reportrunner.nl?fromreport=320&amp;regtx,tranline,kacct,x,alltranline5,IN,x,x=950&amp;cr=293" xr:uid="{56CC7E1B-6461-46A8-B51A-BC8FD8E90471}"/>
    <hyperlink ref="B1485" r:id="rId742" display="https://9607261.app.netsuite.com/app/reporting/reportrunner.nl?fromreport=320&amp;regtx,tranline,kacct,x,alltranline5,IN,x,x=950&amp;cr=293" xr:uid="{0660C7E1-3C1E-4EEA-A42D-ABA82FD09835}"/>
    <hyperlink ref="B1487" r:id="rId743" display="https://9607261.app.netsuite.com/app/reporting/reportrunner.nl?fromreport=320&amp;regtx,tranline,kacct,x,alltranline5,IN,x,x=950&amp;cr=293" xr:uid="{8A2A19F4-2DE6-4166-B3D8-57803DC0DCAF}"/>
    <hyperlink ref="B1489" r:id="rId744" display="https://9607261.app.netsuite.com/app/reporting/reportrunner.nl?fromreport=320&amp;regtx,tranline,kacct,x,alltranline5,IN,x,x=950&amp;cr=293" xr:uid="{222B53D6-3D89-4B89-A797-762C62DF677B}"/>
    <hyperlink ref="B1491" r:id="rId745" display="https://9607261.app.netsuite.com/app/reporting/reportrunner.nl?fromreport=320&amp;regtx,tranline,kacct,x,alltranline5,IN,x,x=950&amp;cr=293" xr:uid="{9368A532-8CC3-47BB-9185-88553387C9C0}"/>
    <hyperlink ref="B1493" r:id="rId746" display="https://9607261.app.netsuite.com/app/reporting/reportrunner.nl?fromreport=320&amp;regtx,tranline,kacct,x,alltranline5,IN,x,x=950&amp;cr=293" xr:uid="{4562BC46-74FE-48DB-88FE-C11973C7EC82}"/>
    <hyperlink ref="B1495" r:id="rId747" display="https://9607261.app.netsuite.com/app/reporting/reportrunner.nl?fromreport=320&amp;regtx,tranline,kacct,x,alltranline5,IN,x,x=950&amp;cr=293" xr:uid="{B491D08B-41F6-42E2-A772-7FF4720204CD}"/>
    <hyperlink ref="B1497" r:id="rId748" display="https://9607261.app.netsuite.com/app/reporting/reportrunner.nl?fromreport=320&amp;regtx,tranline,kacct,x,alltranline5,IN,x,x=950&amp;cr=293" xr:uid="{408D8D19-E101-4794-9859-C7596ADAB268}"/>
    <hyperlink ref="B1499" r:id="rId749" display="https://9607261.app.netsuite.com/app/reporting/reportrunner.nl?fromreport=320&amp;regtx,tranline,kacct,x,alltranline5,IN,x,x=950&amp;cr=293" xr:uid="{816DC328-5B30-4D30-907D-6E2D56971887}"/>
    <hyperlink ref="B1501" r:id="rId750" display="https://9607261.app.netsuite.com/app/reporting/reportrunner.nl?fromreport=320&amp;regtx,tranline,kacct,x,alltranline5,IN,x,x=950&amp;cr=293" xr:uid="{9925FB52-BB86-4522-9D5B-7D52418CD62A}"/>
    <hyperlink ref="B1503" r:id="rId751" display="https://9607261.app.netsuite.com/app/reporting/reportrunner.nl?fromreport=320&amp;regtx,tranline,kacct,x,alltranline5,IN,x,x=950&amp;cr=293" xr:uid="{1D4F87AB-5BBE-44D2-A404-127216A50354}"/>
    <hyperlink ref="B1505" r:id="rId752" display="https://9607261.app.netsuite.com/app/reporting/reportrunner.nl?fromreport=320&amp;regtx,tranline,kacct,x,alltranline5,IN,x,x=950&amp;cr=293" xr:uid="{B2776C80-2A14-4185-AF92-5C8151CABDE7}"/>
    <hyperlink ref="B1507" r:id="rId753" display="https://9607261.app.netsuite.com/app/reporting/reportrunner.nl?fromreport=320&amp;regtx,tranline,kacct,x,alltranline5,IN,x,x=950&amp;cr=293" xr:uid="{C8E24F9E-3A3F-4ED8-9807-FF28F071AD44}"/>
    <hyperlink ref="B1509" r:id="rId754" display="https://9607261.app.netsuite.com/app/reporting/reportrunner.nl?fromreport=320&amp;regtx,tranline,kacct,x,alltranline5,IN,x,x=950&amp;cr=293" xr:uid="{DF71E139-374A-404A-957B-1EDFB5E2E46E}"/>
    <hyperlink ref="B1511" r:id="rId755" display="https://9607261.app.netsuite.com/app/reporting/reportrunner.nl?fromreport=320&amp;regtx,tranline,kacct,x,alltranline5,IN,x,x=950&amp;cr=293" xr:uid="{14F2E6DE-B1F7-4607-B9DE-6BC2D53F75B8}"/>
    <hyperlink ref="B1513" r:id="rId756" display="https://9607261.app.netsuite.com/app/reporting/reportrunner.nl?fromreport=320&amp;regtx,tranline,kacct,x,alltranline5,IN,x,x=950&amp;cr=293" xr:uid="{D32CBFB5-4056-4F7E-BBD8-E742D7DC57D6}"/>
    <hyperlink ref="B1515" r:id="rId757" display="https://9607261.app.netsuite.com/app/reporting/reportrunner.nl?fromreport=320&amp;regtx,tranline,kacct,x,alltranline5,IN,x,x=950&amp;cr=293" xr:uid="{9612850A-9487-4ADB-9469-93814587B163}"/>
    <hyperlink ref="B1517" r:id="rId758" display="https://9607261.app.netsuite.com/app/reporting/reportrunner.nl?fromreport=320&amp;regtx,tranline,kacct,x,alltranline5,IN,x,x=950&amp;cr=293" xr:uid="{A4C149B6-9606-48E8-BEFD-CC5850E6C2B0}"/>
    <hyperlink ref="B1519" r:id="rId759" display="https://9607261.app.netsuite.com/app/reporting/reportrunner.nl?fromreport=320&amp;regtx,tranline,kacct,x,alltranline5,IN,x,x=950&amp;cr=293" xr:uid="{F4F73AE0-B121-42E9-AD92-480DE5F7083F}"/>
    <hyperlink ref="B1521" r:id="rId760" display="https://9607261.app.netsuite.com/app/reporting/reportrunner.nl?fromreport=320&amp;regtx,tranline,kacct,x,alltranline5,IN,x,x=950&amp;cr=293" xr:uid="{BEA42725-A4AE-4ADE-9F86-DA8D9F0D0286}"/>
    <hyperlink ref="B1523" r:id="rId761" display="https://9607261.app.netsuite.com/app/reporting/reportrunner.nl?fromreport=320&amp;regtx,tranline,kacct,x,alltranline5,IN,x,x=950&amp;cr=293" xr:uid="{9FB8155D-4092-47B5-BB22-F4931E02F8FA}"/>
    <hyperlink ref="B1525" r:id="rId762" display="https://9607261.app.netsuite.com/app/reporting/reportrunner.nl?fromreport=320&amp;regtx,tranline,kacct,x,alltranline5,IN,x,x=950&amp;cr=293" xr:uid="{617836B5-BE02-4965-9128-A75A46FB1E22}"/>
    <hyperlink ref="B1527" r:id="rId763" display="https://9607261.app.netsuite.com/app/reporting/reportrunner.nl?fromreport=320&amp;regtx,tranline,kacct,x,alltranline5,IN,x,x=950&amp;cr=293" xr:uid="{68E29D12-6F16-49FF-90CB-CC2CBE6FCBC8}"/>
    <hyperlink ref="B1529" r:id="rId764" display="https://9607261.app.netsuite.com/app/reporting/reportrunner.nl?fromreport=320&amp;regtx,tranline,kacct,x,alltranline5,IN,x,x=950&amp;cr=293" xr:uid="{6329100F-B80F-4100-9494-E001B4CBC735}"/>
    <hyperlink ref="B1531" r:id="rId765" display="https://9607261.app.netsuite.com/app/reporting/reportrunner.nl?fromreport=320&amp;regtx,tranline,kacct,x,alltranline5,IN,x,x=950&amp;cr=293" xr:uid="{60BA01E7-BBCD-40F1-9A6E-10F4C71629DB}"/>
    <hyperlink ref="B1533" r:id="rId766" display="https://9607261.app.netsuite.com/app/reporting/reportrunner.nl?fromreport=320&amp;regtx,tranline,kacct,x,alltranline5,IN,x,x=950&amp;cr=293" xr:uid="{0F938943-45D6-41B8-85C0-FB79FDFBCEA0}"/>
    <hyperlink ref="B1535" r:id="rId767" display="https://9607261.app.netsuite.com/app/reporting/reportrunner.nl?fromreport=320&amp;regtx,tranline,kacct,x,alltranline5,IN,x,x=950&amp;cr=293" xr:uid="{3F9E8885-6979-40BD-905A-7BDB8C1F44BD}"/>
    <hyperlink ref="B1537" r:id="rId768" display="https://9607261.app.netsuite.com/app/reporting/reportrunner.nl?fromreport=320&amp;regtx,tranline,kacct,x,alltranline5,IN,x,x=950&amp;cr=293" xr:uid="{C3374EB9-9225-4248-A464-F0994B08E03E}"/>
    <hyperlink ref="B1539" r:id="rId769" display="https://9607261.app.netsuite.com/app/reporting/reportrunner.nl?fromreport=320&amp;regtx,tranline,kacct,x,alltranline5,IN,x,x=950&amp;cr=293" xr:uid="{DAC18886-1FC6-420C-9C26-36C3963653DE}"/>
    <hyperlink ref="B1541" r:id="rId770" display="https://9607261.app.netsuite.com/app/reporting/reportrunner.nl?fromreport=320&amp;regtx,tranline,kacct,x,alltranline5,IN,x,x=950&amp;cr=293" xr:uid="{EBA56E62-3659-4EC0-A4A1-F05C79720A13}"/>
    <hyperlink ref="B1543" r:id="rId771" display="https://9607261.app.netsuite.com/app/reporting/reportrunner.nl?fromreport=320&amp;regtx,tranline,kacct,x,alltranline5,IN,x,x=950&amp;cr=293" xr:uid="{20104E95-0FB3-4034-8CDC-7144BF5BCF3D}"/>
    <hyperlink ref="B1545" r:id="rId772" display="https://9607261.app.netsuite.com/app/reporting/reportrunner.nl?fromreport=320&amp;regtx,tranline,kacct,x,alltranline5,IN,x,x=950&amp;cr=293" xr:uid="{6BA2E400-8D0D-4CD8-9B6B-D80AB064601D}"/>
    <hyperlink ref="B1547" r:id="rId773" display="https://9607261.app.netsuite.com/app/reporting/reportrunner.nl?fromreport=320&amp;regtx,tranline,kacct,x,alltranline5,IN,x,x=950&amp;cr=293" xr:uid="{B5A39F65-A174-4C51-AA30-258DC1252B60}"/>
    <hyperlink ref="B1549" r:id="rId774" display="https://9607261.app.netsuite.com/app/reporting/reportrunner.nl?fromreport=320&amp;regtx,tranline,kacct,x,alltranline5,IN,x,x=950&amp;cr=293" xr:uid="{E57101BF-B3C8-4137-B63E-779C87919C2D}"/>
    <hyperlink ref="B1551" r:id="rId775" display="https://9607261.app.netsuite.com/app/reporting/reportrunner.nl?fromreport=320&amp;regtx,tranline,kacct,x,alltranline5,IN,x,x=950&amp;cr=293" xr:uid="{B8C0143E-AEA4-403C-9A91-708F619597AA}"/>
    <hyperlink ref="B1553" r:id="rId776" display="https://9607261.app.netsuite.com/app/reporting/reportrunner.nl?fromreport=320&amp;regtx,tranline,kacct,x,alltranline5,IN,x,x=950&amp;cr=293" xr:uid="{6AD44575-5E8B-4EE1-A65A-63F0F87FE15D}"/>
    <hyperlink ref="B1555" r:id="rId777" display="https://9607261.app.netsuite.com/app/reporting/reportrunner.nl?fromreport=320&amp;regtx,tranline,kacct,x,alltranline5,IN,x,x=950&amp;cr=293" xr:uid="{C2002C08-8A33-4E44-BB3E-3810B24302A8}"/>
    <hyperlink ref="B1557" r:id="rId778" display="https://9607261.app.netsuite.com/app/reporting/reportrunner.nl?fromreport=320&amp;regtx,tranline,kacct,x,alltranline5,IN,x,x=950&amp;cr=293" xr:uid="{F810B935-9186-4A3D-896C-AFEECD169450}"/>
    <hyperlink ref="B1559" r:id="rId779" display="https://9607261.app.netsuite.com/app/reporting/reportrunner.nl?fromreport=320&amp;regtx,tranline,kacct,x,alltranline5,IN,x,x=950&amp;cr=293" xr:uid="{2506A808-A1CB-4BE7-AC0D-DE9DD82299F4}"/>
    <hyperlink ref="B1561" r:id="rId780" display="https://9607261.app.netsuite.com/app/reporting/reportrunner.nl?fromreport=320&amp;regtx,tranline,kacct,x,alltranline5,IN,x,x=950&amp;cr=293" xr:uid="{657FB5B8-05F5-47CB-9969-E3F36E308C52}"/>
    <hyperlink ref="B1563" r:id="rId781" display="https://9607261.app.netsuite.com/app/reporting/reportrunner.nl?fromreport=320&amp;regtx,tranline,kacct,x,alltranline5,IN,x,x=950&amp;cr=293" xr:uid="{7B7F3EC0-0AA1-4330-AC8F-D1AE0C6F551C}"/>
    <hyperlink ref="B1565" r:id="rId782" display="https://9607261.app.netsuite.com/app/reporting/reportrunner.nl?fromreport=320&amp;regtx,tranline,kacct,x,alltranline5,IN,x,x=950&amp;cr=293" xr:uid="{CF781089-5819-4950-A01B-F029C3F448FF}"/>
    <hyperlink ref="B1567" r:id="rId783" display="https://9607261.app.netsuite.com/app/reporting/reportrunner.nl?fromreport=320&amp;regtx,tranline,kacct,x,alltranline5,IN,x,x=950&amp;cr=293" xr:uid="{A08680C1-F44B-49A8-A378-0BF39FB922FD}"/>
    <hyperlink ref="B1569" r:id="rId784" display="https://9607261.app.netsuite.com/app/reporting/reportrunner.nl?fromreport=320&amp;regtx,tranline,kacct,x,alltranline5,IN,x,x=950&amp;cr=293" xr:uid="{3DF91017-BB25-4C59-BE66-88BAC8DE406F}"/>
    <hyperlink ref="B1571" r:id="rId785" display="https://9607261.app.netsuite.com/app/reporting/reportrunner.nl?fromreport=320&amp;regtx,tranline,kacct,x,alltranline5,IN,x,x=950&amp;cr=293" xr:uid="{D301CAB8-B22B-42AD-81C5-80B2D5322DE7}"/>
    <hyperlink ref="B1573" r:id="rId786" display="https://9607261.app.netsuite.com/app/reporting/reportrunner.nl?fromreport=320&amp;regtx,tranline,kacct,x,alltranline5,IN,x,x=950&amp;cr=293" xr:uid="{28D85522-8F02-45C9-B4A1-3B084A92C595}"/>
    <hyperlink ref="B1575" r:id="rId787" display="https://9607261.app.netsuite.com/app/reporting/reportrunner.nl?fromreport=320&amp;regtx,tranline,kacct,x,alltranline5,IN,x,x=950&amp;cr=293" xr:uid="{11577761-E9FD-412B-8C34-6C6629E8ADB7}"/>
    <hyperlink ref="B1577" r:id="rId788" display="https://9607261.app.netsuite.com/app/reporting/reportrunner.nl?fromreport=320&amp;regtx,tranline,kacct,x,alltranline5,IN,x,x=950&amp;cr=293" xr:uid="{8A34C494-D811-4FA3-A704-53563E6AC898}"/>
    <hyperlink ref="B1579" r:id="rId789" display="https://9607261.app.netsuite.com/app/reporting/reportrunner.nl?fromreport=320&amp;regtx,tranline,kacct,x,alltranline5,IN,x,x=950&amp;cr=293" xr:uid="{8FFB7B16-EBD4-4C06-BEF9-B074494DF200}"/>
    <hyperlink ref="B1581" r:id="rId790" display="https://9607261.app.netsuite.com/app/reporting/reportrunner.nl?fromreport=320&amp;regtx,tranline,kacct,x,alltranline5,IN,x,x=950&amp;cr=293" xr:uid="{8B09CB61-1F4F-47B8-A5B5-8053828E131A}"/>
    <hyperlink ref="B1583" r:id="rId791" display="https://9607261.app.netsuite.com/app/reporting/reportrunner.nl?fromreport=320&amp;regtx,tranline,kacct,x,alltranline5,IN,x,x=950&amp;cr=293" xr:uid="{8DA4CA94-3B31-4C91-9CA7-6EAC470C1785}"/>
    <hyperlink ref="B1585" r:id="rId792" display="https://9607261.app.netsuite.com/app/reporting/reportrunner.nl?fromreport=320&amp;regtx,tranline,kacct,x,alltranline5,IN,x,x=950&amp;cr=293" xr:uid="{CEBC67D3-A3F7-417B-AFE4-9CA622C9301E}"/>
    <hyperlink ref="B1587" r:id="rId793" display="https://9607261.app.netsuite.com/app/reporting/reportrunner.nl?fromreport=320&amp;regtx,tranline,kacct,x,alltranline5,IN,x,x=950&amp;cr=293" xr:uid="{1001643E-C771-4D6F-AACC-AC8072E3B081}"/>
    <hyperlink ref="B1589" r:id="rId794" display="https://9607261.app.netsuite.com/app/reporting/reportrunner.nl?fromreport=320&amp;regtx,tranline,kacct,x,alltranline5,IN,x,x=950&amp;cr=293" xr:uid="{F0CD4243-E4AA-4C07-A239-7A3968BFAB40}"/>
    <hyperlink ref="B1591" r:id="rId795" display="https://9607261.app.netsuite.com/app/reporting/reportrunner.nl?fromreport=320&amp;regtx,tranline,kacct,x,alltranline5,IN,x,x=950&amp;cr=293" xr:uid="{9D160B5C-6777-4565-85B9-D838E6195D5F}"/>
    <hyperlink ref="B1593" r:id="rId796" display="https://9607261.app.netsuite.com/app/reporting/reportrunner.nl?fromreport=320&amp;regtx,tranline,kacct,x,alltranline5,IN,x,x=950&amp;cr=293" xr:uid="{E7AA2C2C-D8DF-4702-9465-F619B6BC2231}"/>
    <hyperlink ref="B1595" r:id="rId797" display="https://9607261.app.netsuite.com/app/reporting/reportrunner.nl?fromreport=320&amp;regtx,tranline,kacct,x,alltranline5,IN,x,x=950&amp;cr=293" xr:uid="{AFE75E70-92B3-4180-801E-2D83FF913A40}"/>
    <hyperlink ref="B1597" r:id="rId798" display="https://9607261.app.netsuite.com/app/reporting/reportrunner.nl?fromreport=320&amp;regtx,tranline,kacct,x,alltranline5,IN,x,x=950&amp;cr=293" xr:uid="{571DF913-5EAB-4843-99A9-BC49BBD520BE}"/>
    <hyperlink ref="B1599" r:id="rId799" display="https://9607261.app.netsuite.com/app/reporting/reportrunner.nl?fromreport=320&amp;regtx,tranline,kacct,x,alltranline5,IN,x,x=950&amp;cr=293" xr:uid="{59934D1B-CE20-42C5-AF1E-B95745DE849C}"/>
    <hyperlink ref="B1601" r:id="rId800" display="https://9607261.app.netsuite.com/app/reporting/reportrunner.nl?fromreport=320&amp;regtx,tranline,kacct,x,alltranline5,IN,x,x=950&amp;cr=293" xr:uid="{8DDBECF7-EF91-41D8-868C-E54450408AD0}"/>
    <hyperlink ref="B1603" r:id="rId801" display="https://9607261.app.netsuite.com/app/reporting/reportrunner.nl?fromreport=320&amp;regtx,tranline,kacct,x,alltranline5,IN,x,x=950&amp;cr=293" xr:uid="{D64E4770-2F36-40BA-AE4F-00BAA0B74688}"/>
    <hyperlink ref="B1605" r:id="rId802" display="https://9607261.app.netsuite.com/app/reporting/reportrunner.nl?fromreport=320&amp;regtx,tranline,kacct,x,alltranline5,IN,x,x=950&amp;cr=293" xr:uid="{61876029-299F-4A4E-B6C8-4A8B97F25EFE}"/>
    <hyperlink ref="B1607" r:id="rId803" display="https://9607261.app.netsuite.com/app/reporting/reportrunner.nl?fromreport=320&amp;regtx,tranline,kacct,x,alltranline5,IN,x,x=950&amp;cr=293" xr:uid="{4EA90965-C46D-4387-946A-15DEEBA81A05}"/>
    <hyperlink ref="B1609" r:id="rId804" display="https://9607261.app.netsuite.com/app/reporting/reportrunner.nl?fromreport=320&amp;regtx,tranline,kacct,x,alltranline5,IN,x,x=950&amp;cr=293" xr:uid="{7E5C29DB-10B7-477E-B8E0-5A26191FD594}"/>
    <hyperlink ref="B1611" r:id="rId805" display="https://9607261.app.netsuite.com/app/reporting/reportrunner.nl?fromreport=320&amp;regtx,tranline,kacct,x,alltranline5,IN,x,x=950&amp;cr=293" xr:uid="{225A8712-2E4F-4954-8078-DA87FFA6F88A}"/>
    <hyperlink ref="B1613" r:id="rId806" display="https://9607261.app.netsuite.com/app/reporting/reportrunner.nl?fromreport=320&amp;regtx,tranline,kacct,x,alltranline5,IN,x,x=950&amp;cr=293" xr:uid="{4EEC7872-FC36-43C0-B2B9-0415389B4CA9}"/>
    <hyperlink ref="B1615" r:id="rId807" display="https://9607261.app.netsuite.com/app/reporting/reportrunner.nl?fromreport=320&amp;regtx,tranline,kacct,x,alltranline5,IN,x,x=950&amp;cr=293" xr:uid="{CEBF8FD1-A0AF-4358-A2F8-5559D0FC8189}"/>
    <hyperlink ref="B1617" r:id="rId808" display="https://9607261.app.netsuite.com/app/reporting/reportrunner.nl?fromreport=320&amp;regtx,tranline,kacct,x,alltranline5,IN,x,x=950&amp;cr=293" xr:uid="{C00AEB99-82C6-4E08-ADD7-E5AE48F4C0CA}"/>
    <hyperlink ref="B1619" r:id="rId809" display="https://9607261.app.netsuite.com/app/reporting/reportrunner.nl?fromreport=320&amp;regtx,tranline,kacct,x,alltranline5,IN,x,x=950&amp;cr=293" xr:uid="{6A8C24CF-46F8-4852-AC58-51D4BF5C9CB9}"/>
    <hyperlink ref="B1621" r:id="rId810" display="https://9607261.app.netsuite.com/app/reporting/reportrunner.nl?fromreport=320&amp;regtx,tranline,kacct,x,alltranline5,IN,x,x=950&amp;cr=293" xr:uid="{E75FF471-8096-4084-8BAE-6F2114C3E091}"/>
    <hyperlink ref="B1623" r:id="rId811" display="https://9607261.app.netsuite.com/app/reporting/reportrunner.nl?fromreport=320&amp;regtx,tranline,kacct,x,alltranline5,IN,x,x=950&amp;cr=293" xr:uid="{CB52D105-7448-4E91-81EA-DBE40CE6F6EB}"/>
    <hyperlink ref="B1625" r:id="rId812" display="https://9607261.app.netsuite.com/app/reporting/reportrunner.nl?fromreport=320&amp;regtx,tranline,kacct,x,alltranline5,IN,x,x=950&amp;cr=293" xr:uid="{D7A7EC22-95CE-4AB3-BE47-1C24835A9AF8}"/>
    <hyperlink ref="B1627" r:id="rId813" display="https://9607261.app.netsuite.com/app/reporting/reportrunner.nl?fromreport=320&amp;regtx,tranline,kacct,x,alltranline5,IN,x,x=950&amp;cr=293" xr:uid="{30686C3F-CA60-4DCF-BB0A-694A4B0F6FEA}"/>
    <hyperlink ref="B1629" r:id="rId814" display="https://9607261.app.netsuite.com/app/reporting/reportrunner.nl?fromreport=320&amp;regtx,tranline,kacct,x,alltranline5,IN,x,x=950&amp;cr=293" xr:uid="{AE268236-4F2F-49FD-BB28-5AE17DC62F20}"/>
    <hyperlink ref="B1631" r:id="rId815" display="https://9607261.app.netsuite.com/app/reporting/reportrunner.nl?fromreport=320&amp;regtx,tranline,kacct,x,alltranline5,IN,x,x=950&amp;cr=293" xr:uid="{79306FD9-32EA-455C-AFDB-A6930CD3281E}"/>
    <hyperlink ref="B1633" r:id="rId816" display="https://9607261.app.netsuite.com/app/reporting/reportrunner.nl?fromreport=320&amp;regtx,tranline,kacct,x,alltranline5,IN,x,x=950&amp;cr=293" xr:uid="{A81BB2FF-F59C-4497-8CC6-BB47B4EB117E}"/>
    <hyperlink ref="B1635" r:id="rId817" display="https://9607261.app.netsuite.com/app/reporting/reportrunner.nl?fromreport=320&amp;regtx,tranline,kacct,x,alltranline5,IN,x,x=950&amp;cr=293" xr:uid="{91B4EE64-5F83-4F38-AB69-36CC067A19AD}"/>
    <hyperlink ref="B1637" r:id="rId818" display="https://9607261.app.netsuite.com/app/reporting/reportrunner.nl?fromreport=320&amp;regtx,tranline,kacct,x,alltranline5,IN,x,x=950&amp;cr=293" xr:uid="{5F70EBA1-399A-4CEB-AE1B-CD2D2983763A}"/>
    <hyperlink ref="B1639" r:id="rId819" display="https://9607261.app.netsuite.com/app/reporting/reportrunner.nl?fromreport=320&amp;regtx,tranline,kacct,x,alltranline5,IN,x,x=950&amp;cr=293" xr:uid="{AA657A2A-49D4-42F8-A721-0838B31F64FE}"/>
    <hyperlink ref="B1641" r:id="rId820" display="https://9607261.app.netsuite.com/app/reporting/reportrunner.nl?fromreport=320&amp;regtx,tranline,kacct,x,alltranline5,IN,x,x=950&amp;cr=293" xr:uid="{5F83D7D5-0D7A-4370-9F05-BE8B27282A7F}"/>
    <hyperlink ref="B1643" r:id="rId821" display="https://9607261.app.netsuite.com/app/reporting/reportrunner.nl?fromreport=320&amp;regtx,tranline,kacct,x,alltranline5,IN,x,x=950&amp;cr=293" xr:uid="{32AAAC38-17BF-414D-8E7D-453C4B26EA64}"/>
    <hyperlink ref="B1645" r:id="rId822" display="https://9607261.app.netsuite.com/app/reporting/reportrunner.nl?fromreport=320&amp;regtx,tranline,kacct,x,alltranline5,IN,x,x=950&amp;cr=293" xr:uid="{8E4BAE7E-595C-4CB9-B20E-B61B4EF42E8A}"/>
    <hyperlink ref="B1647" r:id="rId823" display="https://9607261.app.netsuite.com/app/reporting/reportrunner.nl?fromreport=320&amp;regtx,tranline,kacct,x,alltranline5,IN,x,x=950&amp;cr=293" xr:uid="{FA0404B5-2089-40C0-B6C0-E53F6755BBB0}"/>
    <hyperlink ref="B1649" r:id="rId824" display="https://9607261.app.netsuite.com/app/reporting/reportrunner.nl?fromreport=320&amp;regtx,tranline,kacct,x,alltranline5,IN,x,x=950&amp;cr=293" xr:uid="{A1C1ADF1-1C7A-42D4-BCDA-BA4700886949}"/>
    <hyperlink ref="B1651" r:id="rId825" display="https://9607261.app.netsuite.com/app/reporting/reportrunner.nl?fromreport=320&amp;regtx,tranline,kacct,x,alltranline5,IN,x,x=950&amp;cr=293" xr:uid="{594BD5CB-6A0F-4F9E-94FE-62D1876334AF}"/>
    <hyperlink ref="B1653" r:id="rId826" display="https://9607261.app.netsuite.com/app/reporting/reportrunner.nl?fromreport=320&amp;regtx,tranline,kacct,x,alltranline5,IN,x,x=950&amp;cr=293" xr:uid="{530C7388-3203-406A-9B32-9CF411216D2B}"/>
    <hyperlink ref="B1655" r:id="rId827" display="https://9607261.app.netsuite.com/app/reporting/reportrunner.nl?fromreport=320&amp;regtx,tranline,kacct,x,alltranline5,IN,x,x=950&amp;cr=293" xr:uid="{687B5D4A-A8DB-40B6-9046-D95668A58216}"/>
    <hyperlink ref="B1657" r:id="rId828" display="https://9607261.app.netsuite.com/app/reporting/reportrunner.nl?fromreport=320&amp;regtx,tranline,kacct,x,alltranline5,IN,x,x=950&amp;cr=293" xr:uid="{74AD6876-CDD2-4ED0-BEF9-24B2FD3219E2}"/>
    <hyperlink ref="B1659" r:id="rId829" display="https://9607261.app.netsuite.com/app/reporting/reportrunner.nl?fromreport=320&amp;regtx,tranline,kacct,x,alltranline5,IN,x,x=950&amp;cr=293" xr:uid="{F1D7DC03-D07E-40E4-83A3-B4FB1AC207ED}"/>
    <hyperlink ref="B1661" r:id="rId830" display="https://9607261.app.netsuite.com/app/reporting/reportrunner.nl?fromreport=320&amp;regtx,tranline,kacct,x,alltranline5,IN,x,x=950&amp;cr=293" xr:uid="{91F18258-19BC-4445-B895-8AA955AFB19D}"/>
    <hyperlink ref="B1663" r:id="rId831" display="https://9607261.app.netsuite.com/app/reporting/reportrunner.nl?fromreport=320&amp;regtx,tranline,kacct,x,alltranline5,IN,x,x=950&amp;cr=293" xr:uid="{5C8C5F75-1FE8-4F2C-B9FF-EFE71EA673EC}"/>
    <hyperlink ref="B1665" r:id="rId832" display="https://9607261.app.netsuite.com/app/reporting/reportrunner.nl?fromreport=320&amp;regtx,tranline,kacct,x,alltranline5,IN,x,x=950&amp;cr=293" xr:uid="{541C35F2-D6CD-4C70-BFAC-3D7855D32788}"/>
    <hyperlink ref="B1667" r:id="rId833" display="https://9607261.app.netsuite.com/app/reporting/reportrunner.nl?fromreport=320&amp;regtx,tranline,kacct,x,alltranline5,IN,x,x=950&amp;cr=293" xr:uid="{92053CF5-A152-4B1C-B339-E172192AC8EB}"/>
    <hyperlink ref="B1669" r:id="rId834" display="https://9607261.app.netsuite.com/app/reporting/reportrunner.nl?fromreport=320&amp;regtx,tranline,kacct,x,alltranline5,IN,x,x=950&amp;cr=293" xr:uid="{DE4B2C9D-BB93-4F9E-8F57-B6FACB897DC2}"/>
    <hyperlink ref="B1671" r:id="rId835" display="https://9607261.app.netsuite.com/app/reporting/reportrunner.nl?fromreport=320&amp;regtx,tranline,kacct,x,alltranline5,IN,x,x=950&amp;cr=293" xr:uid="{E5276C50-EA9C-4CE7-AF60-8C346D0010AC}"/>
    <hyperlink ref="B1673" r:id="rId836" display="https://9607261.app.netsuite.com/app/reporting/reportrunner.nl?fromreport=320&amp;regtx,tranline,kacct,x,alltranline5,IN,x,x=950&amp;cr=293" xr:uid="{73C257E6-C3C9-4F06-AEFA-02BF33176007}"/>
    <hyperlink ref="B1675" r:id="rId837" display="https://9607261.app.netsuite.com/app/reporting/reportrunner.nl?fromreport=320&amp;regtx,tranline,kacct,x,alltranline5,IN,x,x=950&amp;cr=293" xr:uid="{6BC1C62C-0332-48BE-92F8-550892880499}"/>
    <hyperlink ref="B1677" r:id="rId838" display="https://9607261.app.netsuite.com/app/reporting/reportrunner.nl?fromreport=320&amp;regtx,tranline,kacct,x,alltranline5,IN,x,x=950&amp;cr=293" xr:uid="{12832A3F-97B5-4139-AD92-AAE0DE90E18D}"/>
    <hyperlink ref="B1679" r:id="rId839" display="https://9607261.app.netsuite.com/app/reporting/reportrunner.nl?fromreport=320&amp;regtx,tranline,kacct,x,alltranline5,IN,x,x=950&amp;cr=293" xr:uid="{B48DBCAB-CD88-4F04-A53D-4242C753BA38}"/>
    <hyperlink ref="B1681" r:id="rId840" display="https://9607261.app.netsuite.com/app/reporting/reportrunner.nl?fromreport=320&amp;regtx,tranline,kacct,x,alltranline5,IN,x,x=950&amp;cr=293" xr:uid="{19C92DF9-F089-48E1-B383-E64ECED048E3}"/>
    <hyperlink ref="B1683" r:id="rId841" display="https://9607261.app.netsuite.com/app/reporting/reportrunner.nl?fromreport=320&amp;regtx,tranline,kacct,x,alltranline5,IN,x,x=950&amp;cr=293" xr:uid="{E3AD3ACB-6F01-4C68-A162-35F4311A366C}"/>
    <hyperlink ref="B1685" r:id="rId842" display="https://9607261.app.netsuite.com/app/reporting/reportrunner.nl?fromreport=320&amp;regtx,tranline,kacct,x,alltranline5,IN,x,x=950&amp;cr=293" xr:uid="{ED989267-BADB-44FC-9FC5-92CA8EF70D20}"/>
    <hyperlink ref="B1687" r:id="rId843" display="https://9607261.app.netsuite.com/app/reporting/reportrunner.nl?fromreport=320&amp;regtx,tranline,kacct,x,alltranline5,IN,x,x=950&amp;cr=293" xr:uid="{76432C0D-34A8-4502-80AB-F40349667C6C}"/>
    <hyperlink ref="B1689" r:id="rId844" display="https://9607261.app.netsuite.com/app/reporting/reportrunner.nl?fromreport=320&amp;regtx,tranline,kacct,x,alltranline5,IN,x,x=950&amp;cr=293" xr:uid="{A08F23F5-19EB-4564-8F95-429E4FFAB05C}"/>
    <hyperlink ref="B1691" r:id="rId845" display="https://9607261.app.netsuite.com/app/reporting/reportrunner.nl?fromreport=320&amp;regtx,tranline,kacct,x,alltranline5,IN,x,x=950&amp;cr=293" xr:uid="{E450C555-58FD-489B-90A0-4882ADF504D4}"/>
    <hyperlink ref="B1693" r:id="rId846" display="https://9607261.app.netsuite.com/app/reporting/reportrunner.nl?fromreport=320&amp;regtx,tranline,kacct,x,alltranline5,IN,x,x=950&amp;cr=293" xr:uid="{6957E88E-2CA6-4E5B-A125-D1CD6D1A092B}"/>
    <hyperlink ref="B1695" r:id="rId847" display="https://9607261.app.netsuite.com/app/reporting/reportrunner.nl?fromreport=320&amp;regtx,tranline,kacct,x,alltranline5,IN,x,x=950&amp;cr=293" xr:uid="{55EAC1CE-DEC7-4CD3-B773-94FB4A487658}"/>
    <hyperlink ref="B1697" r:id="rId848" display="https://9607261.app.netsuite.com/app/reporting/reportrunner.nl?fromreport=320&amp;regtx,tranline,kacct,x,alltranline5,IN,x,x=950&amp;cr=293" xr:uid="{CDFF7A87-34D5-4358-B7B3-25C048578036}"/>
    <hyperlink ref="B1699" r:id="rId849" display="https://9607261.app.netsuite.com/app/reporting/reportrunner.nl?fromreport=320&amp;regtx,tranline,kacct,x,alltranline5,IN,x,x=950&amp;cr=293" xr:uid="{3D35584C-582B-4BBC-935F-EE58311DDD5C}"/>
    <hyperlink ref="B1701" r:id="rId850" display="https://9607261.app.netsuite.com/app/reporting/reportrunner.nl?fromreport=320&amp;regtx,tranline,kacct,x,alltranline5,IN,x,x=950&amp;cr=293" xr:uid="{67AB7226-27C8-4690-AF68-40AB3CB7088B}"/>
    <hyperlink ref="B1703" r:id="rId851" display="https://9607261.app.netsuite.com/app/reporting/reportrunner.nl?fromreport=320&amp;regtx,tranline,kacct,x,alltranline5,IN,x,x=950&amp;cr=293" xr:uid="{7CDBBFB7-AF7A-4F33-A06A-62538909B0C9}"/>
    <hyperlink ref="B1705" r:id="rId852" display="https://9607261.app.netsuite.com/app/reporting/reportrunner.nl?fromreport=320&amp;regtx,tranline,kacct,x,alltranline5,IN,x,x=950&amp;cr=293" xr:uid="{0903C24C-2458-46A6-B050-E5A129A2A966}"/>
    <hyperlink ref="B1707" r:id="rId853" display="https://9607261.app.netsuite.com/app/reporting/reportrunner.nl?fromreport=320&amp;regtx,tranline,kacct,x,alltranline5,IN,x,x=950&amp;cr=293" xr:uid="{6ED5AE34-FF0F-4C85-BE1C-5E39B23137DC}"/>
    <hyperlink ref="B1709" r:id="rId854" display="https://9607261.app.netsuite.com/app/reporting/reportrunner.nl?fromreport=320&amp;regtx,tranline,kacct,x,alltranline5,IN,x,x=950&amp;cr=293" xr:uid="{33332C10-BFBD-4032-AADA-FABFF5EB9849}"/>
    <hyperlink ref="B1711" r:id="rId855" display="https://9607261.app.netsuite.com/app/reporting/reportrunner.nl?fromreport=320&amp;regtx,tranline,kacct,x,alltranline5,IN,x,x=950&amp;cr=293" xr:uid="{D7B3119A-85A2-46BF-8C7B-A07309E75B85}"/>
    <hyperlink ref="B1713" r:id="rId856" display="https://9607261.app.netsuite.com/app/reporting/reportrunner.nl?fromreport=320&amp;regtx,tranline,kacct,x,alltranline5,IN,x,x=950&amp;cr=293" xr:uid="{212932D7-7EFD-4B36-8950-5BD12472BE44}"/>
    <hyperlink ref="B1715" r:id="rId857" display="https://9607261.app.netsuite.com/app/reporting/reportrunner.nl?fromreport=320&amp;regtx,tranline,kacct,x,alltranline5,IN,x,x=950&amp;cr=293" xr:uid="{2C481AB6-40CD-4163-B0F4-9623EE9114CA}"/>
    <hyperlink ref="B1717" r:id="rId858" display="https://9607261.app.netsuite.com/app/reporting/reportrunner.nl?fromreport=320&amp;regtx,tranline,kacct,x,alltranline5,IN,x,x=950&amp;cr=293" xr:uid="{0BC45D7D-78B4-41D7-ACF1-CDE1C10988C3}"/>
    <hyperlink ref="B1719" r:id="rId859" display="https://9607261.app.netsuite.com/app/reporting/reportrunner.nl?fromreport=320&amp;regtx,tranline,kacct,x,alltranline5,IN,x,x=950&amp;cr=293" xr:uid="{9B5F29AF-D874-4692-A23D-22BA394A98AE}"/>
    <hyperlink ref="B1721" r:id="rId860" display="https://9607261.app.netsuite.com/app/reporting/reportrunner.nl?fromreport=320&amp;regtx,tranline,kacct,x,alltranline5,IN,x,x=950&amp;cr=293" xr:uid="{D62CBFD9-1E8D-4382-AFE0-35A5AFE98ADC}"/>
    <hyperlink ref="B1723" r:id="rId861" display="https://9607261.app.netsuite.com/app/reporting/reportrunner.nl?fromreport=320&amp;regtx,tranline,kacct,x,alltranline5,IN,x,x=950&amp;cr=293" xr:uid="{7B8CBD3C-DBE8-41E7-AC8F-EA616B9D0B39}"/>
    <hyperlink ref="B1725" r:id="rId862" display="https://9607261.app.netsuite.com/app/reporting/reportrunner.nl?fromreport=320&amp;regtx,tranline,kacct,x,alltranline5,IN,x,x=950&amp;cr=293" xr:uid="{71BB7C13-233A-4A58-A821-5072AF5D70A2}"/>
    <hyperlink ref="B1727" r:id="rId863" display="https://9607261.app.netsuite.com/app/reporting/reportrunner.nl?fromreport=320&amp;regtx,tranline,kacct,x,alltranline5,IN,x,x=950&amp;cr=293" xr:uid="{D530DB02-035D-4DC2-958B-AA2FFD8F4622}"/>
    <hyperlink ref="B1729" r:id="rId864" display="https://9607261.app.netsuite.com/app/reporting/reportrunner.nl?fromreport=320&amp;regtx,tranline,kacct,x,alltranline5,IN,x,x=950&amp;cr=293" xr:uid="{9B344F54-7BC9-47B9-BC52-DFFEB3B76308}"/>
    <hyperlink ref="B1731" r:id="rId865" display="https://9607261.app.netsuite.com/app/reporting/reportrunner.nl?fromreport=320&amp;regtx,tranline,kacct,x,alltranline5,IN,x,x=950&amp;cr=293" xr:uid="{CFF8A2C5-ECB7-41A7-A42F-149CBFD4F346}"/>
    <hyperlink ref="B1733" r:id="rId866" display="https://9607261.app.netsuite.com/app/reporting/reportrunner.nl?fromreport=320&amp;regtx,tranline,kacct,x,alltranline5,IN,x,x=950&amp;cr=293" xr:uid="{C02BD05A-4129-47CA-8189-2E6C55298530}"/>
    <hyperlink ref="B1735" r:id="rId867" display="https://9607261.app.netsuite.com/app/reporting/reportrunner.nl?fromreport=320&amp;regtx,tranline,kacct,x,alltranline5,IN,x,x=950&amp;cr=293" xr:uid="{C9823AEF-D9AA-4C11-9D19-8818F8A4D2BF}"/>
    <hyperlink ref="B1737" r:id="rId868" display="https://9607261.app.netsuite.com/app/reporting/reportrunner.nl?fromreport=320&amp;regtx,tranline,kacct,x,alltranline5,IN,x,x=950&amp;cr=293" xr:uid="{07B57FBB-69C2-4484-AB2D-036FC2D39EC5}"/>
    <hyperlink ref="B1739" r:id="rId869" display="https://9607261.app.netsuite.com/app/reporting/reportrunner.nl?fromreport=320&amp;regtx,tranline,kacct,x,alltranline5,IN,x,x=950&amp;cr=293" xr:uid="{420BD2F2-EA0E-42C4-8282-0CF2C0A3711E}"/>
    <hyperlink ref="B1741" r:id="rId870" display="https://9607261.app.netsuite.com/app/reporting/reportrunner.nl?fromreport=320&amp;regtx,tranline,kacct,x,alltranline5,IN,x,x=950&amp;cr=293" xr:uid="{F9664CFE-7F37-4B70-9069-9368E8B8E73A}"/>
    <hyperlink ref="B1743" r:id="rId871" display="https://9607261.app.netsuite.com/app/reporting/reportrunner.nl?fromreport=320&amp;regtx,tranline,kacct,x,alltranline5,IN,x,x=950&amp;cr=293" xr:uid="{F7BF1C3B-B9B6-4239-AF58-F485D1EFC658}"/>
    <hyperlink ref="B1745" r:id="rId872" display="https://9607261.app.netsuite.com/app/reporting/reportrunner.nl?fromreport=320&amp;regtx,tranline,kacct,x,alltranline5,IN,x,x=950&amp;cr=293" xr:uid="{9910FA38-51C0-4B5A-9DF2-41E624CCDFEE}"/>
    <hyperlink ref="B1747" r:id="rId873" display="https://9607261.app.netsuite.com/app/reporting/reportrunner.nl?fromreport=320&amp;regtx,tranline,kacct,x,alltranline5,IN,x,x=950&amp;cr=293" xr:uid="{AECA5D99-921C-457A-9D81-19BE1255E0F8}"/>
    <hyperlink ref="B1749" r:id="rId874" display="https://9607261.app.netsuite.com/app/reporting/reportrunner.nl?fromreport=320&amp;regtx,tranline,kacct,x,alltranline5,IN,x,x=950&amp;cr=293" xr:uid="{0AB2AC84-E19B-4054-9458-C93406D6D4BF}"/>
    <hyperlink ref="B1751" r:id="rId875" display="https://9607261.app.netsuite.com/app/reporting/reportrunner.nl?fromreport=320&amp;regtx,tranline,kacct,x,alltranline5,IN,x,x=950&amp;cr=293" xr:uid="{82F34419-9EF5-4A1D-84CC-470988E63043}"/>
    <hyperlink ref="B1753" r:id="rId876" display="https://9607261.app.netsuite.com/app/reporting/reportrunner.nl?fromreport=320&amp;regtx,tranline,kacct,x,alltranline5,IN,x,x=950&amp;cr=293" xr:uid="{13FD6DF8-51E3-40A9-9361-365E6D092713}"/>
    <hyperlink ref="B1755" r:id="rId877" display="https://9607261.app.netsuite.com/app/reporting/reportrunner.nl?fromreport=320&amp;regtx,tranline,kacct,x,alltranline5,IN,x,x=950&amp;cr=293" xr:uid="{C633CE5C-A431-4F24-8282-415DD4F127A4}"/>
    <hyperlink ref="B1757" r:id="rId878" display="https://9607261.app.netsuite.com/app/reporting/reportrunner.nl?fromreport=320&amp;regtx,tranline,kacct,x,alltranline5,IN,x,x=950&amp;cr=293" xr:uid="{97759590-A0F3-496A-81A7-CBD963C2A4C7}"/>
    <hyperlink ref="B1759" r:id="rId879" display="https://9607261.app.netsuite.com/app/reporting/reportrunner.nl?fromreport=320&amp;regtx,tranline,kacct,x,alltranline5,IN,x,x=950&amp;cr=293" xr:uid="{AD0968DD-BA56-41A7-BC48-5B8132C3898E}"/>
    <hyperlink ref="B1761" r:id="rId880" display="https://9607261.app.netsuite.com/app/reporting/reportrunner.nl?fromreport=320&amp;regtx,tranline,kacct,x,alltranline5,IN,x,x=950&amp;cr=293" xr:uid="{BC2694C3-158A-498F-9FEE-50DBE1B81DD1}"/>
    <hyperlink ref="B1763" r:id="rId881" display="https://9607261.app.netsuite.com/app/reporting/reportrunner.nl?fromreport=320&amp;regtx,tranline,kacct,x,alltranline5,IN,x,x=950&amp;cr=293" xr:uid="{4707DB96-01FA-4110-840A-E5DB41CEA742}"/>
    <hyperlink ref="B1765" r:id="rId882" display="https://9607261.app.netsuite.com/app/reporting/reportrunner.nl?fromreport=320&amp;regtx,tranline,kacct,x,alltranline5,IN,x,x=950&amp;cr=293" xr:uid="{59210ECC-B4B1-4D0F-A6E3-BFE4C81ADB03}"/>
    <hyperlink ref="B1767" r:id="rId883" display="https://9607261.app.netsuite.com/app/reporting/reportrunner.nl?fromreport=320&amp;regtx,tranline,kacct,x,alltranline5,IN,x,x=950&amp;cr=293" xr:uid="{E946B4FE-41B2-4963-87C9-0612667D4F01}"/>
    <hyperlink ref="B1769" r:id="rId884" display="https://9607261.app.netsuite.com/app/reporting/reportrunner.nl?fromreport=320&amp;regtx,tranline,kacct,x,alltranline5,IN,x,x=950&amp;cr=293" xr:uid="{29A3247B-DED8-491C-A3CE-4C21BD6FD586}"/>
    <hyperlink ref="B1771" r:id="rId885" display="https://9607261.app.netsuite.com/app/reporting/reportrunner.nl?fromreport=320&amp;regtx,tranline,kacct,x,alltranline5,IN,x,x=950&amp;cr=293" xr:uid="{77F729BF-EF7A-4F5F-8608-040DD11D7E64}"/>
    <hyperlink ref="B1773" r:id="rId886" display="https://9607261.app.netsuite.com/app/reporting/reportrunner.nl?fromreport=320&amp;regtx,tranline,kacct,x,alltranline5,IN,x,x=950&amp;cr=293" xr:uid="{BBB52764-6935-4683-BF3A-1806950D1BDC}"/>
    <hyperlink ref="B1775" r:id="rId887" display="https://9607261.app.netsuite.com/app/reporting/reportrunner.nl?fromreport=320&amp;regtx,tranline,kacct,x,alltranline5,IN,x,x=950&amp;cr=293" xr:uid="{EBA1AC88-AAF6-4AC0-BA22-12BBF055A356}"/>
    <hyperlink ref="B1777" r:id="rId888" display="https://9607261.app.netsuite.com/app/reporting/reportrunner.nl?fromreport=320&amp;regtx,tranline,kacct,x,alltranline5,IN,x,x=950&amp;cr=293" xr:uid="{B8E663FE-5FF4-4D72-B2E4-29DCB2D59348}"/>
    <hyperlink ref="B1779" r:id="rId889" display="https://9607261.app.netsuite.com/app/reporting/reportrunner.nl?fromreport=320&amp;regtx,tranline,kacct,x,alltranline5,IN,x,x=950&amp;cr=293" xr:uid="{A4996D08-983E-4DEE-B9B6-7537CBAF44BF}"/>
    <hyperlink ref="B1781" r:id="rId890" display="https://9607261.app.netsuite.com/app/reporting/reportrunner.nl?fromreport=320&amp;regtx,tranline,kacct,x,alltranline5,IN,x,x=950&amp;cr=293" xr:uid="{3B6BBD04-30A8-42D8-8A65-93345B590C04}"/>
    <hyperlink ref="B1783" r:id="rId891" display="https://9607261.app.netsuite.com/app/reporting/reportrunner.nl?fromreport=320&amp;regtx,tranline,kacct,x,alltranline5,IN,x,x=950&amp;cr=293" xr:uid="{906C35DE-8425-4322-AF50-BFAFA48EA141}"/>
    <hyperlink ref="B1785" r:id="rId892" display="https://9607261.app.netsuite.com/app/reporting/reportrunner.nl?fromreport=320&amp;regtx,tranline,kacct,x,alltranline5,IN,x,x=950&amp;cr=293" xr:uid="{1A89D7AF-9709-4AA6-A05A-4F8CF5F2880D}"/>
    <hyperlink ref="B1787" r:id="rId893" display="https://9607261.app.netsuite.com/app/reporting/reportrunner.nl?fromreport=320&amp;regtx,tranline,kacct,x,alltranline5,IN,x,x=950&amp;cr=293" xr:uid="{6D8253E4-7CA0-4C84-8A9A-677B34472A3B}"/>
    <hyperlink ref="B1789" r:id="rId894" display="https://9607261.app.netsuite.com/app/reporting/reportrunner.nl?fromreport=320&amp;regtx,tranline,kacct,x,alltranline5,IN,x,x=950&amp;cr=293" xr:uid="{2AA32979-8670-4409-939E-92F3499860BB}"/>
    <hyperlink ref="B1791" r:id="rId895" display="https://9607261.app.netsuite.com/app/reporting/reportrunner.nl?fromreport=320&amp;regtx,tranline,kacct,x,alltranline5,IN,x,x=950&amp;cr=293" xr:uid="{D8B36A95-26E7-4BA5-9FDD-95F50F0E1774}"/>
    <hyperlink ref="B1793" r:id="rId896" display="https://9607261.app.netsuite.com/app/reporting/reportrunner.nl?fromreport=320&amp;regtx,tranline,kacct,x,alltranline5,IN,x,x=950&amp;cr=293" xr:uid="{6622516B-480B-46C1-B145-EFD6DEA07F35}"/>
    <hyperlink ref="B1795" r:id="rId897" display="https://9607261.app.netsuite.com/app/reporting/reportrunner.nl?fromreport=320&amp;regtx,tranline,kacct,x,alltranline5,IN,x,x=950&amp;cr=293" xr:uid="{530FA606-3448-43BE-908A-33FB39A030AE}"/>
    <hyperlink ref="B1797" r:id="rId898" display="https://9607261.app.netsuite.com/app/reporting/reportrunner.nl?fromreport=320&amp;regtx,tranline,kacct,x,alltranline5,IN,x,x=950&amp;cr=293" xr:uid="{BBB70CCE-328F-4C34-997D-8D258965430E}"/>
    <hyperlink ref="B1799" r:id="rId899" display="https://9607261.app.netsuite.com/app/reporting/reportrunner.nl?fromreport=320&amp;regtx,tranline,kacct,x,alltranline5,IN,x,x=950&amp;cr=293" xr:uid="{E57BEAF7-FE7F-4A10-8727-B12F66AFDD70}"/>
    <hyperlink ref="B1801" r:id="rId900" display="https://9607261.app.netsuite.com/app/reporting/reportrunner.nl?fromreport=320&amp;regtx,tranline,kacct,x,alltranline5,IN,x,x=950&amp;cr=293" xr:uid="{8B7C8B74-0F2B-4680-9A13-FA9555008B3C}"/>
    <hyperlink ref="B1803" r:id="rId901" display="https://9607261.app.netsuite.com/app/reporting/reportrunner.nl?fromreport=320&amp;regtx,tranline,kacct,x,alltranline5,IN,x,x=950&amp;cr=293" xr:uid="{674CF952-9A4E-4547-9BAA-4D7D408D2C35}"/>
    <hyperlink ref="B1805" r:id="rId902" display="https://9607261.app.netsuite.com/app/reporting/reportrunner.nl?fromreport=320&amp;regtx,tranline,kacct,x,alltranline5,IN,x,x=950&amp;cr=293" xr:uid="{6BD74D27-60DF-4D07-86EE-792121C37CF3}"/>
    <hyperlink ref="B1807" r:id="rId903" display="https://9607261.app.netsuite.com/app/reporting/reportrunner.nl?fromreport=320&amp;regtx,tranline,kacct,x,alltranline5,IN,x,x=950&amp;cr=293" xr:uid="{C3A47A94-E81A-4B21-808D-44B06331036A}"/>
    <hyperlink ref="B1809" r:id="rId904" display="https://9607261.app.netsuite.com/app/reporting/reportrunner.nl?fromreport=320&amp;regtx,tranline,kacct,x,alltranline5,IN,x,x=950&amp;cr=293" xr:uid="{E837586F-F4DE-44E0-ABA9-833378B9A9F2}"/>
    <hyperlink ref="B1811" r:id="rId905" display="https://9607261.app.netsuite.com/app/reporting/reportrunner.nl?fromreport=320&amp;regtx,tranline,kacct,x,alltranline5,IN,x,x=950&amp;cr=293" xr:uid="{30B05D6A-3F08-4B9B-A351-C05A42B41580}"/>
    <hyperlink ref="B1813" r:id="rId906" display="https://9607261.app.netsuite.com/app/reporting/reportrunner.nl?fromreport=320&amp;regtx,tranline,kacct,x,alltranline5,IN,x,x=950&amp;cr=293" xr:uid="{70226F08-3070-440C-81A1-87D945254E76}"/>
    <hyperlink ref="B1815" r:id="rId907" display="https://9607261.app.netsuite.com/app/reporting/reportrunner.nl?fromreport=320&amp;regtx,tranline,kacct,x,alltranline5,IN,x,x=950&amp;cr=293" xr:uid="{64D3D3FB-0C84-44E9-9CB9-4591B72096E4}"/>
    <hyperlink ref="B1817" r:id="rId908" display="https://9607261.app.netsuite.com/app/reporting/reportrunner.nl?fromreport=320&amp;regtx,tranline,kacct,x,alltranline5,IN,x,x=950&amp;cr=293" xr:uid="{C974151B-E50E-4C40-8C13-19797A6A1E8D}"/>
    <hyperlink ref="B1819" r:id="rId909" display="https://9607261.app.netsuite.com/app/reporting/reportrunner.nl?fromreport=320&amp;regtx,tranline,kacct,x,alltranline5,IN,x,x=950&amp;cr=293" xr:uid="{68A9F534-4A32-447F-AC7C-342ABDF767B6}"/>
    <hyperlink ref="B1821" r:id="rId910" display="https://9607261.app.netsuite.com/app/reporting/reportrunner.nl?fromreport=320&amp;regtx,tranline,kacct,x,alltranline5,IN,x,x=950&amp;cr=293" xr:uid="{7B3D1406-F263-4984-981B-FA7F8593659C}"/>
    <hyperlink ref="B1823" r:id="rId911" display="https://9607261.app.netsuite.com/app/reporting/reportrunner.nl?fromreport=320&amp;regtx,tranline,kacct,x,alltranline5,IN,x,x=950&amp;cr=293" xr:uid="{3D8B14CB-6871-4600-A706-F25AA002890D}"/>
    <hyperlink ref="B1825" r:id="rId912" display="https://9607261.app.netsuite.com/app/reporting/reportrunner.nl?fromreport=320&amp;regtx,tranline,kacct,x,alltranline5,IN,x,x=950&amp;cr=293" xr:uid="{79C917D3-A190-4A17-A807-097E28ACE1A2}"/>
    <hyperlink ref="B1827" r:id="rId913" display="https://9607261.app.netsuite.com/app/reporting/reportrunner.nl?fromreport=320&amp;regtx,tranline,kacct,x,alltranline5,IN,x,x=950&amp;cr=293" xr:uid="{0B29A8AF-F224-4DCA-B052-40EFD0DB739C}"/>
    <hyperlink ref="B1829" r:id="rId914" display="https://9607261.app.netsuite.com/app/reporting/reportrunner.nl?fromreport=320&amp;regtx,tranline,kacct,x,alltranline5,IN,x,x=950&amp;cr=293" xr:uid="{65AFBDED-FC0C-42B7-BF43-DE006076C6B1}"/>
    <hyperlink ref="B1831" r:id="rId915" display="https://9607261.app.netsuite.com/app/reporting/reportrunner.nl?fromreport=320&amp;regtx,tranline,kacct,x,alltranline5,IN,x,x=950&amp;cr=293" xr:uid="{230471DB-9169-4C5D-A119-675ED55B74B2}"/>
    <hyperlink ref="B1833" r:id="rId916" display="https://9607261.app.netsuite.com/app/reporting/reportrunner.nl?fromreport=320&amp;regtx,tranline,kacct,x,alltranline5,IN,x,x=950&amp;cr=293" xr:uid="{BDA455E4-A994-4601-A20C-66F321C4A2EB}"/>
    <hyperlink ref="B1835" r:id="rId917" display="https://9607261.app.netsuite.com/app/reporting/reportrunner.nl?fromreport=320&amp;regtx,tranline,kacct,x,alltranline5,IN,x,x=950&amp;cr=293" xr:uid="{A5A5B322-8E59-4B77-908C-E980010F5DAD}"/>
    <hyperlink ref="B1837" r:id="rId918" display="https://9607261.app.netsuite.com/app/reporting/reportrunner.nl?fromreport=320&amp;regtx,tranline,kacct,x,alltranline5,IN,x,x=950&amp;cr=293" xr:uid="{B23F7B1C-C349-4763-A11B-4CE6036D0110}"/>
    <hyperlink ref="B1839" r:id="rId919" display="https://9607261.app.netsuite.com/app/reporting/reportrunner.nl?fromreport=320&amp;regtx,tranline,kacct,x,alltranline5,IN,x,x=950&amp;cr=293" xr:uid="{E7477E48-786E-48F7-870E-20B1570695CB}"/>
    <hyperlink ref="B1841" r:id="rId920" display="https://9607261.app.netsuite.com/app/reporting/reportrunner.nl?fromreport=320&amp;regtx,tranline,kacct,x,alltranline5,IN,x,x=950&amp;cr=293" xr:uid="{5DB67808-327F-43BF-9ADF-B0893D7A0379}"/>
    <hyperlink ref="B1843" r:id="rId921" display="https://9607261.app.netsuite.com/app/reporting/reportrunner.nl?fromreport=320&amp;regtx,tranline,kacct,x,alltranline5,IN,x,x=950&amp;cr=293" xr:uid="{FEAAF19D-D856-4388-9333-4F86C1B62F66}"/>
    <hyperlink ref="B1845" r:id="rId922" display="https://9607261.app.netsuite.com/app/reporting/reportrunner.nl?fromreport=320&amp;regtx,tranline,kacct,x,alltranline5,IN,x,x=950&amp;cr=293" xr:uid="{D1990723-B4C4-4572-8C44-18511AC98112}"/>
    <hyperlink ref="B1847" r:id="rId923" display="https://9607261.app.netsuite.com/app/reporting/reportrunner.nl?fromreport=320&amp;regtx,tranline,kacct,x,alltranline5,IN,x,x=950&amp;cr=293" xr:uid="{60058390-6F41-4767-9A7F-5A7A02C58F3B}"/>
    <hyperlink ref="B1849" r:id="rId924" display="https://9607261.app.netsuite.com/app/reporting/reportrunner.nl?fromreport=320&amp;regtx,tranline,kacct,x,alltranline5,IN,x,x=950&amp;cr=293" xr:uid="{08CC9D00-1AA0-4EA5-A1F5-5DD9253EFE6C}"/>
    <hyperlink ref="B1851" r:id="rId925" display="https://9607261.app.netsuite.com/app/reporting/reportrunner.nl?fromreport=320&amp;regtx,tranline,kacct,x,alltranline5,IN,x,x=950&amp;cr=293" xr:uid="{B9AAF276-F2F0-436E-B075-3DB4A269DF7A}"/>
    <hyperlink ref="B1853" r:id="rId926" display="https://9607261.app.netsuite.com/app/reporting/reportrunner.nl?fromreport=320&amp;regtx,tranline,kacct,x,alltranline5,IN,x,x=950&amp;cr=293" xr:uid="{E7AC21F3-6115-43F6-A199-966297DDD5ED}"/>
    <hyperlink ref="B1855" r:id="rId927" display="https://9607261.app.netsuite.com/app/reporting/reportrunner.nl?fromreport=320&amp;regtx,tranline,kacct,x,alltranline5,IN,x,x=950&amp;cr=293" xr:uid="{B326FEFE-DE7F-46EC-8827-4D02D0195FD8}"/>
    <hyperlink ref="B1857" r:id="rId928" display="https://9607261.app.netsuite.com/app/reporting/reportrunner.nl?fromreport=320&amp;regtx,tranline,kacct,x,alltranline5,IN,x,x=950&amp;cr=293" xr:uid="{BD8478B3-C65D-4678-A98C-EE7265CA0EFF}"/>
    <hyperlink ref="B1859" r:id="rId929" display="https://9607261.app.netsuite.com/app/reporting/reportrunner.nl?fromreport=320&amp;regtx,tranline,kacct,x,alltranline5,IN,x,x=950&amp;cr=293" xr:uid="{C38953BF-451E-43B3-877A-FF5FAED6F6F1}"/>
    <hyperlink ref="B1861" r:id="rId930" display="https://9607261.app.netsuite.com/app/reporting/reportrunner.nl?fromreport=320&amp;regtx,tranline,kacct,x,alltranline5,IN,x,x=950&amp;cr=293" xr:uid="{22CCF3B3-97FA-4EEA-8A0F-03A1009B91A0}"/>
    <hyperlink ref="B1863" r:id="rId931" display="https://9607261.app.netsuite.com/app/reporting/reportrunner.nl?fromreport=320&amp;regtx,tranline,kacct,x,alltranline5,IN,x,x=950&amp;cr=293" xr:uid="{563DA95D-9E2D-47D3-81AF-634A0E193B27}"/>
    <hyperlink ref="B1865" r:id="rId932" display="https://9607261.app.netsuite.com/app/reporting/reportrunner.nl?fromreport=320&amp;regtx,tranline,kacct,x,alltranline5,IN,x,x=950&amp;cr=293" xr:uid="{63D88D41-7BE1-4AC0-8A0B-30576BFB5617}"/>
    <hyperlink ref="B1867" r:id="rId933" display="https://9607261.app.netsuite.com/app/reporting/reportrunner.nl?fromreport=320&amp;regtx,tranline,kacct,x,alltranline5,IN,x,x=950&amp;cr=293" xr:uid="{61B336B0-83BA-4C89-81A7-8BF912C1D798}"/>
    <hyperlink ref="B1869" r:id="rId934" display="https://9607261.app.netsuite.com/app/reporting/reportrunner.nl?fromreport=320&amp;regtx,tranline,kacct,x,alltranline5,IN,x,x=950&amp;cr=293" xr:uid="{2BD67EB0-301D-4B84-92F0-9629471781A2}"/>
    <hyperlink ref="B1871" r:id="rId935" display="https://9607261.app.netsuite.com/app/reporting/reportrunner.nl?fromreport=320&amp;regtx,tranline,kacct,x,alltranline5,IN,x,x=950&amp;cr=293" xr:uid="{1237C793-0103-468C-8729-15DCE93F58CA}"/>
    <hyperlink ref="B1873" r:id="rId936" display="https://9607261.app.netsuite.com/app/reporting/reportrunner.nl?fromreport=320&amp;regtx,tranline,kacct,x,alltranline5,IN,x,x=950&amp;cr=293" xr:uid="{997C69E8-3A47-4ED7-B3EC-2C6CBE695162}"/>
    <hyperlink ref="B1875" r:id="rId937" display="https://9607261.app.netsuite.com/app/reporting/reportrunner.nl?fromreport=320&amp;regtx,tranline,kacct,x,alltranline5,IN,x,x=950&amp;cr=293" xr:uid="{46D604BF-6BCA-4B10-9F7C-2C471A38C97D}"/>
    <hyperlink ref="B1877" r:id="rId938" display="https://9607261.app.netsuite.com/app/reporting/reportrunner.nl?fromreport=320&amp;regtx,tranline,kacct,x,alltranline5,IN,x,x=950&amp;cr=293" xr:uid="{747B5FC3-1F17-468F-B850-4269B6EBF3B1}"/>
    <hyperlink ref="B1879" r:id="rId939" display="https://9607261.app.netsuite.com/app/reporting/reportrunner.nl?fromreport=320&amp;regtx,tranline,kacct,x,alltranline5,IN,x,x=950&amp;cr=293" xr:uid="{7BE0B55F-77A4-4193-BF9F-898615E660B9}"/>
    <hyperlink ref="B1881" r:id="rId940" display="https://9607261.app.netsuite.com/app/reporting/reportrunner.nl?fromreport=320&amp;regtx,tranline,kacct,x,alltranline5,IN,x,x=950&amp;cr=293" xr:uid="{15DEB506-1BE8-45F0-A5A6-F65916D77E37}"/>
    <hyperlink ref="B1883" r:id="rId941" display="https://9607261.app.netsuite.com/app/reporting/reportrunner.nl?fromreport=320&amp;regtx,tranline,kacct,x,alltranline5,IN,x,x=950&amp;cr=293" xr:uid="{0F400329-D138-4E00-83D8-9C568C7E5200}"/>
    <hyperlink ref="B1885" r:id="rId942" display="https://9607261.app.netsuite.com/app/reporting/reportrunner.nl?fromreport=320&amp;regtx,tranline,kacct,x,alltranline5,IN,x,x=950&amp;cr=293" xr:uid="{08855F8A-83DC-4A64-A55A-001D089D0A41}"/>
    <hyperlink ref="B1887" r:id="rId943" display="https://9607261.app.netsuite.com/app/reporting/reportrunner.nl?fromreport=320&amp;regtx,tranline,kacct,x,alltranline5,IN,x,x=950&amp;cr=293" xr:uid="{1CAC6308-D273-48BD-BABD-EBE06A860328}"/>
    <hyperlink ref="B1889" r:id="rId944" display="https://9607261.app.netsuite.com/app/reporting/reportrunner.nl?fromreport=320&amp;regtx,tranline,kacct,x,alltranline5,IN,x,x=950&amp;cr=293" xr:uid="{C20767FA-F35A-4B48-A232-444B5B454667}"/>
    <hyperlink ref="B1891" r:id="rId945" display="https://9607261.app.netsuite.com/app/reporting/reportrunner.nl?fromreport=320&amp;regtx,tranline,kacct,x,alltranline5,IN,x,x=950&amp;cr=293" xr:uid="{5C4A869F-B9F2-456C-B31D-A075BA20D12B}"/>
    <hyperlink ref="B1893" r:id="rId946" display="https://9607261.app.netsuite.com/app/reporting/reportrunner.nl?fromreport=320&amp;regtx,tranline,kacct,x,alltranline5,IN,x,x=950&amp;cr=293" xr:uid="{3A3D587D-57D3-4E2D-A70D-422273C12135}"/>
    <hyperlink ref="B1895" r:id="rId947" display="https://9607261.app.netsuite.com/app/reporting/reportrunner.nl?fromreport=320&amp;regtx,tranline,kacct,x,alltranline5,IN,x,x=950&amp;cr=293" xr:uid="{E7BFF483-35F9-4F47-A642-B95A66C309C3}"/>
    <hyperlink ref="B1897" r:id="rId948" display="https://9607261.app.netsuite.com/app/reporting/reportrunner.nl?fromreport=320&amp;regtx,tranline,kacct,x,alltranline5,IN,x,x=950&amp;cr=293" xr:uid="{C809CBC3-2D3F-4D1C-A5AF-F4F6C47C424A}"/>
    <hyperlink ref="B1899" r:id="rId949" display="https://9607261.app.netsuite.com/app/reporting/reportrunner.nl?fromreport=320&amp;regtx,tranline,kacct,x,alltranline5,IN,x,x=950&amp;cr=293" xr:uid="{5E4E8510-4890-4778-BB00-DBD2AF45ED5B}"/>
    <hyperlink ref="B1901" r:id="rId950" display="https://9607261.app.netsuite.com/app/reporting/reportrunner.nl?fromreport=320&amp;regtx,tranline,kacct,x,alltranline5,IN,x,x=950&amp;cr=293" xr:uid="{F0577187-08D1-465D-A7A2-6304CA8BF60E}"/>
    <hyperlink ref="B1903" r:id="rId951" display="https://9607261.app.netsuite.com/app/reporting/reportrunner.nl?fromreport=320&amp;regtx,tranline,kacct,x,alltranline5,IN,x,x=950&amp;cr=293" xr:uid="{817D6C74-E4AC-451D-A890-BF0B96E0F22F}"/>
    <hyperlink ref="B1905" r:id="rId952" display="https://9607261.app.netsuite.com/app/reporting/reportrunner.nl?fromreport=320&amp;regtx,tranline,kacct,x,alltranline5,IN,x,x=950&amp;cr=293" xr:uid="{FD205A68-0EE6-4CB7-9F12-86B133FF1CC8}"/>
    <hyperlink ref="B1907" r:id="rId953" display="https://9607261.app.netsuite.com/app/reporting/reportrunner.nl?fromreport=320&amp;regtx,tranline,kacct,x,alltranline5,IN,x,x=950&amp;cr=293" xr:uid="{44A17596-39F6-4B04-A83B-FF26C53DF76B}"/>
    <hyperlink ref="B1909" r:id="rId954" display="https://9607261.app.netsuite.com/app/reporting/reportrunner.nl?fromreport=320&amp;regtx,tranline,kacct,x,alltranline5,IN,x,x=950&amp;cr=293" xr:uid="{3006E649-34E1-462C-A8C9-74F443FF497C}"/>
    <hyperlink ref="B1911" r:id="rId955" display="https://9607261.app.netsuite.com/app/reporting/reportrunner.nl?fromreport=320&amp;regtx,tranline,kacct,x,alltranline5,IN,x,x=950&amp;cr=293" xr:uid="{AF0E35D0-ADDC-48EB-8A9E-2CEC099E994F}"/>
    <hyperlink ref="B1913" r:id="rId956" display="https://9607261.app.netsuite.com/app/reporting/reportrunner.nl?fromreport=320&amp;regtx,tranline,kacct,x,alltranline5,IN,x,x=950&amp;cr=293" xr:uid="{88CBA3D4-9F45-4B10-8D36-19C7332D179E}"/>
    <hyperlink ref="B1915" r:id="rId957" display="https://9607261.app.netsuite.com/app/reporting/reportrunner.nl?fromreport=320&amp;regtx,tranline,kacct,x,alltranline5,IN,x,x=950&amp;cr=293" xr:uid="{6AF57CE3-E80E-4DD3-A8A3-2C120638F846}"/>
    <hyperlink ref="B1917" r:id="rId958" display="https://9607261.app.netsuite.com/app/reporting/reportrunner.nl?fromreport=320&amp;regtx,tranline,kacct,x,alltranline5,IN,x,x=950&amp;cr=293" xr:uid="{491C31D1-7D96-47A5-A6B7-6E4EEFFFA433}"/>
    <hyperlink ref="B1919" r:id="rId959" display="https://9607261.app.netsuite.com/app/reporting/reportrunner.nl?fromreport=320&amp;regtx,tranline,kacct,x,alltranline5,IN,x,x=950&amp;cr=293" xr:uid="{CF625B08-400F-42C8-BB91-5B5A0A6CB26E}"/>
    <hyperlink ref="B1921" r:id="rId960" display="https://9607261.app.netsuite.com/app/reporting/reportrunner.nl?fromreport=320&amp;regtx,tranline,kacct,x,alltranline5,IN,x,x=950&amp;cr=293" xr:uid="{DBDFF7AF-B69E-414B-9C24-518C8538D218}"/>
    <hyperlink ref="B1923" r:id="rId961" display="https://9607261.app.netsuite.com/app/reporting/reportrunner.nl?fromreport=320&amp;regtx,tranline,kacct,x,alltranline5,IN,x,x=950&amp;cr=293" xr:uid="{0A6FDDEE-CB21-45EB-9C5B-BC624A2A70B8}"/>
    <hyperlink ref="B1925" r:id="rId962" display="https://9607261.app.netsuite.com/app/reporting/reportrunner.nl?fromreport=320&amp;regtx,tranline,kacct,x,alltranline5,IN,x,x=950&amp;cr=293" xr:uid="{CB6B63E4-A92D-4A88-83B9-A4DEE7819057}"/>
    <hyperlink ref="B1927" r:id="rId963" display="https://9607261.app.netsuite.com/app/reporting/reportrunner.nl?fromreport=320&amp;regtx,tranline,kacct,x,alltranline5,IN,x,x=950&amp;cr=293" xr:uid="{8EEE2810-2E3F-42EE-BC43-5BBD48FD9153}"/>
    <hyperlink ref="B1929" r:id="rId964" display="https://9607261.app.netsuite.com/app/reporting/reportrunner.nl?fromreport=320&amp;regtx,tranline,kacct,x,alltranline5,IN,x,x=950&amp;cr=293" xr:uid="{768FB546-CD86-467E-8D7A-8ADD17ECA2C8}"/>
    <hyperlink ref="B1931" r:id="rId965" display="https://9607261.app.netsuite.com/app/reporting/reportrunner.nl?fromreport=320&amp;regtx,tranline,kacct,x,alltranline5,IN,x,x=950&amp;cr=293" xr:uid="{E2CCD228-B3B9-4598-9356-BCEEAFA8F378}"/>
    <hyperlink ref="B1933" r:id="rId966" display="https://9607261.app.netsuite.com/app/reporting/reportrunner.nl?fromreport=320&amp;regtx,tranline,kacct,x,alltranline5,IN,x,x=950&amp;cr=293" xr:uid="{1FD4A4F3-E5E7-4267-A368-6A3D3D968BF7}"/>
    <hyperlink ref="B1935" r:id="rId967" display="https://9607261.app.netsuite.com/app/reporting/reportrunner.nl?fromreport=320&amp;regtx,tranline,kacct,x,alltranline5,IN,x,x=950&amp;cr=293" xr:uid="{D91B1637-8E79-4473-9297-083B70CAA800}"/>
    <hyperlink ref="B1937" r:id="rId968" display="https://9607261.app.netsuite.com/app/reporting/reportrunner.nl?fromreport=320&amp;regtx,tranline,kacct,x,alltranline5,IN,x,x=950&amp;cr=293" xr:uid="{D6ACC33D-E222-4B8D-9A90-1820F814FA65}"/>
    <hyperlink ref="B1939" r:id="rId969" display="https://9607261.app.netsuite.com/app/reporting/reportrunner.nl?fromreport=320&amp;regtx,tranline,kacct,x,alltranline5,IN,x,x=950&amp;cr=293" xr:uid="{3E4BEC96-60D9-4609-A4D5-DD58DE188B3E}"/>
    <hyperlink ref="B1941" r:id="rId970" display="https://9607261.app.netsuite.com/app/reporting/reportrunner.nl?fromreport=320&amp;regtx,tranline,kacct,x,alltranline5,IN,x,x=950&amp;cr=293" xr:uid="{BF228F63-13CC-4FD4-A958-DFC124B5FE00}"/>
    <hyperlink ref="B1943" r:id="rId971" display="https://9607261.app.netsuite.com/app/reporting/reportrunner.nl?fromreport=320&amp;regtx,tranline,kacct,x,alltranline5,IN,x,x=950&amp;cr=293" xr:uid="{2C8E2558-F11E-426F-9B4D-C58C19149B2D}"/>
    <hyperlink ref="B1945" r:id="rId972" display="https://9607261.app.netsuite.com/app/reporting/reportrunner.nl?fromreport=320&amp;regtx,tranline,kacct,x,alltranline5,IN,x,x=950&amp;cr=293" xr:uid="{1DE86552-25A1-4A3E-96C4-D8041930352D}"/>
    <hyperlink ref="B1947" r:id="rId973" display="https://9607261.app.netsuite.com/app/reporting/reportrunner.nl?fromreport=320&amp;regtx,tranline,kacct,x,alltranline5,IN,x,x=950&amp;cr=293" xr:uid="{064E176E-D882-4F43-93EA-1D4888777413}"/>
    <hyperlink ref="B1949" r:id="rId974" display="https://9607261.app.netsuite.com/app/reporting/reportrunner.nl?fromreport=320&amp;regtx,tranline,kacct,x,alltranline5,IN,x,x=950&amp;cr=293" xr:uid="{D7FEE95F-269E-4222-813D-DE5BDFD0111D}"/>
    <hyperlink ref="B1951" r:id="rId975" display="https://9607261.app.netsuite.com/app/reporting/reportrunner.nl?fromreport=320&amp;regtx,tranline,kacct,x,alltranline5,IN,x,x=950&amp;cr=293" xr:uid="{08242448-8240-46F7-B721-5F15A063A3CD}"/>
    <hyperlink ref="B1953" r:id="rId976" display="https://9607261.app.netsuite.com/app/reporting/reportrunner.nl?fromreport=320&amp;regtx,tranline,kacct,x,alltranline5,IN,x,x=950&amp;cr=293" xr:uid="{17780E0D-56A5-4F99-9072-4A6F569C15FC}"/>
    <hyperlink ref="B1955" r:id="rId977" display="https://9607261.app.netsuite.com/app/reporting/reportrunner.nl?fromreport=320&amp;regtx,tranline,kacct,x,alltranline5,IN,x,x=950&amp;cr=293" xr:uid="{FFC818D4-94EB-4C89-818E-86D12BE98EFD}"/>
    <hyperlink ref="B1957" r:id="rId978" display="https://9607261.app.netsuite.com/app/reporting/reportrunner.nl?fromreport=320&amp;regtx,tranline,kacct,x,alltranline5,IN,x,x=950&amp;cr=293" xr:uid="{F2826D5F-AD2A-489A-B021-9B0D8F31722F}"/>
    <hyperlink ref="B1959" r:id="rId979" display="https://9607261.app.netsuite.com/app/reporting/reportrunner.nl?fromreport=320&amp;regtx,tranline,kacct,x,alltranline5,IN,x,x=950&amp;cr=293" xr:uid="{490378A3-920B-4E86-A795-79EAF2667B62}"/>
    <hyperlink ref="B1961" r:id="rId980" display="https://9607261.app.netsuite.com/app/reporting/reportrunner.nl?fromreport=320&amp;regtx,tranline,kacct,x,alltranline5,IN,x,x=950&amp;cr=293" xr:uid="{C129C380-720F-4928-AC4F-5B91C4B9AC35}"/>
    <hyperlink ref="B1963" r:id="rId981" display="https://9607261.app.netsuite.com/app/reporting/reportrunner.nl?fromreport=320&amp;regtx,tranline,kacct,x,alltranline5,IN,x,x=950&amp;cr=293" xr:uid="{C605E75F-5550-4C50-9C43-3A7E91FBA084}"/>
    <hyperlink ref="B1965" r:id="rId982" display="https://9607261.app.netsuite.com/app/reporting/reportrunner.nl?fromreport=320&amp;regtx,tranline,kacct,x,alltranline5,IN,x,x=950&amp;cr=293" xr:uid="{FBB14BBC-A20C-43E5-8794-BAF968564A1B}"/>
    <hyperlink ref="B1967" r:id="rId983" display="https://9607261.app.netsuite.com/app/reporting/reportrunner.nl?fromreport=320&amp;regtx,tranline,kacct,x,alltranline5,IN,x,x=950&amp;cr=293" xr:uid="{2FB961EB-08BD-4FA0-B587-8F91A44F5E11}"/>
    <hyperlink ref="B1969" r:id="rId984" display="https://9607261.app.netsuite.com/app/reporting/reportrunner.nl?fromreport=320&amp;regtx,tranline,kacct,x,alltranline5,IN,x,x=950&amp;cr=293" xr:uid="{9375CACC-4763-40D8-BC1D-361BE2217CED}"/>
    <hyperlink ref="B1971" r:id="rId985" display="https://9607261.app.netsuite.com/app/reporting/reportrunner.nl?fromreport=320&amp;regtx,tranline,kacct,x,alltranline5,IN,x,x=950&amp;cr=293" xr:uid="{CA8B6F9F-0A9B-4693-8801-AA52557E665C}"/>
    <hyperlink ref="B1973" r:id="rId986" display="https://9607261.app.netsuite.com/app/reporting/reportrunner.nl?fromreport=320&amp;regtx,tranline,kacct,x,alltranline5,IN,x,x=950&amp;cr=293" xr:uid="{3465D8BF-D8E8-406B-BB07-CD6116A1F6E4}"/>
    <hyperlink ref="B1975" r:id="rId987" display="https://9607261.app.netsuite.com/app/reporting/reportrunner.nl?fromreport=320&amp;regtx,tranline,kacct,x,alltranline5,IN,x,x=950&amp;cr=293" xr:uid="{339EEF33-0AE2-4A4C-80A9-38D14B9DB3E3}"/>
    <hyperlink ref="B1977" r:id="rId988" display="https://9607261.app.netsuite.com/app/reporting/reportrunner.nl?fromreport=320&amp;regtx,tranline,kacct,x,alltranline5,IN,x,x=950&amp;cr=293" xr:uid="{0DD2CFCF-EC7E-43C5-94E2-B5D27F80CF08}"/>
    <hyperlink ref="B1979" r:id="rId989" display="https://9607261.app.netsuite.com/app/reporting/reportrunner.nl?fromreport=320&amp;regtx,tranline,kacct,x,alltranline5,IN,x,x=950&amp;cr=293" xr:uid="{41D7D0E3-CFA0-49C9-A877-AA585941AB2A}"/>
    <hyperlink ref="B1981" r:id="rId990" display="https://9607261.app.netsuite.com/app/reporting/reportrunner.nl?fromreport=320&amp;regtx,tranline,kacct,x,alltranline5,IN,x,x=950&amp;cr=293" xr:uid="{D76FE978-25AB-4A0B-9EB2-8742685AA3BA}"/>
    <hyperlink ref="B1983" r:id="rId991" display="https://9607261.app.netsuite.com/app/reporting/reportrunner.nl?fromreport=320&amp;regtx,tranline,kacct,x,alltranline5,IN,x,x=950&amp;cr=293" xr:uid="{4E4DA802-66C1-40AA-981C-AAAD21AF0F6E}"/>
    <hyperlink ref="B1985" r:id="rId992" display="https://9607261.app.netsuite.com/app/reporting/reportrunner.nl?fromreport=320&amp;regtx,tranline,kacct,x,alltranline5,IN,x,x=950&amp;cr=293" xr:uid="{70E466C5-2301-46AA-92AF-8328A2E9FCA0}"/>
    <hyperlink ref="B1987" r:id="rId993" display="https://9607261.app.netsuite.com/app/reporting/reportrunner.nl?fromreport=320&amp;regtx,tranline,kacct,x,alltranline5,IN,x,x=950&amp;cr=293" xr:uid="{BDF43818-3A9B-4B24-9AF8-1B2A1587A2B1}"/>
    <hyperlink ref="B1989" r:id="rId994" display="https://9607261.app.netsuite.com/app/reporting/reportrunner.nl?fromreport=320&amp;regtx,tranline,kacct,x,alltranline5,IN,x,x=950&amp;cr=293" xr:uid="{8C664833-628D-4B49-AD66-1A326C7FF35F}"/>
    <hyperlink ref="B1991" r:id="rId995" display="https://9607261.app.netsuite.com/app/reporting/reportrunner.nl?fromreport=320&amp;regtx,tranline,kacct,x,alltranline5,IN,x,x=950&amp;cr=293" xr:uid="{31B3FD84-2FF4-40C6-8CB6-274CFA366D42}"/>
    <hyperlink ref="B1993" r:id="rId996" display="https://9607261.app.netsuite.com/app/reporting/reportrunner.nl?fromreport=320&amp;regtx,tranline,kacct,x,alltranline5,IN,x,x=950&amp;cr=293" xr:uid="{A55032D2-8BBC-4FB1-B616-E0655FF11589}"/>
    <hyperlink ref="B1995" r:id="rId997" display="https://9607261.app.netsuite.com/app/reporting/reportrunner.nl?fromreport=320&amp;regtx,tranline,kacct,x,alltranline5,IN,x,x=950&amp;cr=293" xr:uid="{483EC006-4CDF-437B-A611-8FCADB1F0E7E}"/>
    <hyperlink ref="B1997" r:id="rId998" display="https://9607261.app.netsuite.com/app/reporting/reportrunner.nl?fromreport=320&amp;regtx,tranline,kacct,x,alltranline5,IN,x,x=950&amp;cr=293" xr:uid="{01A728BC-D375-4AC0-8E24-38DA71DAA436}"/>
    <hyperlink ref="B1999" r:id="rId999" display="https://9607261.app.netsuite.com/app/reporting/reportrunner.nl?fromreport=320&amp;regtx,tranline,kacct,x,alltranline5,IN,x,x=950&amp;cr=293" xr:uid="{28F414A0-90BC-4ACB-903C-85FE8F1EA2B3}"/>
    <hyperlink ref="B2001" r:id="rId1000" display="https://9607261.app.netsuite.com/app/reporting/reportrunner.nl?fromreport=320&amp;regtx,tranline,kacct,x,alltranline5,IN,x,x=950&amp;cr=293" xr:uid="{87D8E4F1-4DD4-4610-B062-C25D63A348F9}"/>
    <hyperlink ref="B2003" r:id="rId1001" display="https://9607261.app.netsuite.com/app/reporting/reportrunner.nl?fromreport=320&amp;regtx,tranline,kacct,x,alltranline5,IN,x,x=950&amp;cr=293" xr:uid="{09A71D4F-610B-472A-8E57-166818C69F0E}"/>
    <hyperlink ref="B2005" r:id="rId1002" display="https://9607261.app.netsuite.com/app/reporting/reportrunner.nl?fromreport=320&amp;regtx,tranline,kacct,x,alltranline5,IN,x,x=950&amp;cr=293" xr:uid="{F34A8C7E-8BB1-4805-A814-BD64F95DF48C}"/>
    <hyperlink ref="B2007" r:id="rId1003" display="https://9607261.app.netsuite.com/app/reporting/reportrunner.nl?fromreport=320&amp;regtx,tranline,kacct,x,alltranline5,IN,x,x=950&amp;cr=293" xr:uid="{D3F4F3AA-4298-4921-A620-5B54925434C9}"/>
    <hyperlink ref="B2009" r:id="rId1004" display="https://9607261.app.netsuite.com/app/reporting/reportrunner.nl?fromreport=320&amp;regtx,tranline,kacct,x,alltranline5,IN,x,x=950&amp;cr=293" xr:uid="{DEFB4A00-86CB-43DA-9257-D30DA8BD4D11}"/>
    <hyperlink ref="B2011" r:id="rId1005" display="https://9607261.app.netsuite.com/app/reporting/reportrunner.nl?fromreport=320&amp;regtx,tranline,kacct,x,alltranline5,IN,x,x=950&amp;cr=293" xr:uid="{0342AB63-391D-4FD2-AE24-D78320155A99}"/>
    <hyperlink ref="B2013" r:id="rId1006" display="https://9607261.app.netsuite.com/app/reporting/reportrunner.nl?fromreport=320&amp;regtx,tranline,kacct,x,alltranline5,IN,x,x=950&amp;cr=293" xr:uid="{7C5D9EB4-0DA2-413B-9363-B651DD722C83}"/>
    <hyperlink ref="B2015" r:id="rId1007" display="https://9607261.app.netsuite.com/app/reporting/reportrunner.nl?fromreport=320&amp;regtx,tranline,kacct,x,alltranline5,IN,x,x=950&amp;cr=293" xr:uid="{84AF2073-FEF1-4C68-8E37-1C7945051720}"/>
    <hyperlink ref="B2017" r:id="rId1008" display="https://9607261.app.netsuite.com/app/reporting/reportrunner.nl?fromreport=320&amp;regtx,tranline,kacct,x,alltranline5,IN,x,x=950&amp;cr=293" xr:uid="{F4F99532-47D4-40F5-B477-5ED7F5EEC2B8}"/>
    <hyperlink ref="B2019" r:id="rId1009" display="https://9607261.app.netsuite.com/app/reporting/reportrunner.nl?fromreport=320&amp;regtx,tranline,kacct,x,alltranline5,IN,x,x=950&amp;cr=293" xr:uid="{0E2FD106-29B8-4DB9-97E2-B14918CA7758}"/>
    <hyperlink ref="B2021" r:id="rId1010" display="https://9607261.app.netsuite.com/app/reporting/reportrunner.nl?fromreport=320&amp;regtx,tranline,kacct,x,alltranline5,IN,x,x=950&amp;cr=293" xr:uid="{089476DD-26CD-470B-A498-CF774CD055D0}"/>
    <hyperlink ref="B2023" r:id="rId1011" display="https://9607261.app.netsuite.com/app/reporting/reportrunner.nl?fromreport=320&amp;regtx,tranline,kacct,x,alltranline5,IN,x,x=950&amp;cr=293" xr:uid="{C0DE8098-DF93-4202-9F26-3D5D64B4CB48}"/>
    <hyperlink ref="B2025" r:id="rId1012" display="https://9607261.app.netsuite.com/app/reporting/reportrunner.nl?fromreport=320&amp;regtx,tranline,kacct,x,alltranline5,IN,x,x=950&amp;cr=293" xr:uid="{ACAE767F-1E00-47DE-8369-2EA1F93B44DD}"/>
    <hyperlink ref="B2027" r:id="rId1013" display="https://9607261.app.netsuite.com/app/reporting/reportrunner.nl?fromreport=320&amp;regtx,tranline,kacct,x,alltranline5,IN,x,x=950&amp;cr=293" xr:uid="{795CFB0A-B722-4448-AA8B-195450BCEF64}"/>
    <hyperlink ref="B2029" r:id="rId1014" display="https://9607261.app.netsuite.com/app/reporting/reportrunner.nl?fromreport=320&amp;regtx,tranline,kacct,x,alltranline5,IN,x,x=950&amp;cr=293" xr:uid="{B08DF2A2-EEB3-4217-AA93-390B18E5E375}"/>
    <hyperlink ref="B2031" r:id="rId1015" display="https://9607261.app.netsuite.com/app/reporting/reportrunner.nl?fromreport=320&amp;regtx,tranline,kacct,x,alltranline5,IN,x,x=950&amp;cr=293" xr:uid="{0D4A5B19-9AFE-4D17-A6C9-A6DE40FC352F}"/>
    <hyperlink ref="B2033" r:id="rId1016" display="https://9607261.app.netsuite.com/app/reporting/reportrunner.nl?fromreport=320&amp;regtx,tranline,kacct,x,alltranline5,IN,x,x=950&amp;cr=293" xr:uid="{EBB67A27-9111-4B92-83A9-D221BA7F70D2}"/>
    <hyperlink ref="B2035" r:id="rId1017" display="https://9607261.app.netsuite.com/app/reporting/reportrunner.nl?fromreport=320&amp;regtx,tranline,kacct,x,alltranline5,IN,x,x=950&amp;cr=293" xr:uid="{49420B81-8102-4BF0-B1F9-99FA39A21BC2}"/>
    <hyperlink ref="B2037" r:id="rId1018" display="https://9607261.app.netsuite.com/app/reporting/reportrunner.nl?fromreport=320&amp;regtx,tranline,kacct,x,alltranline5,IN,x,x=950&amp;cr=293" xr:uid="{93724C97-C299-4EFC-8EDD-506B65BFE32D}"/>
    <hyperlink ref="B2039" r:id="rId1019" display="https://9607261.app.netsuite.com/app/reporting/reportrunner.nl?fromreport=320&amp;regtx,tranline,kacct,x,alltranline5,IN,x,x=950&amp;cr=293" xr:uid="{CB511CFF-A472-4FAC-86F8-E87CFBBCDDC0}"/>
    <hyperlink ref="B2041" r:id="rId1020" display="https://9607261.app.netsuite.com/app/reporting/reportrunner.nl?fromreport=320&amp;regtx,tranline,kacct,x,alltranline5,IN,x,x=950&amp;cr=293" xr:uid="{73EF5281-5E32-4C05-819C-493CCA1750EF}"/>
    <hyperlink ref="B2043" r:id="rId1021" display="https://9607261.app.netsuite.com/app/reporting/reportrunner.nl?fromreport=320&amp;regtx,tranline,kacct,x,alltranline5,IN,x,x=950&amp;cr=293" xr:uid="{E45363C4-CD58-4219-8068-D883BD497C69}"/>
    <hyperlink ref="B2045" r:id="rId1022" display="https://9607261.app.netsuite.com/app/reporting/reportrunner.nl?fromreport=320&amp;regtx,tranline,kacct,x,alltranline5,IN,x,x=950&amp;cr=293" xr:uid="{90B34BFC-393B-4B9B-8102-54210DCAFD04}"/>
    <hyperlink ref="B2047" r:id="rId1023" display="https://9607261.app.netsuite.com/app/reporting/reportrunner.nl?fromreport=320&amp;regtx,tranline,kacct,x,alltranline5,IN,x,x=950&amp;cr=293" xr:uid="{560B6458-655A-4726-A173-66AAF3BDAC69}"/>
    <hyperlink ref="B2049" r:id="rId1024" display="https://9607261.app.netsuite.com/app/reporting/reportrunner.nl?fromreport=320&amp;regtx,tranline,kacct,x,alltranline5,IN,x,x=950&amp;cr=293" xr:uid="{4B3AFB73-E42E-4F02-9AE6-CED874D8F4FD}"/>
    <hyperlink ref="B2051" r:id="rId1025" display="https://9607261.app.netsuite.com/app/reporting/reportrunner.nl?fromreport=320&amp;regtx,tranline,kacct,x,alltranline5,IN,x,x=950&amp;cr=293" xr:uid="{42AEDDA0-64EE-46E8-91FC-B4A611E57A8E}"/>
    <hyperlink ref="B2053" r:id="rId1026" display="https://9607261.app.netsuite.com/app/reporting/reportrunner.nl?fromreport=320&amp;regtx,tranline,kacct,x,alltranline5,IN,x,x=950&amp;cr=293" xr:uid="{775B8E7D-CAF0-4184-B227-4EF4D31CABC5}"/>
    <hyperlink ref="B2055" r:id="rId1027" display="https://9607261.app.netsuite.com/app/reporting/reportrunner.nl?fromreport=320&amp;regtx,tranline,kacct,x,alltranline5,IN,x,x=950&amp;cr=293" xr:uid="{BAC13B18-2F52-4EBE-BFD7-13D402AFE864}"/>
    <hyperlink ref="B2057" r:id="rId1028" display="https://9607261.app.netsuite.com/app/reporting/reportrunner.nl?fromreport=320&amp;regtx,tranline,kacct,x,alltranline5,IN,x,x=950&amp;cr=293" xr:uid="{BB06B7FE-F6EA-4056-AB97-534F95D56A00}"/>
    <hyperlink ref="B2059" r:id="rId1029" display="https://9607261.app.netsuite.com/app/reporting/reportrunner.nl?fromreport=320&amp;regtx,tranline,kacct,x,alltranline5,IN,x,x=950&amp;cr=293" xr:uid="{A8C15B9C-67B3-4208-95BB-ECE52ACF3FD7}"/>
    <hyperlink ref="B2061" r:id="rId1030" display="https://9607261.app.netsuite.com/app/reporting/reportrunner.nl?fromreport=320&amp;regtx,tranline,kacct,x,alltranline5,IN,x,x=950&amp;cr=293" xr:uid="{0CF3BBC8-2141-4093-ACE6-7623CEAB8919}"/>
    <hyperlink ref="B2063" r:id="rId1031" display="https://9607261.app.netsuite.com/app/reporting/reportrunner.nl?fromreport=320&amp;regtx,tranline,kacct,x,alltranline5,IN,x,x=950&amp;cr=293" xr:uid="{B12FB712-2536-44B1-AE9E-2D6969A775BA}"/>
    <hyperlink ref="B2065" r:id="rId1032" display="https://9607261.app.netsuite.com/app/reporting/reportrunner.nl?fromreport=320&amp;regtx,tranline,kacct,x,alltranline5,IN,x,x=950&amp;cr=293" xr:uid="{A01C4DBE-1A3A-43E3-8594-02616C79DC8F}"/>
    <hyperlink ref="B2067" r:id="rId1033" display="https://9607261.app.netsuite.com/app/reporting/reportrunner.nl?fromreport=320&amp;regtx,tranline,kacct,x,alltranline5,IN,x,x=950&amp;cr=293" xr:uid="{B562E901-FA96-4557-9629-36D1B1F4FD03}"/>
    <hyperlink ref="B2069" r:id="rId1034" display="https://9607261.app.netsuite.com/app/reporting/reportrunner.nl?fromreport=320&amp;regtx,tranline,kacct,x,alltranline5,IN,x,x=950&amp;cr=293" xr:uid="{731A3F63-A8DA-4758-A0AA-297ACEB535DB}"/>
    <hyperlink ref="B2071" r:id="rId1035" display="https://9607261.app.netsuite.com/app/reporting/reportrunner.nl?fromreport=320&amp;regtx,tranline,kacct,x,alltranline5,IN,x,x=950&amp;cr=293" xr:uid="{044781CB-1F31-4339-B3F2-BECAF1089F28}"/>
    <hyperlink ref="B2073" r:id="rId1036" display="https://9607261.app.netsuite.com/app/reporting/reportrunner.nl?fromreport=320&amp;regtx,tranline,kacct,x,alltranline5,IN,x,x=950&amp;cr=293" xr:uid="{54543E14-3325-4D2C-B5DC-51FFF1643DDE}"/>
    <hyperlink ref="B2075" r:id="rId1037" display="https://9607261.app.netsuite.com/app/reporting/reportrunner.nl?fromreport=320&amp;regtx,tranline,kacct,x,alltranline5,IN,x,x=950&amp;cr=293" xr:uid="{4E996FE1-C97B-438C-8986-F54C03244690}"/>
    <hyperlink ref="B2077" r:id="rId1038" display="https://9607261.app.netsuite.com/app/reporting/reportrunner.nl?fromreport=320&amp;regtx,tranline,kacct,x,alltranline5,IN,x,x=950&amp;cr=293" xr:uid="{8388FFF8-D52F-495E-A5A7-0357842857A9}"/>
    <hyperlink ref="B2079" r:id="rId1039" display="https://9607261.app.netsuite.com/app/reporting/reportrunner.nl?fromreport=320&amp;regtx,tranline,kacct,x,alltranline5,IN,x,x=950&amp;cr=293" xr:uid="{4E0AE371-268C-4198-9BD0-0AD4DA9A49D3}"/>
    <hyperlink ref="B2081" r:id="rId1040" display="https://9607261.app.netsuite.com/app/reporting/reportrunner.nl?fromreport=320&amp;regtx,tranline,kacct,x,alltranline5,IN,x,x=950&amp;cr=293" xr:uid="{126DD9F0-403D-48AB-9F1C-BFD60573FEC0}"/>
    <hyperlink ref="B2083" r:id="rId1041" display="https://9607261.app.netsuite.com/app/reporting/reportrunner.nl?fromreport=320&amp;regtx,tranline,kacct,x,alltranline5,IN,x,x=950&amp;cr=293" xr:uid="{52FB648A-4AAE-4670-AE5F-58F2DF34A69F}"/>
    <hyperlink ref="B2085" r:id="rId1042" display="https://9607261.app.netsuite.com/app/reporting/reportrunner.nl?fromreport=320&amp;regtx,tranline,kacct,x,alltranline5,IN,x,x=950&amp;cr=293" xr:uid="{7BB6FF71-C153-430F-ACC7-AE8074101D2D}"/>
    <hyperlink ref="B2087" r:id="rId1043" display="https://9607261.app.netsuite.com/app/reporting/reportrunner.nl?fromreport=320&amp;regtx,tranline,kacct,x,alltranline5,IN,x,x=950&amp;cr=293" xr:uid="{E99417E6-2EF1-443B-9EDC-987C3E0EC02C}"/>
    <hyperlink ref="B2089" r:id="rId1044" display="https://9607261.app.netsuite.com/app/reporting/reportrunner.nl?fromreport=320&amp;regtx,tranline,kacct,x,alltranline5,IN,x,x=950&amp;cr=293" xr:uid="{15275B36-E2A8-4AAF-A9A4-3038A0A449FD}"/>
    <hyperlink ref="B2091" r:id="rId1045" display="https://9607261.app.netsuite.com/app/reporting/reportrunner.nl?fromreport=320&amp;regtx,tranline,kacct,x,alltranline5,IN,x,x=950&amp;cr=293" xr:uid="{97033AD5-381A-4504-A1FD-9248302206AA}"/>
    <hyperlink ref="B2093" r:id="rId1046" display="https://9607261.app.netsuite.com/app/reporting/reportrunner.nl?fromreport=320&amp;regtx,tranline,kacct,x,alltranline5,IN,x,x=950&amp;cr=293" xr:uid="{D621B06E-969D-464E-88B1-D60E234AC0AB}"/>
    <hyperlink ref="B2095" r:id="rId1047" display="https://9607261.app.netsuite.com/app/reporting/reportrunner.nl?fromreport=320&amp;regtx,tranline,kacct,x,alltranline5,IN,x,x=950&amp;cr=293" xr:uid="{3A4AEE90-1827-47E3-B8ED-54AC2BCF8B5D}"/>
    <hyperlink ref="B2097" r:id="rId1048" display="https://9607261.app.netsuite.com/app/reporting/reportrunner.nl?fromreport=320&amp;regtx,tranline,kacct,x,alltranline5,IN,x,x=950&amp;cr=293" xr:uid="{774C4B76-9CC4-4786-BF6B-E184C3DE9D9D}"/>
    <hyperlink ref="B2099" r:id="rId1049" display="https://9607261.app.netsuite.com/app/reporting/reportrunner.nl?fromreport=320&amp;regtx,tranline,kacct,x,alltranline5,IN,x,x=950&amp;cr=293" xr:uid="{78959091-36D1-45C8-A5AB-32158FD472D3}"/>
    <hyperlink ref="B2101" r:id="rId1050" display="https://9607261.app.netsuite.com/app/reporting/reportrunner.nl?fromreport=320&amp;regtx,tranline,kacct,x,alltranline5,IN,x,x=950&amp;cr=293" xr:uid="{0EB13BDB-556A-4374-8816-3321521EDEBC}"/>
    <hyperlink ref="B2103" r:id="rId1051" display="https://9607261.app.netsuite.com/app/reporting/reportrunner.nl?fromreport=320&amp;regtx,tranline,kacct,x,alltranline5,IN,x,x=950&amp;cr=293" xr:uid="{0EB33052-ECB1-4229-A97B-42D054819AB6}"/>
    <hyperlink ref="B2105" r:id="rId1052" display="https://9607261.app.netsuite.com/app/reporting/reportrunner.nl?fromreport=320&amp;regtx,tranline,kacct,x,alltranline5,IN,x,x=950&amp;cr=293" xr:uid="{FB6D8E91-F523-43CE-8E75-348F9FD5C7A5}"/>
    <hyperlink ref="B2107" r:id="rId1053" display="https://9607261.app.netsuite.com/app/reporting/reportrunner.nl?fromreport=320&amp;regtx,tranline,kacct,x,alltranline5,IN,x,x=950&amp;cr=293" xr:uid="{9C0AAA6F-F431-4711-9109-88AEB94880FD}"/>
    <hyperlink ref="B2109" r:id="rId1054" display="https://9607261.app.netsuite.com/app/reporting/reportrunner.nl?fromreport=320&amp;regtx,tranline,kacct,x,alltranline5,IN,x,x=950&amp;cr=293" xr:uid="{C39954DA-4A92-44C2-8F42-4B23745E987F}"/>
    <hyperlink ref="B2111" r:id="rId1055" display="https://9607261.app.netsuite.com/app/reporting/reportrunner.nl?fromreport=320&amp;regtx,tranline,kacct,x,alltranline5,IN,x,x=950&amp;cr=293" xr:uid="{759B9CE2-993D-4496-A48A-966AB525290F}"/>
    <hyperlink ref="B2113" r:id="rId1056" display="https://9607261.app.netsuite.com/app/reporting/reportrunner.nl?fromreport=320&amp;regtx,tranline,kacct,x,alltranline5,IN,x,x=950&amp;cr=293" xr:uid="{F430FFF2-E15C-4B5A-A4BA-6E6909362851}"/>
    <hyperlink ref="B2115" r:id="rId1057" display="https://9607261.app.netsuite.com/app/reporting/reportrunner.nl?fromreport=320&amp;regtx,tranline,kacct,x,alltranline5,IN,x,x=950&amp;cr=293" xr:uid="{8707EC26-4446-461A-88BD-880D617BAC2D}"/>
    <hyperlink ref="B2117" r:id="rId1058" display="https://9607261.app.netsuite.com/app/reporting/reportrunner.nl?fromreport=320&amp;regtx,tranline,kacct,x,alltranline5,IN,x,x=950&amp;cr=293" xr:uid="{5CAE00FD-37F9-48FA-A487-C3DF7922D4C9}"/>
    <hyperlink ref="B2119" r:id="rId1059" display="https://9607261.app.netsuite.com/app/reporting/reportrunner.nl?fromreport=320&amp;regtx,tranline,kacct,x,alltranline5,IN,x,x=950&amp;cr=293" xr:uid="{9E7F654F-BA18-4FCE-86F3-0BF588CFAA94}"/>
    <hyperlink ref="B2121" r:id="rId1060" display="https://9607261.app.netsuite.com/app/reporting/reportrunner.nl?fromreport=320&amp;regtx,tranline,kacct,x,alltranline5,IN,x,x=950&amp;cr=293" xr:uid="{A54A9692-9706-41AE-8164-3C3D645CFB9E}"/>
    <hyperlink ref="B2123" r:id="rId1061" display="https://9607261.app.netsuite.com/app/reporting/reportrunner.nl?fromreport=320&amp;regtx,tranline,kacct,x,alltranline5,IN,x,x=950&amp;cr=293" xr:uid="{3BD7B1D7-7D3F-4483-95AF-528FF4D0AB56}"/>
    <hyperlink ref="B2125" r:id="rId1062" display="https://9607261.app.netsuite.com/app/reporting/reportrunner.nl?fromreport=320&amp;regtx,tranline,kacct,x,alltranline5,IN,x,x=950&amp;cr=293" xr:uid="{06ECD9E6-C40A-4083-BED5-311EDD731DAF}"/>
    <hyperlink ref="B2127" r:id="rId1063" display="https://9607261.app.netsuite.com/app/reporting/reportrunner.nl?fromreport=320&amp;regtx,tranline,kacct,x,alltranline5,IN,x,x=950&amp;cr=293" xr:uid="{C329ED7D-18F8-4040-AA13-FBD861A80924}"/>
    <hyperlink ref="B2129" r:id="rId1064" display="https://9607261.app.netsuite.com/app/reporting/reportrunner.nl?fromreport=320&amp;regtx,tranline,kacct,x,alltranline5,IN,x,x=950&amp;cr=293" xr:uid="{430A0AD4-7D2C-46BB-88F6-9BA53C2A44E4}"/>
    <hyperlink ref="B2131" r:id="rId1065" display="https://9607261.app.netsuite.com/app/reporting/reportrunner.nl?fromreport=320&amp;regtx,tranline,kacct,x,alltranline5,IN,x,x=950&amp;cr=293" xr:uid="{03B67254-EC7F-4A9A-971A-B344C9946462}"/>
    <hyperlink ref="B2133" r:id="rId1066" display="https://9607261.app.netsuite.com/app/reporting/reportrunner.nl?fromreport=320&amp;regtx,tranline,kacct,x,alltranline5,IN,x,x=950&amp;cr=293" xr:uid="{4482B488-966D-413D-A6E3-27E812B66341}"/>
    <hyperlink ref="B2135" r:id="rId1067" display="https://9607261.app.netsuite.com/app/reporting/reportrunner.nl?fromreport=320&amp;regtx,tranline,kacct,x,alltranline5,IN,x,x=950&amp;cr=293" xr:uid="{C3E28CDA-AE66-4175-9264-D0CDA7B12A02}"/>
    <hyperlink ref="B2137" r:id="rId1068" display="https://9607261.app.netsuite.com/app/reporting/reportrunner.nl?fromreport=320&amp;regtx,tranline,kacct,x,alltranline5,IN,x,x=950&amp;cr=293" xr:uid="{7332AC36-32E5-4A52-9F72-5FF416397120}"/>
    <hyperlink ref="B2139" r:id="rId1069" display="https://9607261.app.netsuite.com/app/reporting/reportrunner.nl?fromreport=320&amp;regtx,tranline,kacct,x,alltranline5,IN,x,x=950&amp;cr=293" xr:uid="{FC6CBF44-88BB-481F-8968-E69614220289}"/>
    <hyperlink ref="B2141" r:id="rId1070" display="https://9607261.app.netsuite.com/app/reporting/reportrunner.nl?fromreport=320&amp;regtx,tranline,kacct,x,alltranline5,IN,x,x=950&amp;cr=293" xr:uid="{3C881F0D-975D-449D-95EE-760FF04FC61B}"/>
    <hyperlink ref="B2143" r:id="rId1071" display="https://9607261.app.netsuite.com/app/reporting/reportrunner.nl?fromreport=320&amp;regtx,tranline,kacct,x,alltranline5,IN,x,x=950&amp;cr=293" xr:uid="{C353C388-53FD-4B53-BB2C-B7DCE0388693}"/>
    <hyperlink ref="B2145" r:id="rId1072" display="https://9607261.app.netsuite.com/app/reporting/reportrunner.nl?fromreport=320&amp;regtx,tranline,kacct,x,alltranline5,IN,x,x=950&amp;cr=293" xr:uid="{D07684B8-B84C-4806-9749-CF50016A67AD}"/>
    <hyperlink ref="B2147" r:id="rId1073" display="https://9607261.app.netsuite.com/app/reporting/reportrunner.nl?fromreport=320&amp;regtx,tranline,kacct,x,alltranline5,IN,x,x=950&amp;cr=293" xr:uid="{312A39A6-5167-42A3-ACD9-45AC96D515FA}"/>
    <hyperlink ref="B2149" r:id="rId1074" display="https://9607261.app.netsuite.com/app/reporting/reportrunner.nl?fromreport=320&amp;regtx,tranline,kacct,x,alltranline5,IN,x,x=950&amp;cr=293" xr:uid="{337A7B42-BA97-4F94-9E28-CAFC472008C4}"/>
    <hyperlink ref="B2151" r:id="rId1075" display="https://9607261.app.netsuite.com/app/reporting/reportrunner.nl?fromreport=320&amp;regtx,tranline,kacct,x,alltranline5,IN,x,x=950&amp;cr=293" xr:uid="{712A8F91-E40D-44A2-AC0F-80DED1445B8D}"/>
    <hyperlink ref="B2153" r:id="rId1076" display="https://9607261.app.netsuite.com/app/reporting/reportrunner.nl?fromreport=320&amp;regtx,tranline,kacct,x,alltranline5,IN,x,x=950&amp;cr=293" xr:uid="{386F31B8-61B5-4E16-9557-EF91DE683822}"/>
    <hyperlink ref="B2155" r:id="rId1077" display="https://9607261.app.netsuite.com/app/reporting/reportrunner.nl?fromreport=320&amp;regtx,tranline,kacct,x,alltranline5,IN,x,x=950&amp;cr=293" xr:uid="{BB5F5E15-45EB-4401-8C79-91E51985BC59}"/>
    <hyperlink ref="B2157" r:id="rId1078" display="https://9607261.app.netsuite.com/app/reporting/reportrunner.nl?fromreport=320&amp;regtx,tranline,kacct,x,alltranline5,IN,x,x=950&amp;cr=293" xr:uid="{835701C8-37D4-4686-928A-F728C0E953C9}"/>
    <hyperlink ref="B2159" r:id="rId1079" display="https://9607261.app.netsuite.com/app/reporting/reportrunner.nl?fromreport=320&amp;regtx,tranline,kacct,x,alltranline5,IN,x,x=950&amp;cr=293" xr:uid="{338C989D-8461-4694-B373-DDF09308E2B4}"/>
    <hyperlink ref="B2161" r:id="rId1080" display="https://9607261.app.netsuite.com/app/reporting/reportrunner.nl?fromreport=320&amp;regtx,tranline,kacct,x,alltranline5,IN,x,x=950&amp;cr=293" xr:uid="{2D962289-D940-4AA1-AC41-A770182557B2}"/>
    <hyperlink ref="B2163" r:id="rId1081" display="https://9607261.app.netsuite.com/app/reporting/reportrunner.nl?fromreport=320&amp;regtx,tranline,kacct,x,alltranline5,IN,x,x=950&amp;cr=293" xr:uid="{71370BD4-DB68-47CF-841C-C373D7259510}"/>
    <hyperlink ref="B2165" r:id="rId1082" display="https://9607261.app.netsuite.com/app/reporting/reportrunner.nl?fromreport=320&amp;regtx,tranline,kacct,x,alltranline5,IN,x,x=950&amp;cr=293" xr:uid="{84B55C26-80DF-42A4-AC9B-68353BF8BCFE}"/>
    <hyperlink ref="B2167" r:id="rId1083" display="https://9607261.app.netsuite.com/app/reporting/reportrunner.nl?fromreport=320&amp;regtx,tranline,kacct,x,alltranline5,IN,x,x=950&amp;cr=293" xr:uid="{DAFE3B98-D9F0-4DD4-ACEC-FEAA691FF21E}"/>
    <hyperlink ref="B2169" r:id="rId1084" display="https://9607261.app.netsuite.com/app/reporting/reportrunner.nl?fromreport=320&amp;regtx,tranline,kacct,x,alltranline5,IN,x,x=950&amp;cr=293" xr:uid="{C89C4B81-5A60-472C-9FC9-3CAED065187E}"/>
    <hyperlink ref="B2171" r:id="rId1085" display="https://9607261.app.netsuite.com/app/reporting/reportrunner.nl?fromreport=320&amp;regtx,tranline,kacct,x,alltranline5,IN,x,x=950&amp;cr=293" xr:uid="{1E8C0FFF-6AB3-481E-9B7E-B601D4EDC4BD}"/>
    <hyperlink ref="B2173" r:id="rId1086" display="https://9607261.app.netsuite.com/app/reporting/reportrunner.nl?fromreport=320&amp;regtx,tranline,kacct,x,alltranline5,IN,x,x=950&amp;cr=293" xr:uid="{10F8B1F3-5C6E-469C-8E08-780818A84680}"/>
    <hyperlink ref="B2175" r:id="rId1087" display="https://9607261.app.netsuite.com/app/reporting/reportrunner.nl?fromreport=320&amp;regtx,tranline,kacct,x,alltranline5,IN,x,x=950&amp;cr=293" xr:uid="{F21775A8-85BA-4F8F-9078-E2A4DD41B1DC}"/>
    <hyperlink ref="B1090:B1170" r:id="rId1088" display="https://9607261.app.netsuite.com/app/reporting/reportrunner.nl?fromreport=320&amp;regtx,tranline,kacct,x,alltranline5,IN,x,x=950&amp;cr=293" xr:uid="{BEBAE91E-DE85-49E7-A1B5-424E2E57E53A}"/>
    <hyperlink ref="B2339" r:id="rId1089" display="https://9607261.app.netsuite.com/app/reporting/reportrunner.nl?fromreport=320&amp;regtx,tranline,kacct,x,alltranline5,IN,x,x=950&amp;cr=293" xr:uid="{9A0B18EC-C5A4-46E9-B31C-9BB8C60A9A64}"/>
    <hyperlink ref="B2341" r:id="rId1090" display="https://9607261.app.netsuite.com/app/reporting/reportrunner.nl?fromreport=320&amp;regtx,tranline,kacct,x,alltranline5,IN,x,x=950&amp;cr=293" xr:uid="{09BA33C6-AE50-4455-B4F3-E80D4FACAC2A}"/>
    <hyperlink ref="B2343" r:id="rId1091" display="https://9607261.app.netsuite.com/app/reporting/reportrunner.nl?fromreport=320&amp;regtx,tranline,kacct,x,alltranline5,IN,x,x=950&amp;cr=293" xr:uid="{2E4B94A8-935F-418C-8A50-2976595E20BD}"/>
    <hyperlink ref="B2345" r:id="rId1092" display="https://9607261.app.netsuite.com/app/reporting/reportrunner.nl?fromreport=320&amp;regtx,tranline,kacct,x,alltranline5,IN,x,x=950&amp;cr=293" xr:uid="{02742381-03BC-41E3-A4BB-34533229C279}"/>
    <hyperlink ref="B2347" r:id="rId1093" display="https://9607261.app.netsuite.com/app/reporting/reportrunner.nl?fromreport=320&amp;regtx,tranline,kacct,x,alltranline5,IN,x,x=950&amp;cr=293" xr:uid="{3FAF27FD-4C56-4237-B2F7-8993A60A15DA}"/>
    <hyperlink ref="B2349" r:id="rId1094" display="https://9607261.app.netsuite.com/app/reporting/reportrunner.nl?fromreport=320&amp;regtx,tranline,kacct,x,alltranline5,IN,x,x=950&amp;cr=293" xr:uid="{060BF828-D556-4724-B014-C8AA916E33F1}"/>
    <hyperlink ref="B2351" r:id="rId1095" display="https://9607261.app.netsuite.com/app/reporting/reportrunner.nl?fromreport=320&amp;regtx,tranline,kacct,x,alltranline5,IN,x,x=950&amp;cr=293" xr:uid="{48FD2EB3-CCD3-4161-968D-215E97AFC014}"/>
    <hyperlink ref="B2353" r:id="rId1096" display="https://9607261.app.netsuite.com/app/reporting/reportrunner.nl?fromreport=320&amp;regtx,tranline,kacct,x,alltranline5,IN,x,x=950&amp;cr=293" xr:uid="{66A62C2F-A621-4147-9562-814899D69113}"/>
    <hyperlink ref="B2355" r:id="rId1097" display="https://9607261.app.netsuite.com/app/reporting/reportrunner.nl?fromreport=320&amp;regtx,tranline,kacct,x,alltranline5,IN,x,x=950&amp;cr=293" xr:uid="{C275AB32-D619-4EF4-9E8B-F4FFD04E4F27}"/>
    <hyperlink ref="B2357" r:id="rId1098" display="https://9607261.app.netsuite.com/app/reporting/reportrunner.nl?fromreport=320&amp;regtx,tranline,kacct,x,alltranline5,IN,x,x=950&amp;cr=293" xr:uid="{33A5A910-5C0F-4FD3-A079-99AAF96B53AD}"/>
    <hyperlink ref="B2359" r:id="rId1099" display="https://9607261.app.netsuite.com/app/reporting/reportrunner.nl?fromreport=320&amp;regtx,tranline,kacct,x,alltranline5,IN,x,x=950&amp;cr=293" xr:uid="{808D1BB2-016B-47FA-B846-A149B17AEE77}"/>
    <hyperlink ref="B2361" r:id="rId1100" display="https://9607261.app.netsuite.com/app/reporting/reportrunner.nl?fromreport=320&amp;regtx,tranline,kacct,x,alltranline5,IN,x,x=950&amp;cr=293" xr:uid="{9F4F2B15-26D0-4F7C-A7D1-2F6C770D99B2}"/>
    <hyperlink ref="B2363" r:id="rId1101" display="https://9607261.app.netsuite.com/app/reporting/reportrunner.nl?fromreport=320&amp;regtx,tranline,kacct,x,alltranline5,IN,x,x=950&amp;cr=293" xr:uid="{3175A7B4-47E1-407F-8EFD-21635C42D2BC}"/>
    <hyperlink ref="B2365" r:id="rId1102" display="https://9607261.app.netsuite.com/app/reporting/reportrunner.nl?fromreport=320&amp;regtx,tranline,kacct,x,alltranline5,IN,x,x=950&amp;cr=293" xr:uid="{9FDB13C9-63B1-43CF-A880-DD692A2B86B2}"/>
    <hyperlink ref="B2367" r:id="rId1103" display="https://9607261.app.netsuite.com/app/reporting/reportrunner.nl?fromreport=320&amp;regtx,tranline,kacct,x,alltranline5,IN,x,x=950&amp;cr=293" xr:uid="{B971E466-927F-48A2-880B-DB08E26110FB}"/>
    <hyperlink ref="B2369" r:id="rId1104" display="https://9607261.app.netsuite.com/app/reporting/reportrunner.nl?fromreport=320&amp;regtx,tranline,kacct,x,alltranline5,IN,x,x=950&amp;cr=293" xr:uid="{1B086384-FCEB-47C4-BBBE-507AC8D02273}"/>
    <hyperlink ref="B2371" r:id="rId1105" display="https://9607261.app.netsuite.com/app/reporting/reportrunner.nl?fromreport=320&amp;regtx,tranline,kacct,x,alltranline5,IN,x,x=950&amp;cr=293" xr:uid="{D3E05775-2FD5-4F30-B529-CE290E854708}"/>
    <hyperlink ref="B2373" r:id="rId1106" display="https://9607261.app.netsuite.com/app/reporting/reportrunner.nl?fromreport=320&amp;regtx,tranline,kacct,x,alltranline5,IN,x,x=950&amp;cr=293" xr:uid="{3A810F2E-AD5C-4613-AA8D-E6CDBF3802FF}"/>
    <hyperlink ref="B2375" r:id="rId1107" display="https://9607261.app.netsuite.com/app/reporting/reportrunner.nl?fromreport=320&amp;regtx,tranline,kacct,x,alltranline5,IN,x,x=950&amp;cr=293" xr:uid="{B9996DA0-CE6A-4989-8531-F4704900528F}"/>
    <hyperlink ref="B2377" r:id="rId1108" display="https://9607261.app.netsuite.com/app/reporting/reportrunner.nl?fromreport=320&amp;regtx,tranline,kacct,x,alltranline5,IN,x,x=950&amp;cr=293" xr:uid="{47B500E3-B76B-49C3-A8B2-C4BFFCA061EA}"/>
    <hyperlink ref="B2379" r:id="rId1109" display="https://9607261.app.netsuite.com/app/reporting/reportrunner.nl?fromreport=320&amp;regtx,tranline,kacct,x,alltranline5,IN,x,x=950&amp;cr=293" xr:uid="{84D25F71-104B-4C1A-882B-38CFB7B0EB5C}"/>
    <hyperlink ref="B2381" r:id="rId1110" display="https://9607261.app.netsuite.com/app/reporting/reportrunner.nl?fromreport=320&amp;regtx,tranline,kacct,x,alltranline5,IN,x,x=950&amp;cr=293" xr:uid="{3DAF2055-7D06-4B2D-ACCC-059A1299C1B9}"/>
    <hyperlink ref="B2383" r:id="rId1111" display="https://9607261.app.netsuite.com/app/reporting/reportrunner.nl?fromreport=320&amp;regtx,tranline,kacct,x,alltranline5,IN,x,x=950&amp;cr=293" xr:uid="{091CCBA9-BD2F-42ED-BA0E-7D5F3E3E794F}"/>
    <hyperlink ref="B2385" r:id="rId1112" display="https://9607261.app.netsuite.com/app/reporting/reportrunner.nl?fromreport=320&amp;regtx,tranline,kacct,x,alltranline5,IN,x,x=950&amp;cr=293" xr:uid="{45530093-52AF-47DD-8E9B-52B796DC36B8}"/>
    <hyperlink ref="B2387" r:id="rId1113" display="https://9607261.app.netsuite.com/app/reporting/reportrunner.nl?fromreport=320&amp;regtx,tranline,kacct,x,alltranline5,IN,x,x=950&amp;cr=293" xr:uid="{6DFA49CD-7753-4898-BC64-AF242036DFB3}"/>
    <hyperlink ref="B2389" r:id="rId1114" display="https://9607261.app.netsuite.com/app/reporting/reportrunner.nl?fromreport=320&amp;regtx,tranline,kacct,x,alltranline5,IN,x,x=950&amp;cr=293" xr:uid="{F5E2068D-D8BE-4E94-AFE1-17565AB26BD1}"/>
    <hyperlink ref="B2391" r:id="rId1115" display="https://9607261.app.netsuite.com/app/reporting/reportrunner.nl?fromreport=320&amp;regtx,tranline,kacct,x,alltranline5,IN,x,x=950&amp;cr=293" xr:uid="{2BB091BA-70C8-4D03-979A-CEA5E02CE76E}"/>
    <hyperlink ref="B2393" r:id="rId1116" display="https://9607261.app.netsuite.com/app/reporting/reportrunner.nl?fromreport=320&amp;regtx,tranline,kacct,x,alltranline5,IN,x,x=950&amp;cr=293" xr:uid="{E4AA35D8-78D4-4505-907C-9097C1BADF49}"/>
    <hyperlink ref="B2395" r:id="rId1117" display="https://9607261.app.netsuite.com/app/reporting/reportrunner.nl?fromreport=320&amp;regtx,tranline,kacct,x,alltranline5,IN,x,x=950&amp;cr=293" xr:uid="{E9E37C5B-3F19-4686-A58B-3432812854DF}"/>
    <hyperlink ref="B2397" r:id="rId1118" display="https://9607261.app.netsuite.com/app/reporting/reportrunner.nl?fromreport=320&amp;regtx,tranline,kacct,x,alltranline5,IN,x,x=950&amp;cr=293" xr:uid="{EC1ABE83-1411-4D83-B851-EE7DA2C94184}"/>
    <hyperlink ref="B2399" r:id="rId1119" display="https://9607261.app.netsuite.com/app/reporting/reportrunner.nl?fromreport=320&amp;regtx,tranline,kacct,x,alltranline5,IN,x,x=950&amp;cr=293" xr:uid="{0983015C-168C-49B5-A5C5-BA2EF32848AC}"/>
    <hyperlink ref="B2401" r:id="rId1120" display="https://9607261.app.netsuite.com/app/reporting/reportrunner.nl?fromreport=320&amp;regtx,tranline,kacct,x,alltranline5,IN,x,x=950&amp;cr=293" xr:uid="{8E54198E-8D4C-4C2F-878E-6A89D2FB015A}"/>
    <hyperlink ref="B2403" r:id="rId1121" display="https://9607261.app.netsuite.com/app/reporting/reportrunner.nl?fromreport=320&amp;regtx,tranline,kacct,x,alltranline5,IN,x,x=950&amp;cr=293" xr:uid="{27616AC9-B9ED-4BC5-A3F4-AFB4D2EFA524}"/>
    <hyperlink ref="B2405" r:id="rId1122" display="https://9607261.app.netsuite.com/app/reporting/reportrunner.nl?fromreport=320&amp;regtx,tranline,kacct,x,alltranline5,IN,x,x=950&amp;cr=293" xr:uid="{2CF5CFA6-F207-4DB9-A58D-3B0A5A2B73E2}"/>
    <hyperlink ref="B2407" r:id="rId1123" display="https://9607261.app.netsuite.com/app/reporting/reportrunner.nl?fromreport=320&amp;regtx,tranline,kacct,x,alltranline5,IN,x,x=950&amp;cr=293" xr:uid="{27D280F6-EE96-42EA-ABEE-1E96B1F718C8}"/>
    <hyperlink ref="B2409" r:id="rId1124" display="https://9607261.app.netsuite.com/app/reporting/reportrunner.nl?fromreport=320&amp;regtx,tranline,kacct,x,alltranline5,IN,x,x=950&amp;cr=293" xr:uid="{37528291-3731-438F-9032-E56A7C4B245B}"/>
    <hyperlink ref="B2411" r:id="rId1125" display="https://9607261.app.netsuite.com/app/reporting/reportrunner.nl?fromreport=320&amp;regtx,tranline,kacct,x,alltranline5,IN,x,x=950&amp;cr=293" xr:uid="{13644CD3-DA2E-4561-8ADA-4B43C5FAF27F}"/>
    <hyperlink ref="B2413" r:id="rId1126" display="https://9607261.app.netsuite.com/app/reporting/reportrunner.nl?fromreport=320&amp;regtx,tranline,kacct,x,alltranline5,IN,x,x=950&amp;cr=293" xr:uid="{B95FED33-E10E-439B-B89E-0E91D392BFD1}"/>
    <hyperlink ref="B2415" r:id="rId1127" display="https://9607261.app.netsuite.com/app/reporting/reportrunner.nl?fromreport=320&amp;regtx,tranline,kacct,x,alltranline5,IN,x,x=950&amp;cr=293" xr:uid="{CE21FECA-3DD0-45FF-8904-FB2E15743120}"/>
    <hyperlink ref="B2417" r:id="rId1128" display="https://9607261.app.netsuite.com/app/reporting/reportrunner.nl?fromreport=320&amp;regtx,tranline,kacct,x,alltranline5,IN,x,x=950&amp;cr=293" xr:uid="{05BC3C9B-A259-4942-B255-C0399583146C}"/>
    <hyperlink ref="B2419" r:id="rId1129" display="https://9607261.app.netsuite.com/app/reporting/reportrunner.nl?fromreport=320&amp;regtx,tranline,kacct,x,alltranline5,IN,x,x=950&amp;cr=293" xr:uid="{09C162D5-28D0-4439-BA79-AF361CF7FC01}"/>
    <hyperlink ref="B2421" r:id="rId1130" display="https://9607261.app.netsuite.com/app/reporting/reportrunner.nl?fromreport=320&amp;regtx,tranline,kacct,x,alltranline5,IN,x,x=950&amp;cr=293" xr:uid="{ECDC8C81-3D37-429E-9CAB-6678342AD3ED}"/>
    <hyperlink ref="B2423" r:id="rId1131" display="https://9607261.app.netsuite.com/app/reporting/reportrunner.nl?fromreport=320&amp;regtx,tranline,kacct,x,alltranline5,IN,x,x=950&amp;cr=293" xr:uid="{F28E9D77-55AF-405B-A1F0-F342D1AD8323}"/>
    <hyperlink ref="B2425" r:id="rId1132" display="https://9607261.app.netsuite.com/app/reporting/reportrunner.nl?fromreport=320&amp;regtx,tranline,kacct,x,alltranline5,IN,x,x=950&amp;cr=293" xr:uid="{37A98FF9-9C35-4EC0-BDCB-88A03F13EDDA}"/>
    <hyperlink ref="B2427" r:id="rId1133" display="https://9607261.app.netsuite.com/app/reporting/reportrunner.nl?fromreport=320&amp;regtx,tranline,kacct,x,alltranline5,IN,x,x=950&amp;cr=293" xr:uid="{D6F822E6-A80F-4041-B9A3-31F22E3D00AF}"/>
    <hyperlink ref="B2429" r:id="rId1134" display="https://9607261.app.netsuite.com/app/reporting/reportrunner.nl?fromreport=320&amp;regtx,tranline,kacct,x,alltranline5,IN,x,x=950&amp;cr=293" xr:uid="{71142051-B522-4742-A8A9-5191BBCC6862}"/>
    <hyperlink ref="B2431" r:id="rId1135" display="https://9607261.app.netsuite.com/app/reporting/reportrunner.nl?fromreport=320&amp;regtx,tranline,kacct,x,alltranline5,IN,x,x=950&amp;cr=293" xr:uid="{25D29BC7-6BDE-45FB-A7E4-43AED9A837D1}"/>
    <hyperlink ref="B2433" r:id="rId1136" display="https://9607261.app.netsuite.com/app/reporting/reportrunner.nl?fromreport=320&amp;regtx,tranline,kacct,x,alltranline5,IN,x,x=950&amp;cr=293" xr:uid="{85FBB004-5848-49CC-B20F-B4A349961276}"/>
    <hyperlink ref="B2435" r:id="rId1137" display="https://9607261.app.netsuite.com/app/reporting/reportrunner.nl?fromreport=320&amp;regtx,tranline,kacct,x,alltranline5,IN,x,x=950&amp;cr=293" xr:uid="{A38C529F-5BB0-4895-9708-34EEFDF4B871}"/>
    <hyperlink ref="B2437" r:id="rId1138" display="https://9607261.app.netsuite.com/app/reporting/reportrunner.nl?fromreport=320&amp;regtx,tranline,kacct,x,alltranline5,IN,x,x=950&amp;cr=293" xr:uid="{7FC7141A-2B9D-497D-B87D-438D83B289CD}"/>
    <hyperlink ref="B2439" r:id="rId1139" display="https://9607261.app.netsuite.com/app/reporting/reportrunner.nl?fromreport=320&amp;regtx,tranline,kacct,x,alltranline5,IN,x,x=950&amp;cr=293" xr:uid="{9DB896CA-697F-45E2-8712-638AF6BD7915}"/>
    <hyperlink ref="B2441" r:id="rId1140" display="https://9607261.app.netsuite.com/app/reporting/reportrunner.nl?fromreport=320&amp;regtx,tranline,kacct,x,alltranline5,IN,x,x=950&amp;cr=293" xr:uid="{61F973F2-19C3-40CF-A8EE-E93470D5E43E}"/>
    <hyperlink ref="B2443" r:id="rId1141" display="https://9607261.app.netsuite.com/app/reporting/reportrunner.nl?fromreport=320&amp;regtx,tranline,kacct,x,alltranline5,IN,x,x=950&amp;cr=293" xr:uid="{53F0A1BC-1421-4DCC-9BEA-E74416540B21}"/>
    <hyperlink ref="B2445" r:id="rId1142" display="https://9607261.app.netsuite.com/app/reporting/reportrunner.nl?fromreport=320&amp;regtx,tranline,kacct,x,alltranline5,IN,x,x=950&amp;cr=293" xr:uid="{C9D66509-B161-4AD0-8A56-33D35637F05A}"/>
    <hyperlink ref="B2447" r:id="rId1143" display="https://9607261.app.netsuite.com/app/reporting/reportrunner.nl?fromreport=320&amp;regtx,tranline,kacct,x,alltranline5,IN,x,x=950&amp;cr=293" xr:uid="{81A54A38-CAB3-49E7-9ABD-144A7E891759}"/>
    <hyperlink ref="B2449" r:id="rId1144" display="https://9607261.app.netsuite.com/app/reporting/reportrunner.nl?fromreport=320&amp;regtx,tranline,kacct,x,alltranline5,IN,x,x=950&amp;cr=293" xr:uid="{629416B7-3C3D-4EC3-AEE9-A91DB57E3898}"/>
    <hyperlink ref="B2451" r:id="rId1145" display="https://9607261.app.netsuite.com/app/reporting/reportrunner.nl?fromreport=320&amp;regtx,tranline,kacct,x,alltranline5,IN,x,x=950&amp;cr=293" xr:uid="{71F0E5F3-1886-4082-BF08-1A5CB0275EAA}"/>
    <hyperlink ref="B2453" r:id="rId1146" display="https://9607261.app.netsuite.com/app/reporting/reportrunner.nl?fromreport=320&amp;regtx,tranline,kacct,x,alltranline5,IN,x,x=950&amp;cr=293" xr:uid="{2500A5FC-8E8A-4713-9760-D924CF2E721D}"/>
    <hyperlink ref="B2455" r:id="rId1147" display="https://9607261.app.netsuite.com/app/reporting/reportrunner.nl?fromreport=320&amp;regtx,tranline,kacct,x,alltranline5,IN,x,x=950&amp;cr=293" xr:uid="{D35572F0-8FA5-49ED-8710-F743CE4C534E}"/>
    <hyperlink ref="B2457" r:id="rId1148" display="https://9607261.app.netsuite.com/app/reporting/reportrunner.nl?fromreport=320&amp;regtx,tranline,kacct,x,alltranline5,IN,x,x=950&amp;cr=293" xr:uid="{E46895CC-F998-4722-9A6A-896B01B0C289}"/>
    <hyperlink ref="B2459" r:id="rId1149" display="https://9607261.app.netsuite.com/app/reporting/reportrunner.nl?fromreport=320&amp;regtx,tranline,kacct,x,alltranline5,IN,x,x=950&amp;cr=293" xr:uid="{E87CC539-3576-4BC3-A27A-D47FBA884E2A}"/>
    <hyperlink ref="B2461" r:id="rId1150" display="https://9607261.app.netsuite.com/app/reporting/reportrunner.nl?fromreport=320&amp;regtx,tranline,kacct,x,alltranline5,IN,x,x=950&amp;cr=293" xr:uid="{ABFC88A9-3175-4110-86B8-F5EF8EFD71F0}"/>
    <hyperlink ref="B2463" r:id="rId1151" display="https://9607261.app.netsuite.com/app/reporting/reportrunner.nl?fromreport=320&amp;regtx,tranline,kacct,x,alltranline5,IN,x,x=950&amp;cr=293" xr:uid="{87D8A8C6-9B87-47A3-B845-DFE8FAA3F5B8}"/>
    <hyperlink ref="B2465" r:id="rId1152" display="https://9607261.app.netsuite.com/app/reporting/reportrunner.nl?fromreport=320&amp;regtx,tranline,kacct,x,alltranline5,IN,x,x=950&amp;cr=293" xr:uid="{55B8CF60-31D2-4545-85D9-F9F1114C8281}"/>
    <hyperlink ref="B2467" r:id="rId1153" display="https://9607261.app.netsuite.com/app/reporting/reportrunner.nl?fromreport=320&amp;regtx,tranline,kacct,x,alltranline5,IN,x,x=950&amp;cr=293" xr:uid="{D62D74E9-FEFF-4886-AB07-10F479996759}"/>
    <hyperlink ref="B2469" r:id="rId1154" display="https://9607261.app.netsuite.com/app/reporting/reportrunner.nl?fromreport=320&amp;regtx,tranline,kacct,x,alltranline5,IN,x,x=950&amp;cr=293" xr:uid="{2AC64A71-71F3-4CB7-8CE1-7FED1CE3F5EB}"/>
    <hyperlink ref="B2471" r:id="rId1155" display="https://9607261.app.netsuite.com/app/reporting/reportrunner.nl?fromreport=320&amp;regtx,tranline,kacct,x,alltranline5,IN,x,x=950&amp;cr=293" xr:uid="{29FA5088-5461-484E-A40E-C613C4EF0EB1}"/>
    <hyperlink ref="B2473" r:id="rId1156" display="https://9607261.app.netsuite.com/app/reporting/reportrunner.nl?fromreport=320&amp;regtx,tranline,kacct,x,alltranline5,IN,x,x=950&amp;cr=293" xr:uid="{44DB8D0C-1A41-49D8-8281-E4EEBC3E88BD}"/>
    <hyperlink ref="B2475" r:id="rId1157" display="https://9607261.app.netsuite.com/app/reporting/reportrunner.nl?fromreport=320&amp;regtx,tranline,kacct,x,alltranline5,IN,x,x=950&amp;cr=293" xr:uid="{3ECEB34C-D2CE-4BA7-8961-F32CAF40C35D}"/>
    <hyperlink ref="B2477" r:id="rId1158" display="https://9607261.app.netsuite.com/app/reporting/reportrunner.nl?fromreport=320&amp;regtx,tranline,kacct,x,alltranline5,IN,x,x=950&amp;cr=293" xr:uid="{FF43B98F-33B6-4ACD-92D2-F15E4A8207E1}"/>
    <hyperlink ref="B2479" r:id="rId1159" display="https://9607261.app.netsuite.com/app/reporting/reportrunner.nl?fromreport=320&amp;regtx,tranline,kacct,x,alltranline5,IN,x,x=950&amp;cr=293" xr:uid="{17188E3F-41AC-4B36-B880-A1A2E9E20F82}"/>
    <hyperlink ref="B2481" r:id="rId1160" display="https://9607261.app.netsuite.com/app/reporting/reportrunner.nl?fromreport=320&amp;regtx,tranline,kacct,x,alltranline5,IN,x,x=950&amp;cr=293" xr:uid="{93F751A5-EA7B-4000-A9FC-5C2DB2DA2660}"/>
    <hyperlink ref="B2483" r:id="rId1161" display="https://9607261.app.netsuite.com/app/reporting/reportrunner.nl?fromreport=320&amp;regtx,tranline,kacct,x,alltranline5,IN,x,x=950&amp;cr=293" xr:uid="{10B8F2AC-5AE5-4FEF-81B7-8BB717169F84}"/>
    <hyperlink ref="B2485" r:id="rId1162" display="https://9607261.app.netsuite.com/app/reporting/reportrunner.nl?fromreport=320&amp;regtx,tranline,kacct,x,alltranline5,IN,x,x=950&amp;cr=293" xr:uid="{2DB25C23-6EC3-4F5B-8EF6-63C9D0ADAC04}"/>
    <hyperlink ref="B2487" r:id="rId1163" display="https://9607261.app.netsuite.com/app/reporting/reportrunner.nl?fromreport=320&amp;regtx,tranline,kacct,x,alltranline5,IN,x,x=950&amp;cr=293" xr:uid="{BE038425-36B9-4729-BA34-46977381E28D}"/>
    <hyperlink ref="B2489" r:id="rId1164" display="https://9607261.app.netsuite.com/app/reporting/reportrunner.nl?fromreport=320&amp;regtx,tranline,kacct,x,alltranline5,IN,x,x=950&amp;cr=293" xr:uid="{876E6176-A809-42A0-AC77-548564744A7F}"/>
    <hyperlink ref="B2491" r:id="rId1165" display="https://9607261.app.netsuite.com/app/reporting/reportrunner.nl?fromreport=320&amp;regtx,tranline,kacct,x,alltranline5,IN,x,x=950&amp;cr=293" xr:uid="{3004DD13-49A7-4495-872C-1182D9FB2D8B}"/>
    <hyperlink ref="B2493" r:id="rId1166" display="https://9607261.app.netsuite.com/app/reporting/reportrunner.nl?fromreport=320&amp;regtx,tranline,kacct,x,alltranline5,IN,x,x=950&amp;cr=293" xr:uid="{63793C84-6B7A-4CC6-A146-C77457F7AD77}"/>
    <hyperlink ref="B2495" r:id="rId1167" display="https://9607261.app.netsuite.com/app/reporting/reportrunner.nl?fromreport=320&amp;regtx,tranline,kacct,x,alltranline5,IN,x,x=950&amp;cr=293" xr:uid="{FE7AFFAE-61C6-4200-B706-10D284A26F55}"/>
    <hyperlink ref="B2497" r:id="rId1168" display="https://9607261.app.netsuite.com/app/reporting/reportrunner.nl?fromreport=320&amp;regtx,tranline,kacct,x,alltranline5,IN,x,x=950&amp;cr=293" xr:uid="{9ED74D53-4CDC-4C54-931E-1FCE2364C9DD}"/>
    <hyperlink ref="B2499" r:id="rId1169" display="https://9607261.app.netsuite.com/app/reporting/reportrunner.nl?fromreport=320&amp;regtx,tranline,kacct,x,alltranline5,IN,x,x=950&amp;cr=293" xr:uid="{F45E5649-ADB4-4C9A-8725-B8701CB7FD34}"/>
    <hyperlink ref="B2501" r:id="rId1170" display="https://9607261.app.netsuite.com/app/reporting/reportrunner.nl?fromreport=320&amp;regtx,tranline,kacct,x,alltranline5,IN,x,x=950&amp;cr=293" xr:uid="{521E6ED6-534B-47AF-8D7E-3DF66F5D2039}"/>
    <hyperlink ref="B2503" r:id="rId1171" display="https://9607261.app.netsuite.com/app/reporting/reportrunner.nl?fromreport=320&amp;regtx,tranline,kacct,x,alltranline5,IN,x,x=950&amp;cr=293" xr:uid="{E3FA3416-3405-442C-816E-45827AEEBB40}"/>
    <hyperlink ref="B2505" r:id="rId1172" display="https://9607261.app.netsuite.com/app/reporting/reportrunner.nl?fromreport=320&amp;regtx,tranline,kacct,x,alltranline5,IN,x,x=950&amp;cr=293" xr:uid="{1EFD91AD-B16C-4182-A6EE-D911D25E86E4}"/>
    <hyperlink ref="B2507" r:id="rId1173" display="https://9607261.app.netsuite.com/app/reporting/reportrunner.nl?fromreport=320&amp;regtx,tranline,kacct,x,alltranline5,IN,x,x=950&amp;cr=293" xr:uid="{605908B0-D065-487A-ABD5-78D32CA9DF89}"/>
    <hyperlink ref="B2509" r:id="rId1174" display="https://9607261.app.netsuite.com/app/reporting/reportrunner.nl?fromreport=320&amp;regtx,tranline,kacct,x,alltranline5,IN,x,x=950&amp;cr=293" xr:uid="{834DB299-9FAC-43A8-8E66-835A1D7F131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3FC4-E355-433D-964C-E2F78933F6FF}">
  <dimension ref="A1:M282"/>
  <sheetViews>
    <sheetView topLeftCell="J1" workbookViewId="0">
      <selection activeCell="L3" sqref="L3:L13"/>
    </sheetView>
  </sheetViews>
  <sheetFormatPr defaultColWidth="9.6328125" defaultRowHeight="14.5" x14ac:dyDescent="0.35"/>
  <cols>
    <col min="1" max="1" width="16.26953125" style="40" bestFit="1" customWidth="1"/>
    <col min="2" max="2" width="9.6328125" style="40"/>
    <col min="3" max="4" width="33.7265625" style="40" customWidth="1"/>
    <col min="5" max="6" width="30.7265625" style="40" customWidth="1"/>
    <col min="7" max="7" width="10.7265625" style="40" customWidth="1"/>
    <col min="8" max="8" width="9.6328125" style="50"/>
    <col min="9" max="10" width="39.26953125" style="40" customWidth="1"/>
    <col min="11" max="11" width="26.1796875" style="40" bestFit="1" customWidth="1"/>
    <col min="12" max="13" width="14.26953125" style="40" customWidth="1"/>
    <col min="14" max="14" width="12.453125" style="40" bestFit="1" customWidth="1"/>
    <col min="15" max="16384" width="9.6328125" style="40"/>
  </cols>
  <sheetData>
    <row r="1" spans="1:13" x14ac:dyDescent="0.35">
      <c r="L1" s="41">
        <f>SUM(L3:L282)</f>
        <v>3650759.9699999993</v>
      </c>
      <c r="M1" s="41">
        <f>SUM(M3:M282)</f>
        <v>3650759.9699999993</v>
      </c>
    </row>
    <row r="2" spans="1:13" ht="38.5" customHeight="1" x14ac:dyDescent="0.35">
      <c r="A2" s="40" t="s">
        <v>1198</v>
      </c>
      <c r="B2" s="40" t="s">
        <v>1193</v>
      </c>
      <c r="C2" s="42" t="s">
        <v>1</v>
      </c>
      <c r="D2" s="42" t="s">
        <v>1197</v>
      </c>
      <c r="E2" s="42" t="s">
        <v>2</v>
      </c>
      <c r="F2" s="42"/>
      <c r="G2" s="43" t="s">
        <v>3</v>
      </c>
      <c r="H2" s="51" t="s">
        <v>4</v>
      </c>
      <c r="I2" s="43" t="s">
        <v>5</v>
      </c>
      <c r="J2" s="43" t="s">
        <v>1194</v>
      </c>
      <c r="K2" s="43" t="s">
        <v>6</v>
      </c>
      <c r="L2" s="44" t="s">
        <v>7</v>
      </c>
    </row>
    <row r="3" spans="1:13" ht="14.4" customHeight="1" x14ac:dyDescent="0.35">
      <c r="A3" s="40" t="str">
        <f>CONCATENATE("JULYREV","-",H3)</f>
        <v>JULYREV-31647</v>
      </c>
      <c r="B3" s="40">
        <v>1</v>
      </c>
      <c r="C3" s="45" t="s">
        <v>17</v>
      </c>
      <c r="D3" s="40">
        <v>950</v>
      </c>
      <c r="E3" s="45"/>
      <c r="F3" s="40" t="e">
        <v>#VALUE!</v>
      </c>
      <c r="G3" s="45">
        <v>45839</v>
      </c>
      <c r="H3" s="50">
        <v>31647</v>
      </c>
      <c r="I3" s="40" t="s">
        <v>18</v>
      </c>
      <c r="J3" s="40">
        <f>VLOOKUP(I3,[1]Vendors!$A:$B,2,FALSE)</f>
        <v>3409</v>
      </c>
      <c r="K3" s="40" t="s">
        <v>19</v>
      </c>
      <c r="L3" s="46">
        <v>108.3</v>
      </c>
    </row>
    <row r="4" spans="1:13" ht="14.4" customHeight="1" x14ac:dyDescent="0.35">
      <c r="A4" s="40" t="str">
        <f t="shared" ref="A4:A67" si="0">CONCATENATE("JULYREV","-",H4)</f>
        <v>JULYREV-31647</v>
      </c>
      <c r="B4" s="40">
        <v>1.5</v>
      </c>
      <c r="C4" s="45"/>
      <c r="D4" s="40">
        <v>972</v>
      </c>
      <c r="E4" s="45" t="s">
        <v>22</v>
      </c>
      <c r="F4" s="40">
        <v>972</v>
      </c>
      <c r="G4" s="45">
        <v>45839</v>
      </c>
      <c r="H4" s="50">
        <v>31647</v>
      </c>
      <c r="I4" s="40" t="s">
        <v>18</v>
      </c>
      <c r="J4" s="40">
        <f>VLOOKUP(I4,[1]Vendors!$A:$B,2,FALSE)</f>
        <v>3409</v>
      </c>
      <c r="K4" s="40" t="s">
        <v>19</v>
      </c>
      <c r="L4" s="46"/>
      <c r="M4" s="46">
        <f>L3</f>
        <v>108.3</v>
      </c>
    </row>
    <row r="5" spans="1:13" x14ac:dyDescent="0.35">
      <c r="A5" s="40" t="str">
        <f t="shared" si="0"/>
        <v>JULYREV-33495/7</v>
      </c>
      <c r="B5" s="40">
        <v>2</v>
      </c>
      <c r="C5" s="45" t="s">
        <v>17</v>
      </c>
      <c r="D5" s="40">
        <v>950</v>
      </c>
      <c r="E5" s="45"/>
      <c r="F5" s="40" t="e">
        <v>#VALUE!</v>
      </c>
      <c r="G5" s="45">
        <v>45839</v>
      </c>
      <c r="H5" s="50" t="s">
        <v>25</v>
      </c>
      <c r="I5" s="40" t="s">
        <v>26</v>
      </c>
      <c r="J5" s="40">
        <f>VLOOKUP(I5,[1]Vendors!$A:$B,2,FALSE)</f>
        <v>3370</v>
      </c>
      <c r="K5" s="40" t="s">
        <v>19</v>
      </c>
      <c r="L5" s="46">
        <v>1382.35</v>
      </c>
    </row>
    <row r="6" spans="1:13" x14ac:dyDescent="0.35">
      <c r="A6" s="40" t="str">
        <f t="shared" si="0"/>
        <v>JULYREV-33495/7</v>
      </c>
      <c r="B6" s="40">
        <v>2.5</v>
      </c>
      <c r="C6" s="45"/>
      <c r="D6" s="40">
        <v>972</v>
      </c>
      <c r="E6" s="45" t="s">
        <v>22</v>
      </c>
      <c r="F6" s="40">
        <v>972</v>
      </c>
      <c r="G6" s="45">
        <v>45839</v>
      </c>
      <c r="H6" s="50" t="s">
        <v>25</v>
      </c>
      <c r="I6" s="40" t="s">
        <v>26</v>
      </c>
      <c r="J6" s="40">
        <f>VLOOKUP(I6,[1]Vendors!$A:$B,2,FALSE)</f>
        <v>3370</v>
      </c>
      <c r="K6" s="40" t="s">
        <v>19</v>
      </c>
      <c r="M6" s="46">
        <v>1382.35</v>
      </c>
    </row>
    <row r="7" spans="1:13" x14ac:dyDescent="0.35">
      <c r="A7" s="40" t="str">
        <f t="shared" si="0"/>
        <v>JULYREV-33555</v>
      </c>
      <c r="B7" s="40">
        <v>3</v>
      </c>
      <c r="C7" s="45" t="s">
        <v>17</v>
      </c>
      <c r="D7" s="40">
        <v>950</v>
      </c>
      <c r="E7" s="45"/>
      <c r="F7" s="40" t="e">
        <v>#VALUE!</v>
      </c>
      <c r="G7" s="45">
        <v>45839</v>
      </c>
      <c r="H7" s="50">
        <v>33555</v>
      </c>
      <c r="I7" s="47" t="s">
        <v>1195</v>
      </c>
      <c r="J7" s="40">
        <f>VLOOKUP(I7,[1]Vendors!$A:$B,2,FALSE)</f>
        <v>2328</v>
      </c>
      <c r="K7" s="40" t="s">
        <v>19</v>
      </c>
      <c r="L7" s="46">
        <v>15931.58</v>
      </c>
    </row>
    <row r="8" spans="1:13" x14ac:dyDescent="0.35">
      <c r="A8" s="40" t="str">
        <f t="shared" si="0"/>
        <v>JULYREV-33555</v>
      </c>
      <c r="B8" s="40">
        <v>3.5</v>
      </c>
      <c r="C8" s="45"/>
      <c r="D8" s="40">
        <v>972</v>
      </c>
      <c r="E8" s="45" t="s">
        <v>22</v>
      </c>
      <c r="F8" s="40">
        <v>972</v>
      </c>
      <c r="G8" s="45">
        <v>45839</v>
      </c>
      <c r="H8" s="50">
        <v>33555</v>
      </c>
      <c r="I8" s="47" t="s">
        <v>1195</v>
      </c>
      <c r="J8" s="40">
        <f>VLOOKUP(I8,[1]Vendors!$A:$B,2,FALSE)</f>
        <v>2328</v>
      </c>
      <c r="K8" s="40" t="s">
        <v>19</v>
      </c>
      <c r="M8" s="46">
        <v>15931.58</v>
      </c>
    </row>
    <row r="9" spans="1:13" x14ac:dyDescent="0.35">
      <c r="A9" s="40" t="str">
        <f t="shared" si="0"/>
        <v>JULYREV-33565/10</v>
      </c>
      <c r="B9" s="40">
        <v>4</v>
      </c>
      <c r="C9" s="45" t="s">
        <v>17</v>
      </c>
      <c r="D9" s="40">
        <v>950</v>
      </c>
      <c r="E9" s="45"/>
      <c r="F9" s="40" t="e">
        <v>#VALUE!</v>
      </c>
      <c r="G9" s="45">
        <v>45839</v>
      </c>
      <c r="H9" s="50" t="s">
        <v>32</v>
      </c>
      <c r="I9" s="40" t="s">
        <v>33</v>
      </c>
      <c r="J9" s="40">
        <f>VLOOKUP(I9,[1]Vendors!$A:$B,2,FALSE)</f>
        <v>2678</v>
      </c>
      <c r="K9" s="40" t="s">
        <v>19</v>
      </c>
      <c r="L9" s="46">
        <v>1222</v>
      </c>
    </row>
    <row r="10" spans="1:13" x14ac:dyDescent="0.35">
      <c r="A10" s="40" t="str">
        <f t="shared" si="0"/>
        <v>JULYREV-33565/10</v>
      </c>
      <c r="B10" s="40">
        <v>4.5</v>
      </c>
      <c r="C10" s="45"/>
      <c r="D10" s="40">
        <v>972</v>
      </c>
      <c r="E10" s="45" t="s">
        <v>22</v>
      </c>
      <c r="F10" s="40">
        <v>972</v>
      </c>
      <c r="G10" s="45">
        <v>45839</v>
      </c>
      <c r="H10" s="50" t="s">
        <v>32</v>
      </c>
      <c r="I10" s="40" t="s">
        <v>33</v>
      </c>
      <c r="J10" s="40">
        <f>VLOOKUP(I10,[1]Vendors!$A:$B,2,FALSE)</f>
        <v>2678</v>
      </c>
      <c r="K10" s="40" t="s">
        <v>19</v>
      </c>
      <c r="M10" s="46">
        <v>1222</v>
      </c>
    </row>
    <row r="11" spans="1:13" x14ac:dyDescent="0.35">
      <c r="A11" s="40" t="str">
        <f t="shared" si="0"/>
        <v>JULYREV-33722/5</v>
      </c>
      <c r="B11" s="40">
        <v>5</v>
      </c>
      <c r="C11" s="45" t="s">
        <v>17</v>
      </c>
      <c r="D11" s="40">
        <v>950</v>
      </c>
      <c r="E11" s="45"/>
      <c r="F11" s="40" t="e">
        <v>#VALUE!</v>
      </c>
      <c r="G11" s="45">
        <v>45839</v>
      </c>
      <c r="H11" s="50" t="s">
        <v>35</v>
      </c>
      <c r="I11" s="40" t="s">
        <v>36</v>
      </c>
      <c r="J11" s="40">
        <f>VLOOKUP(I11,[1]Vendors!$A:$B,2,FALSE)</f>
        <v>3367</v>
      </c>
      <c r="K11" s="40" t="s">
        <v>19</v>
      </c>
      <c r="L11" s="46">
        <v>0</v>
      </c>
    </row>
    <row r="12" spans="1:13" x14ac:dyDescent="0.35">
      <c r="A12" s="40" t="str">
        <f t="shared" si="0"/>
        <v>JULYREV-33722/5</v>
      </c>
      <c r="B12" s="40">
        <v>5.5</v>
      </c>
      <c r="C12" s="45"/>
      <c r="D12" s="40">
        <v>972</v>
      </c>
      <c r="E12" s="45" t="s">
        <v>22</v>
      </c>
      <c r="F12" s="40">
        <v>972</v>
      </c>
      <c r="G12" s="45">
        <v>45839</v>
      </c>
      <c r="H12" s="50" t="s">
        <v>35</v>
      </c>
      <c r="I12" s="40" t="s">
        <v>36</v>
      </c>
      <c r="J12" s="40">
        <f>VLOOKUP(I12,[1]Vendors!$A:$B,2,FALSE)</f>
        <v>3367</v>
      </c>
      <c r="K12" s="40" t="s">
        <v>19</v>
      </c>
      <c r="M12" s="46">
        <v>0</v>
      </c>
    </row>
    <row r="13" spans="1:13" x14ac:dyDescent="0.35">
      <c r="A13" s="40" t="str">
        <f t="shared" si="0"/>
        <v>JULYREV-33984</v>
      </c>
      <c r="B13" s="40">
        <v>6</v>
      </c>
      <c r="C13" s="45" t="s">
        <v>17</v>
      </c>
      <c r="D13" s="40">
        <v>950</v>
      </c>
      <c r="E13" s="45"/>
      <c r="F13" s="40" t="e">
        <v>#VALUE!</v>
      </c>
      <c r="G13" s="45">
        <v>45839</v>
      </c>
      <c r="H13" s="50">
        <v>33984</v>
      </c>
      <c r="I13" s="40" t="s">
        <v>18</v>
      </c>
      <c r="J13" s="40">
        <f>VLOOKUP(I13,[1]Vendors!$A:$B,2,FALSE)</f>
        <v>3409</v>
      </c>
      <c r="K13" s="40" t="s">
        <v>19</v>
      </c>
      <c r="L13" s="46">
        <v>0</v>
      </c>
    </row>
    <row r="14" spans="1:13" x14ac:dyDescent="0.35">
      <c r="A14" s="40" t="str">
        <f t="shared" si="0"/>
        <v>JULYREV-33984</v>
      </c>
      <c r="B14" s="40">
        <v>6.5</v>
      </c>
      <c r="C14" s="45"/>
      <c r="D14" s="40">
        <v>972</v>
      </c>
      <c r="E14" s="45" t="s">
        <v>22</v>
      </c>
      <c r="F14" s="40">
        <v>972</v>
      </c>
      <c r="G14" s="45">
        <v>45839</v>
      </c>
      <c r="H14" s="50">
        <v>33984</v>
      </c>
      <c r="I14" s="40" t="s">
        <v>18</v>
      </c>
      <c r="J14" s="40">
        <f>VLOOKUP(I14,[1]Vendors!$A:$B,2,FALSE)</f>
        <v>3409</v>
      </c>
      <c r="K14" s="40" t="s">
        <v>19</v>
      </c>
      <c r="M14" s="46">
        <v>0</v>
      </c>
    </row>
    <row r="15" spans="1:13" x14ac:dyDescent="0.35">
      <c r="A15" s="40" t="str">
        <f t="shared" si="0"/>
        <v>JULYREV-34076</v>
      </c>
      <c r="B15" s="40">
        <v>7</v>
      </c>
      <c r="C15" s="45" t="s">
        <v>17</v>
      </c>
      <c r="D15" s="40">
        <v>950</v>
      </c>
      <c r="E15" s="45"/>
      <c r="F15" s="40" t="e">
        <v>#VALUE!</v>
      </c>
      <c r="G15" s="45">
        <v>45839</v>
      </c>
      <c r="H15" s="50">
        <v>34076</v>
      </c>
      <c r="I15" s="40" t="s">
        <v>39</v>
      </c>
      <c r="J15" s="40">
        <f>VLOOKUP(I15,[1]Vendors!$A:$B,2,FALSE)</f>
        <v>3410</v>
      </c>
      <c r="K15" s="40" t="s">
        <v>19</v>
      </c>
      <c r="L15" s="46">
        <v>0</v>
      </c>
    </row>
    <row r="16" spans="1:13" x14ac:dyDescent="0.35">
      <c r="A16" s="40" t="str">
        <f t="shared" si="0"/>
        <v>JULYREV-34076</v>
      </c>
      <c r="B16" s="40">
        <v>7.5</v>
      </c>
      <c r="C16" s="45"/>
      <c r="D16" s="40">
        <v>972</v>
      </c>
      <c r="E16" s="45" t="s">
        <v>22</v>
      </c>
      <c r="F16" s="40">
        <v>972</v>
      </c>
      <c r="G16" s="45">
        <v>45839</v>
      </c>
      <c r="H16" s="50">
        <v>34076</v>
      </c>
      <c r="I16" s="40" t="s">
        <v>39</v>
      </c>
      <c r="J16" s="40">
        <f>VLOOKUP(I16,[1]Vendors!$A:$B,2,FALSE)</f>
        <v>3410</v>
      </c>
      <c r="K16" s="40" t="s">
        <v>19</v>
      </c>
      <c r="M16" s="46">
        <v>0</v>
      </c>
    </row>
    <row r="17" spans="1:13" x14ac:dyDescent="0.35">
      <c r="A17" s="40" t="str">
        <f t="shared" si="0"/>
        <v>JULYREV-34086/8</v>
      </c>
      <c r="B17" s="40">
        <v>8</v>
      </c>
      <c r="C17" s="45" t="s">
        <v>17</v>
      </c>
      <c r="D17" s="40">
        <v>950</v>
      </c>
      <c r="E17" s="45"/>
      <c r="F17" s="40" t="e">
        <v>#VALUE!</v>
      </c>
      <c r="G17" s="45">
        <v>45839</v>
      </c>
      <c r="H17" s="50" t="s">
        <v>41</v>
      </c>
      <c r="I17" s="40" t="s">
        <v>26</v>
      </c>
      <c r="J17" s="40">
        <f>VLOOKUP(I17,[1]Vendors!$A:$B,2,FALSE)</f>
        <v>3370</v>
      </c>
      <c r="K17" s="40" t="s">
        <v>19</v>
      </c>
      <c r="L17" s="46">
        <v>0</v>
      </c>
    </row>
    <row r="18" spans="1:13" x14ac:dyDescent="0.35">
      <c r="A18" s="40" t="str">
        <f t="shared" si="0"/>
        <v>JULYREV-34086/8</v>
      </c>
      <c r="B18" s="40">
        <v>8.5</v>
      </c>
      <c r="C18" s="45"/>
      <c r="D18" s="40">
        <v>972</v>
      </c>
      <c r="E18" s="45" t="s">
        <v>22</v>
      </c>
      <c r="F18" s="40">
        <v>972</v>
      </c>
      <c r="G18" s="45">
        <v>45839</v>
      </c>
      <c r="H18" s="50" t="s">
        <v>41</v>
      </c>
      <c r="I18" s="40" t="s">
        <v>26</v>
      </c>
      <c r="J18" s="40">
        <f>VLOOKUP(I18,[1]Vendors!$A:$B,2,FALSE)</f>
        <v>3370</v>
      </c>
      <c r="K18" s="40" t="s">
        <v>19</v>
      </c>
      <c r="M18" s="46">
        <v>0</v>
      </c>
    </row>
    <row r="19" spans="1:13" x14ac:dyDescent="0.35">
      <c r="A19" s="40" t="str">
        <f t="shared" si="0"/>
        <v>JULYREV-34113/2</v>
      </c>
      <c r="B19" s="40">
        <v>9</v>
      </c>
      <c r="C19" s="45" t="s">
        <v>17</v>
      </c>
      <c r="D19" s="40">
        <v>950</v>
      </c>
      <c r="E19" s="45"/>
      <c r="F19" s="40" t="e">
        <v>#VALUE!</v>
      </c>
      <c r="G19" s="45">
        <v>45839</v>
      </c>
      <c r="H19" s="50" t="s">
        <v>43</v>
      </c>
      <c r="I19" s="40" t="s">
        <v>44</v>
      </c>
      <c r="J19" s="40">
        <f>VLOOKUP(I19,[1]Vendors!$A:$B,2,FALSE)</f>
        <v>3361</v>
      </c>
      <c r="K19" s="40" t="s">
        <v>19</v>
      </c>
      <c r="L19" s="46">
        <v>545</v>
      </c>
    </row>
    <row r="20" spans="1:13" x14ac:dyDescent="0.35">
      <c r="A20" s="40" t="str">
        <f t="shared" si="0"/>
        <v>JULYREV-34113/2</v>
      </c>
      <c r="B20" s="40">
        <v>9.5</v>
      </c>
      <c r="C20" s="45"/>
      <c r="D20" s="40">
        <v>972</v>
      </c>
      <c r="E20" s="45" t="s">
        <v>22</v>
      </c>
      <c r="F20" s="40">
        <v>972</v>
      </c>
      <c r="G20" s="45">
        <v>45839</v>
      </c>
      <c r="H20" s="50" t="s">
        <v>43</v>
      </c>
      <c r="I20" s="40" t="s">
        <v>44</v>
      </c>
      <c r="J20" s="40">
        <f>VLOOKUP(I20,[1]Vendors!$A:$B,2,FALSE)</f>
        <v>3361</v>
      </c>
      <c r="K20" s="40" t="s">
        <v>19</v>
      </c>
      <c r="M20" s="46">
        <v>545</v>
      </c>
    </row>
    <row r="21" spans="1:13" x14ac:dyDescent="0.35">
      <c r="A21" s="40" t="str">
        <f t="shared" si="0"/>
        <v>JULYREV-34289/3</v>
      </c>
      <c r="B21" s="40">
        <v>10</v>
      </c>
      <c r="C21" s="45" t="s">
        <v>17</v>
      </c>
      <c r="D21" s="40">
        <v>950</v>
      </c>
      <c r="E21" s="45"/>
      <c r="F21" s="40" t="e">
        <v>#VALUE!</v>
      </c>
      <c r="G21" s="45">
        <v>45839</v>
      </c>
      <c r="H21" s="50" t="s">
        <v>46</v>
      </c>
      <c r="I21" s="40" t="s">
        <v>47</v>
      </c>
      <c r="J21" s="40">
        <f>VLOOKUP(I21,[1]Vendors!$A:$B,2,FALSE)</f>
        <v>2619</v>
      </c>
      <c r="K21" s="40" t="s">
        <v>19</v>
      </c>
      <c r="L21" s="46">
        <v>453.12</v>
      </c>
    </row>
    <row r="22" spans="1:13" x14ac:dyDescent="0.35">
      <c r="A22" s="40" t="str">
        <f t="shared" si="0"/>
        <v>JULYREV-34289/3</v>
      </c>
      <c r="B22" s="40">
        <v>10.5</v>
      </c>
      <c r="C22" s="45"/>
      <c r="D22" s="40">
        <v>972</v>
      </c>
      <c r="E22" s="45" t="s">
        <v>22</v>
      </c>
      <c r="F22" s="40">
        <v>972</v>
      </c>
      <c r="G22" s="45">
        <v>45839</v>
      </c>
      <c r="H22" s="50" t="s">
        <v>46</v>
      </c>
      <c r="I22" s="40" t="s">
        <v>47</v>
      </c>
      <c r="J22" s="40">
        <f>VLOOKUP(I22,[1]Vendors!$A:$B,2,FALSE)</f>
        <v>2619</v>
      </c>
      <c r="K22" s="40" t="s">
        <v>19</v>
      </c>
      <c r="M22" s="46">
        <v>453.12</v>
      </c>
    </row>
    <row r="23" spans="1:13" x14ac:dyDescent="0.35">
      <c r="A23" s="40" t="str">
        <f t="shared" si="0"/>
        <v>JULYREV-34967</v>
      </c>
      <c r="B23" s="40">
        <v>11</v>
      </c>
      <c r="C23" s="45" t="s">
        <v>17</v>
      </c>
      <c r="D23" s="40">
        <v>950</v>
      </c>
      <c r="E23" s="45"/>
      <c r="F23" s="40" t="e">
        <v>#VALUE!</v>
      </c>
      <c r="G23" s="45">
        <v>45839</v>
      </c>
      <c r="H23" s="50">
        <v>34967</v>
      </c>
      <c r="I23" s="40" t="s">
        <v>48</v>
      </c>
      <c r="J23" s="40">
        <f>VLOOKUP(I23,[1]Vendors!$A:$B,2,FALSE)</f>
        <v>2752</v>
      </c>
      <c r="K23" s="40" t="s">
        <v>19</v>
      </c>
      <c r="L23" s="46">
        <v>3736.32</v>
      </c>
    </row>
    <row r="24" spans="1:13" x14ac:dyDescent="0.35">
      <c r="A24" s="40" t="str">
        <f t="shared" si="0"/>
        <v>JULYREV-34967</v>
      </c>
      <c r="B24" s="40">
        <v>11.5</v>
      </c>
      <c r="C24" s="45"/>
      <c r="D24" s="40">
        <v>972</v>
      </c>
      <c r="E24" s="45" t="s">
        <v>22</v>
      </c>
      <c r="F24" s="40">
        <v>972</v>
      </c>
      <c r="G24" s="45">
        <v>45839</v>
      </c>
      <c r="H24" s="50">
        <v>34967</v>
      </c>
      <c r="I24" s="40" t="s">
        <v>48</v>
      </c>
      <c r="J24" s="40">
        <f>VLOOKUP(I24,[1]Vendors!$A:$B,2,FALSE)</f>
        <v>2752</v>
      </c>
      <c r="K24" s="40" t="s">
        <v>19</v>
      </c>
      <c r="M24" s="46">
        <v>3736.32</v>
      </c>
    </row>
    <row r="25" spans="1:13" x14ac:dyDescent="0.35">
      <c r="A25" s="40" t="str">
        <f t="shared" si="0"/>
        <v>JULYREV-35518</v>
      </c>
      <c r="B25" s="40">
        <v>12</v>
      </c>
      <c r="C25" s="45" t="s">
        <v>17</v>
      </c>
      <c r="D25" s="40">
        <v>950</v>
      </c>
      <c r="E25" s="45"/>
      <c r="F25" s="40" t="e">
        <v>#VALUE!</v>
      </c>
      <c r="G25" s="45">
        <v>45839</v>
      </c>
      <c r="H25" s="50">
        <v>35518</v>
      </c>
      <c r="I25" s="40" t="s">
        <v>49</v>
      </c>
      <c r="J25" s="40">
        <f>VLOOKUP(I25,[1]Vendors!$A:$B,2,FALSE)</f>
        <v>2761</v>
      </c>
      <c r="K25" s="40" t="s">
        <v>19</v>
      </c>
      <c r="L25" s="46">
        <v>35954.480000000003</v>
      </c>
    </row>
    <row r="26" spans="1:13" x14ac:dyDescent="0.35">
      <c r="A26" s="40" t="str">
        <f t="shared" si="0"/>
        <v>JULYREV-35518</v>
      </c>
      <c r="B26" s="40">
        <v>12.5</v>
      </c>
      <c r="C26" s="45"/>
      <c r="D26" s="40">
        <v>972</v>
      </c>
      <c r="E26" s="45" t="s">
        <v>22</v>
      </c>
      <c r="F26" s="40">
        <v>972</v>
      </c>
      <c r="G26" s="45">
        <v>45839</v>
      </c>
      <c r="H26" s="50">
        <v>35518</v>
      </c>
      <c r="I26" s="40" t="s">
        <v>49</v>
      </c>
      <c r="J26" s="40">
        <f>VLOOKUP(I26,[1]Vendors!$A:$B,2,FALSE)</f>
        <v>2761</v>
      </c>
      <c r="K26" s="40" t="s">
        <v>19</v>
      </c>
      <c r="M26" s="46">
        <v>35954.480000000003</v>
      </c>
    </row>
    <row r="27" spans="1:13" x14ac:dyDescent="0.35">
      <c r="A27" s="40" t="str">
        <f t="shared" si="0"/>
        <v>JULYREV-36158</v>
      </c>
      <c r="B27" s="40">
        <v>13</v>
      </c>
      <c r="C27" s="45" t="s">
        <v>17</v>
      </c>
      <c r="D27" s="40">
        <v>950</v>
      </c>
      <c r="E27" s="45"/>
      <c r="F27" s="40" t="e">
        <v>#VALUE!</v>
      </c>
      <c r="G27" s="45">
        <v>45839</v>
      </c>
      <c r="H27" s="50">
        <v>36158</v>
      </c>
      <c r="I27" s="40" t="s">
        <v>50</v>
      </c>
      <c r="J27" s="40">
        <f>VLOOKUP(I27,[1]Vendors!$A:$B,2,FALSE)</f>
        <v>1938</v>
      </c>
      <c r="K27" s="40" t="s">
        <v>19</v>
      </c>
      <c r="L27" s="46">
        <v>0</v>
      </c>
    </row>
    <row r="28" spans="1:13" x14ac:dyDescent="0.35">
      <c r="A28" s="40" t="str">
        <f t="shared" si="0"/>
        <v>JULYREV-36158</v>
      </c>
      <c r="B28" s="40">
        <v>13.5</v>
      </c>
      <c r="C28" s="45"/>
      <c r="D28" s="40">
        <v>972</v>
      </c>
      <c r="E28" s="45" t="s">
        <v>22</v>
      </c>
      <c r="F28" s="40">
        <v>972</v>
      </c>
      <c r="G28" s="45">
        <v>45839</v>
      </c>
      <c r="H28" s="50">
        <v>36158</v>
      </c>
      <c r="I28" s="40" t="s">
        <v>50</v>
      </c>
      <c r="J28" s="40">
        <f>VLOOKUP(I28,[1]Vendors!$A:$B,2,FALSE)</f>
        <v>1938</v>
      </c>
      <c r="K28" s="40" t="s">
        <v>19</v>
      </c>
      <c r="M28" s="46">
        <v>0</v>
      </c>
    </row>
    <row r="29" spans="1:13" x14ac:dyDescent="0.35">
      <c r="A29" s="40" t="str">
        <f t="shared" si="0"/>
        <v>JULYREV-36159/4</v>
      </c>
      <c r="B29" s="40">
        <v>14</v>
      </c>
      <c r="C29" s="45" t="s">
        <v>17</v>
      </c>
      <c r="D29" s="40">
        <v>950</v>
      </c>
      <c r="E29" s="45"/>
      <c r="F29" s="40" t="e">
        <v>#VALUE!</v>
      </c>
      <c r="G29" s="45">
        <v>45839</v>
      </c>
      <c r="H29" s="50" t="s">
        <v>51</v>
      </c>
      <c r="I29" s="40" t="s">
        <v>50</v>
      </c>
      <c r="J29" s="40">
        <f>VLOOKUP(I29,[1]Vendors!$A:$B,2,FALSE)</f>
        <v>1938</v>
      </c>
      <c r="K29" s="40" t="s">
        <v>19</v>
      </c>
      <c r="L29" s="46">
        <v>0</v>
      </c>
    </row>
    <row r="30" spans="1:13" x14ac:dyDescent="0.35">
      <c r="A30" s="40" t="str">
        <f t="shared" si="0"/>
        <v>JULYREV-36159/4</v>
      </c>
      <c r="B30" s="40">
        <v>14.5</v>
      </c>
      <c r="C30" s="45"/>
      <c r="D30" s="40">
        <v>972</v>
      </c>
      <c r="E30" s="45" t="s">
        <v>22</v>
      </c>
      <c r="F30" s="40">
        <v>972</v>
      </c>
      <c r="G30" s="45">
        <v>45839</v>
      </c>
      <c r="H30" s="50" t="s">
        <v>51</v>
      </c>
      <c r="I30" s="40" t="s">
        <v>50</v>
      </c>
      <c r="J30" s="40">
        <f>VLOOKUP(I30,[1]Vendors!$A:$B,2,FALSE)</f>
        <v>1938</v>
      </c>
      <c r="K30" s="40" t="s">
        <v>19</v>
      </c>
      <c r="M30" s="46">
        <v>0</v>
      </c>
    </row>
    <row r="31" spans="1:13" x14ac:dyDescent="0.35">
      <c r="A31" s="40" t="str">
        <f t="shared" si="0"/>
        <v>JULYREV-36221</v>
      </c>
      <c r="B31" s="40">
        <v>15</v>
      </c>
      <c r="C31" s="45" t="s">
        <v>17</v>
      </c>
      <c r="D31" s="40">
        <v>950</v>
      </c>
      <c r="E31" s="45"/>
      <c r="F31" s="40" t="e">
        <v>#VALUE!</v>
      </c>
      <c r="G31" s="45">
        <v>45839</v>
      </c>
      <c r="H31" s="50">
        <v>36221</v>
      </c>
      <c r="I31" s="40" t="s">
        <v>52</v>
      </c>
      <c r="J31" s="40">
        <f>VLOOKUP(I31,[1]Vendors!$A:$B,2,FALSE)</f>
        <v>3323</v>
      </c>
      <c r="K31" s="40" t="s">
        <v>19</v>
      </c>
      <c r="L31" s="46">
        <v>0</v>
      </c>
    </row>
    <row r="32" spans="1:13" x14ac:dyDescent="0.35">
      <c r="A32" s="40" t="str">
        <f t="shared" si="0"/>
        <v>JULYREV-36221</v>
      </c>
      <c r="B32" s="40">
        <v>15.5</v>
      </c>
      <c r="C32" s="45"/>
      <c r="D32" s="40">
        <v>972</v>
      </c>
      <c r="E32" s="45" t="s">
        <v>22</v>
      </c>
      <c r="F32" s="40">
        <v>972</v>
      </c>
      <c r="G32" s="45">
        <v>45839</v>
      </c>
      <c r="H32" s="50">
        <v>36221</v>
      </c>
      <c r="I32" s="40" t="s">
        <v>52</v>
      </c>
      <c r="J32" s="40">
        <f>VLOOKUP(I32,[1]Vendors!$A:$B,2,FALSE)</f>
        <v>3323</v>
      </c>
      <c r="K32" s="40" t="s">
        <v>19</v>
      </c>
      <c r="M32" s="46">
        <v>0</v>
      </c>
    </row>
    <row r="33" spans="1:13" x14ac:dyDescent="0.35">
      <c r="A33" s="40" t="str">
        <f t="shared" si="0"/>
        <v>JULYREV-37217</v>
      </c>
      <c r="B33" s="40">
        <v>16</v>
      </c>
      <c r="C33" s="45" t="s">
        <v>17</v>
      </c>
      <c r="D33" s="40">
        <v>950</v>
      </c>
      <c r="E33" s="45"/>
      <c r="F33" s="40" t="e">
        <v>#VALUE!</v>
      </c>
      <c r="G33" s="45">
        <v>45839</v>
      </c>
      <c r="H33" s="50">
        <v>37217</v>
      </c>
      <c r="I33" s="40" t="s">
        <v>53</v>
      </c>
      <c r="J33" s="40">
        <f>VLOOKUP(I33,[1]Vendors!$A:$B,2,FALSE)</f>
        <v>3153</v>
      </c>
      <c r="K33" s="40" t="s">
        <v>19</v>
      </c>
      <c r="L33" s="46">
        <v>100</v>
      </c>
    </row>
    <row r="34" spans="1:13" x14ac:dyDescent="0.35">
      <c r="A34" s="40" t="str">
        <f t="shared" si="0"/>
        <v>JULYREV-37217</v>
      </c>
      <c r="B34" s="40">
        <v>16.5</v>
      </c>
      <c r="C34" s="45"/>
      <c r="D34" s="40">
        <v>972</v>
      </c>
      <c r="E34" s="45" t="s">
        <v>22</v>
      </c>
      <c r="F34" s="40">
        <v>972</v>
      </c>
      <c r="G34" s="45">
        <v>45839</v>
      </c>
      <c r="H34" s="50">
        <v>37217</v>
      </c>
      <c r="I34" s="40" t="s">
        <v>53</v>
      </c>
      <c r="J34" s="40">
        <f>VLOOKUP(I34,[1]Vendors!$A:$B,2,FALSE)</f>
        <v>3153</v>
      </c>
      <c r="K34" s="40" t="s">
        <v>19</v>
      </c>
      <c r="M34" s="46">
        <v>100</v>
      </c>
    </row>
    <row r="35" spans="1:13" x14ac:dyDescent="0.35">
      <c r="A35" s="40" t="str">
        <f t="shared" si="0"/>
        <v>JULYREV-37579/3</v>
      </c>
      <c r="B35" s="40">
        <v>17</v>
      </c>
      <c r="C35" s="45" t="s">
        <v>17</v>
      </c>
      <c r="D35" s="40">
        <v>950</v>
      </c>
      <c r="E35" s="45"/>
      <c r="F35" s="40" t="e">
        <v>#VALUE!</v>
      </c>
      <c r="G35" s="45">
        <v>45839</v>
      </c>
      <c r="H35" s="50" t="s">
        <v>54</v>
      </c>
      <c r="I35" s="40" t="s">
        <v>55</v>
      </c>
      <c r="J35" s="40">
        <f>VLOOKUP(I35,[1]Vendors!$A:$B,2,FALSE)</f>
        <v>3335</v>
      </c>
      <c r="K35" s="40" t="s">
        <v>19</v>
      </c>
      <c r="L35" s="46">
        <v>30424.629999999997</v>
      </c>
    </row>
    <row r="36" spans="1:13" x14ac:dyDescent="0.35">
      <c r="A36" s="40" t="str">
        <f t="shared" si="0"/>
        <v>JULYREV-37579/3</v>
      </c>
      <c r="B36" s="40">
        <v>17.5</v>
      </c>
      <c r="C36" s="45"/>
      <c r="D36" s="40">
        <v>972</v>
      </c>
      <c r="E36" s="45" t="s">
        <v>22</v>
      </c>
      <c r="F36" s="40">
        <v>972</v>
      </c>
      <c r="G36" s="45">
        <v>45839</v>
      </c>
      <c r="H36" s="50" t="s">
        <v>54</v>
      </c>
      <c r="I36" s="40" t="s">
        <v>55</v>
      </c>
      <c r="J36" s="40">
        <f>VLOOKUP(I36,[1]Vendors!$A:$B,2,FALSE)</f>
        <v>3335</v>
      </c>
      <c r="K36" s="40" t="s">
        <v>19</v>
      </c>
      <c r="M36" s="46">
        <v>30424.629999999997</v>
      </c>
    </row>
    <row r="37" spans="1:13" x14ac:dyDescent="0.35">
      <c r="A37" s="40" t="str">
        <f t="shared" si="0"/>
        <v>JULYREV-37759/3</v>
      </c>
      <c r="B37" s="40">
        <v>18</v>
      </c>
      <c r="C37" s="45" t="s">
        <v>17</v>
      </c>
      <c r="D37" s="40">
        <v>950</v>
      </c>
      <c r="E37" s="45"/>
      <c r="F37" s="40" t="e">
        <v>#VALUE!</v>
      </c>
      <c r="G37" s="45">
        <v>45839</v>
      </c>
      <c r="H37" s="50" t="s">
        <v>56</v>
      </c>
      <c r="I37" s="40" t="s">
        <v>57</v>
      </c>
      <c r="J37" s="40">
        <f>VLOOKUP(I37,[1]Vendors!$A:$B,2,FALSE)</f>
        <v>3330</v>
      </c>
      <c r="K37" s="40" t="s">
        <v>19</v>
      </c>
      <c r="L37" s="46">
        <v>2591.0499999999997</v>
      </c>
    </row>
    <row r="38" spans="1:13" x14ac:dyDescent="0.35">
      <c r="A38" s="40" t="str">
        <f t="shared" si="0"/>
        <v>JULYREV-37759/3</v>
      </c>
      <c r="B38" s="40">
        <v>18.5</v>
      </c>
      <c r="C38" s="45"/>
      <c r="D38" s="40">
        <v>972</v>
      </c>
      <c r="E38" s="45" t="s">
        <v>22</v>
      </c>
      <c r="F38" s="40">
        <v>972</v>
      </c>
      <c r="G38" s="45">
        <v>45839</v>
      </c>
      <c r="H38" s="50" t="s">
        <v>56</v>
      </c>
      <c r="I38" s="40" t="s">
        <v>57</v>
      </c>
      <c r="J38" s="40">
        <f>VLOOKUP(I38,[1]Vendors!$A:$B,2,FALSE)</f>
        <v>3330</v>
      </c>
      <c r="K38" s="40" t="s">
        <v>19</v>
      </c>
      <c r="M38" s="46">
        <v>2591.0499999999997</v>
      </c>
    </row>
    <row r="39" spans="1:13" x14ac:dyDescent="0.35">
      <c r="A39" s="40" t="str">
        <f t="shared" si="0"/>
        <v>JULYREV-37959/2</v>
      </c>
      <c r="B39" s="40">
        <v>19</v>
      </c>
      <c r="C39" s="45" t="s">
        <v>17</v>
      </c>
      <c r="D39" s="40">
        <v>950</v>
      </c>
      <c r="E39" s="45"/>
      <c r="F39" s="40" t="e">
        <v>#VALUE!</v>
      </c>
      <c r="G39" s="45">
        <v>45839</v>
      </c>
      <c r="H39" s="50" t="s">
        <v>58</v>
      </c>
      <c r="I39" s="40" t="s">
        <v>59</v>
      </c>
      <c r="J39" s="40">
        <f>VLOOKUP(I39,[1]Vendors!$A:$B,2,FALSE)</f>
        <v>1720</v>
      </c>
      <c r="K39" s="40" t="s">
        <v>19</v>
      </c>
      <c r="L39" s="46">
        <v>7846.31</v>
      </c>
    </row>
    <row r="40" spans="1:13" x14ac:dyDescent="0.35">
      <c r="A40" s="40" t="str">
        <f t="shared" si="0"/>
        <v>JULYREV-37959/2</v>
      </c>
      <c r="B40" s="40">
        <v>19.5</v>
      </c>
      <c r="C40" s="45"/>
      <c r="D40" s="40">
        <v>972</v>
      </c>
      <c r="E40" s="45" t="s">
        <v>22</v>
      </c>
      <c r="F40" s="40">
        <v>972</v>
      </c>
      <c r="G40" s="45">
        <v>45839</v>
      </c>
      <c r="H40" s="50" t="s">
        <v>58</v>
      </c>
      <c r="I40" s="40" t="s">
        <v>59</v>
      </c>
      <c r="J40" s="40">
        <f>VLOOKUP(I40,[1]Vendors!$A:$B,2,FALSE)</f>
        <v>1720</v>
      </c>
      <c r="K40" s="40" t="s">
        <v>19</v>
      </c>
      <c r="M40" s="46">
        <v>7846.31</v>
      </c>
    </row>
    <row r="41" spans="1:13" x14ac:dyDescent="0.35">
      <c r="A41" s="40" t="str">
        <f t="shared" si="0"/>
        <v>JULYREV-38130</v>
      </c>
      <c r="B41" s="40">
        <v>20</v>
      </c>
      <c r="C41" s="45" t="s">
        <v>17</v>
      </c>
      <c r="D41" s="40">
        <v>950</v>
      </c>
      <c r="E41" s="45"/>
      <c r="F41" s="40" t="e">
        <v>#VALUE!</v>
      </c>
      <c r="G41" s="45">
        <v>45839</v>
      </c>
      <c r="H41" s="50">
        <v>38130</v>
      </c>
      <c r="I41" s="40" t="s">
        <v>60</v>
      </c>
      <c r="J41" s="40">
        <f>VLOOKUP(I41,[1]Vendors!$A:$B,2,FALSE)</f>
        <v>3377</v>
      </c>
      <c r="K41" s="40" t="s">
        <v>19</v>
      </c>
      <c r="L41" s="46">
        <v>1166.8499999999999</v>
      </c>
    </row>
    <row r="42" spans="1:13" x14ac:dyDescent="0.35">
      <c r="A42" s="40" t="str">
        <f t="shared" si="0"/>
        <v>JULYREV-38130</v>
      </c>
      <c r="B42" s="40">
        <v>20.5</v>
      </c>
      <c r="C42" s="45"/>
      <c r="D42" s="40">
        <v>972</v>
      </c>
      <c r="E42" s="45" t="s">
        <v>22</v>
      </c>
      <c r="F42" s="40">
        <v>972</v>
      </c>
      <c r="G42" s="45">
        <v>45839</v>
      </c>
      <c r="H42" s="50">
        <v>38130</v>
      </c>
      <c r="I42" s="40" t="s">
        <v>60</v>
      </c>
      <c r="J42" s="40">
        <f>VLOOKUP(I42,[1]Vendors!$A:$B,2,FALSE)</f>
        <v>3377</v>
      </c>
      <c r="K42" s="40" t="s">
        <v>19</v>
      </c>
      <c r="M42" s="46">
        <v>1166.8499999999999</v>
      </c>
    </row>
    <row r="43" spans="1:13" x14ac:dyDescent="0.35">
      <c r="A43" s="40" t="str">
        <f t="shared" si="0"/>
        <v>JULYREV-35796/2</v>
      </c>
      <c r="B43" s="40">
        <v>21</v>
      </c>
      <c r="C43" s="45" t="s">
        <v>17</v>
      </c>
      <c r="D43" s="40">
        <v>950</v>
      </c>
      <c r="E43" s="45"/>
      <c r="F43" s="40" t="e">
        <v>#VALUE!</v>
      </c>
      <c r="G43" s="45">
        <v>45845</v>
      </c>
      <c r="H43" s="50" t="s">
        <v>61</v>
      </c>
      <c r="I43" s="40" t="s">
        <v>55</v>
      </c>
      <c r="J43" s="40">
        <f>VLOOKUP(I43,[1]Vendors!$A:$B,2,FALSE)</f>
        <v>3335</v>
      </c>
      <c r="K43" s="40" t="s">
        <v>19</v>
      </c>
      <c r="L43" s="46">
        <v>6661.5300000000007</v>
      </c>
    </row>
    <row r="44" spans="1:13" x14ac:dyDescent="0.35">
      <c r="A44" s="40" t="str">
        <f t="shared" si="0"/>
        <v>JULYREV-35796/2</v>
      </c>
      <c r="B44" s="40">
        <v>21.5</v>
      </c>
      <c r="C44" s="45"/>
      <c r="D44" s="40">
        <v>972</v>
      </c>
      <c r="E44" s="45" t="s">
        <v>22</v>
      </c>
      <c r="F44" s="40">
        <v>972</v>
      </c>
      <c r="G44" s="45">
        <v>45845</v>
      </c>
      <c r="H44" s="50" t="s">
        <v>61</v>
      </c>
      <c r="I44" s="40" t="s">
        <v>55</v>
      </c>
      <c r="J44" s="40">
        <f>VLOOKUP(I44,[1]Vendors!$A:$B,2,FALSE)</f>
        <v>3335</v>
      </c>
      <c r="K44" s="40" t="s">
        <v>19</v>
      </c>
      <c r="M44" s="46">
        <v>6661.5300000000007</v>
      </c>
    </row>
    <row r="45" spans="1:13" x14ac:dyDescent="0.35">
      <c r="A45" s="40" t="str">
        <f t="shared" si="0"/>
        <v>JULYREV-35807</v>
      </c>
      <c r="B45" s="40">
        <v>22</v>
      </c>
      <c r="C45" s="45" t="s">
        <v>17</v>
      </c>
      <c r="D45" s="40">
        <v>950</v>
      </c>
      <c r="E45" s="45"/>
      <c r="F45" s="40" t="e">
        <v>#VALUE!</v>
      </c>
      <c r="G45" s="45">
        <v>45845</v>
      </c>
      <c r="H45" s="50">
        <v>35807</v>
      </c>
      <c r="I45" s="40" t="s">
        <v>55</v>
      </c>
      <c r="J45" s="40">
        <f>VLOOKUP(I45,[1]Vendors!$A:$B,2,FALSE)</f>
        <v>3335</v>
      </c>
      <c r="K45" s="40" t="s">
        <v>19</v>
      </c>
      <c r="L45" s="46">
        <v>3871.21</v>
      </c>
    </row>
    <row r="46" spans="1:13" x14ac:dyDescent="0.35">
      <c r="A46" s="40" t="str">
        <f t="shared" si="0"/>
        <v>JULYREV-35807</v>
      </c>
      <c r="B46" s="40">
        <v>22.5</v>
      </c>
      <c r="C46" s="45"/>
      <c r="D46" s="40">
        <v>972</v>
      </c>
      <c r="E46" s="45" t="s">
        <v>22</v>
      </c>
      <c r="F46" s="40">
        <v>972</v>
      </c>
      <c r="G46" s="45">
        <v>45845</v>
      </c>
      <c r="H46" s="50">
        <v>35807</v>
      </c>
      <c r="I46" s="40" t="s">
        <v>55</v>
      </c>
      <c r="J46" s="40">
        <f>VLOOKUP(I46,[1]Vendors!$A:$B,2,FALSE)</f>
        <v>3335</v>
      </c>
      <c r="K46" s="40" t="s">
        <v>19</v>
      </c>
      <c r="M46" s="46">
        <v>3871.21</v>
      </c>
    </row>
    <row r="47" spans="1:13" x14ac:dyDescent="0.35">
      <c r="A47" s="40" t="str">
        <f t="shared" si="0"/>
        <v>JULYREV-35808</v>
      </c>
      <c r="B47" s="40">
        <v>23</v>
      </c>
      <c r="C47" s="45" t="s">
        <v>17</v>
      </c>
      <c r="D47" s="40">
        <v>950</v>
      </c>
      <c r="E47" s="45"/>
      <c r="F47" s="40" t="e">
        <v>#VALUE!</v>
      </c>
      <c r="G47" s="45">
        <v>45845</v>
      </c>
      <c r="H47" s="50">
        <v>35808</v>
      </c>
      <c r="I47" s="40" t="s">
        <v>55</v>
      </c>
      <c r="J47" s="40">
        <f>VLOOKUP(I47,[1]Vendors!$A:$B,2,FALSE)</f>
        <v>3335</v>
      </c>
      <c r="K47" s="40" t="s">
        <v>19</v>
      </c>
      <c r="L47" s="46">
        <v>10157.980000000001</v>
      </c>
    </row>
    <row r="48" spans="1:13" x14ac:dyDescent="0.35">
      <c r="A48" s="40" t="str">
        <f t="shared" si="0"/>
        <v>JULYREV-35808</v>
      </c>
      <c r="B48" s="40">
        <v>23.5</v>
      </c>
      <c r="C48" s="45"/>
      <c r="D48" s="40">
        <v>972</v>
      </c>
      <c r="E48" s="45" t="s">
        <v>22</v>
      </c>
      <c r="F48" s="40">
        <v>972</v>
      </c>
      <c r="G48" s="45">
        <v>45845</v>
      </c>
      <c r="H48" s="50">
        <v>35808</v>
      </c>
      <c r="I48" s="40" t="s">
        <v>55</v>
      </c>
      <c r="J48" s="40">
        <f>VLOOKUP(I48,[1]Vendors!$A:$B,2,FALSE)</f>
        <v>3335</v>
      </c>
      <c r="K48" s="40" t="s">
        <v>19</v>
      </c>
      <c r="M48" s="46">
        <v>10157.980000000001</v>
      </c>
    </row>
    <row r="49" spans="1:13" x14ac:dyDescent="0.35">
      <c r="A49" s="40" t="str">
        <f t="shared" si="0"/>
        <v>JULYREV-35812</v>
      </c>
      <c r="B49" s="40">
        <v>24</v>
      </c>
      <c r="C49" s="45" t="s">
        <v>17</v>
      </c>
      <c r="D49" s="40">
        <v>950</v>
      </c>
      <c r="E49" s="45"/>
      <c r="F49" s="40" t="e">
        <v>#VALUE!</v>
      </c>
      <c r="G49" s="45">
        <v>45845</v>
      </c>
      <c r="H49" s="50">
        <v>35812</v>
      </c>
      <c r="I49" s="40" t="s">
        <v>55</v>
      </c>
      <c r="J49" s="40">
        <f>VLOOKUP(I49,[1]Vendors!$A:$B,2,FALSE)</f>
        <v>3335</v>
      </c>
      <c r="K49" s="40" t="s">
        <v>19</v>
      </c>
      <c r="L49" s="46">
        <v>34749.29</v>
      </c>
    </row>
    <row r="50" spans="1:13" x14ac:dyDescent="0.35">
      <c r="A50" s="40" t="str">
        <f t="shared" si="0"/>
        <v>JULYREV-35812</v>
      </c>
      <c r="B50" s="40">
        <v>24.5</v>
      </c>
      <c r="C50" s="45"/>
      <c r="D50" s="40">
        <v>972</v>
      </c>
      <c r="E50" s="45" t="s">
        <v>22</v>
      </c>
      <c r="F50" s="40">
        <v>972</v>
      </c>
      <c r="G50" s="45">
        <v>45845</v>
      </c>
      <c r="H50" s="50">
        <v>35812</v>
      </c>
      <c r="I50" s="40" t="s">
        <v>55</v>
      </c>
      <c r="J50" s="40">
        <f>VLOOKUP(I50,[1]Vendors!$A:$B,2,FALSE)</f>
        <v>3335</v>
      </c>
      <c r="K50" s="40" t="s">
        <v>19</v>
      </c>
      <c r="M50" s="46">
        <v>34749.29</v>
      </c>
    </row>
    <row r="51" spans="1:13" x14ac:dyDescent="0.35">
      <c r="A51" s="40" t="str">
        <f t="shared" si="0"/>
        <v>JULYREV-37579/2</v>
      </c>
      <c r="B51" s="40">
        <v>25</v>
      </c>
      <c r="C51" s="45" t="s">
        <v>17</v>
      </c>
      <c r="D51" s="40">
        <v>950</v>
      </c>
      <c r="E51" s="45"/>
      <c r="F51" s="40" t="e">
        <v>#VALUE!</v>
      </c>
      <c r="G51" s="45">
        <v>45845</v>
      </c>
      <c r="H51" s="50" t="s">
        <v>62</v>
      </c>
      <c r="I51" s="40" t="s">
        <v>55</v>
      </c>
      <c r="J51" s="40">
        <f>VLOOKUP(I51,[1]Vendors!$A:$B,2,FALSE)</f>
        <v>3335</v>
      </c>
      <c r="K51" s="40" t="s">
        <v>19</v>
      </c>
      <c r="L51" s="46">
        <v>419.36</v>
      </c>
    </row>
    <row r="52" spans="1:13" x14ac:dyDescent="0.35">
      <c r="A52" s="40" t="str">
        <f t="shared" si="0"/>
        <v>JULYREV-37579/2</v>
      </c>
      <c r="B52" s="40">
        <v>25.5</v>
      </c>
      <c r="C52" s="45"/>
      <c r="D52" s="40">
        <v>972</v>
      </c>
      <c r="E52" s="45" t="s">
        <v>22</v>
      </c>
      <c r="F52" s="40">
        <v>972</v>
      </c>
      <c r="G52" s="45">
        <v>45845</v>
      </c>
      <c r="H52" s="50" t="s">
        <v>62</v>
      </c>
      <c r="I52" s="40" t="s">
        <v>55</v>
      </c>
      <c r="J52" s="40">
        <f>VLOOKUP(I52,[1]Vendors!$A:$B,2,FALSE)</f>
        <v>3335</v>
      </c>
      <c r="K52" s="40" t="s">
        <v>19</v>
      </c>
      <c r="M52" s="46">
        <v>419.36</v>
      </c>
    </row>
    <row r="53" spans="1:13" x14ac:dyDescent="0.35">
      <c r="A53" s="40" t="str">
        <f t="shared" si="0"/>
        <v>JULYREV-38235/4</v>
      </c>
      <c r="B53" s="40">
        <v>26</v>
      </c>
      <c r="C53" s="45" t="s">
        <v>17</v>
      </c>
      <c r="D53" s="40">
        <v>950</v>
      </c>
      <c r="E53" s="45"/>
      <c r="F53" s="40" t="e">
        <v>#VALUE!</v>
      </c>
      <c r="G53" s="45">
        <v>45845</v>
      </c>
      <c r="H53" s="50" t="s">
        <v>63</v>
      </c>
      <c r="I53" s="40" t="s">
        <v>64</v>
      </c>
      <c r="J53" s="40">
        <f>VLOOKUP(I53,[1]Vendors!$A:$B,2,FALSE)</f>
        <v>3338</v>
      </c>
      <c r="K53" s="40" t="s">
        <v>19</v>
      </c>
      <c r="L53" s="46">
        <v>4176.01</v>
      </c>
    </row>
    <row r="54" spans="1:13" x14ac:dyDescent="0.35">
      <c r="A54" s="40" t="str">
        <f t="shared" si="0"/>
        <v>JULYREV-38235/4</v>
      </c>
      <c r="B54" s="40">
        <v>26.5</v>
      </c>
      <c r="C54" s="45"/>
      <c r="D54" s="40">
        <v>972</v>
      </c>
      <c r="E54" s="45" t="s">
        <v>22</v>
      </c>
      <c r="F54" s="40">
        <v>972</v>
      </c>
      <c r="G54" s="45">
        <v>45845</v>
      </c>
      <c r="H54" s="50" t="s">
        <v>63</v>
      </c>
      <c r="I54" s="40" t="s">
        <v>64</v>
      </c>
      <c r="J54" s="40">
        <f>VLOOKUP(I54,[1]Vendors!$A:$B,2,FALSE)</f>
        <v>3338</v>
      </c>
      <c r="K54" s="40" t="s">
        <v>19</v>
      </c>
      <c r="M54" s="46">
        <v>4176.01</v>
      </c>
    </row>
    <row r="55" spans="1:13" x14ac:dyDescent="0.35">
      <c r="A55" s="40" t="str">
        <f t="shared" si="0"/>
        <v>JULYREV-38382/3</v>
      </c>
      <c r="B55" s="40">
        <v>27</v>
      </c>
      <c r="C55" s="45" t="s">
        <v>17</v>
      </c>
      <c r="D55" s="40">
        <v>950</v>
      </c>
      <c r="E55" s="45"/>
      <c r="F55" s="40" t="e">
        <v>#VALUE!</v>
      </c>
      <c r="G55" s="45">
        <v>45845</v>
      </c>
      <c r="H55" s="50" t="s">
        <v>65</v>
      </c>
      <c r="I55" s="40" t="s">
        <v>66</v>
      </c>
      <c r="J55" s="40">
        <f>VLOOKUP(I55,[1]Vendors!$A:$B,2,FALSE)</f>
        <v>1548</v>
      </c>
      <c r="K55" s="40" t="s">
        <v>19</v>
      </c>
      <c r="L55" s="46">
        <v>194.28</v>
      </c>
    </row>
    <row r="56" spans="1:13" x14ac:dyDescent="0.35">
      <c r="A56" s="40" t="str">
        <f t="shared" si="0"/>
        <v>JULYREV-38382/3</v>
      </c>
      <c r="B56" s="40">
        <v>27.5</v>
      </c>
      <c r="C56" s="45"/>
      <c r="D56" s="40">
        <v>972</v>
      </c>
      <c r="E56" s="45" t="s">
        <v>22</v>
      </c>
      <c r="F56" s="40">
        <v>972</v>
      </c>
      <c r="G56" s="45">
        <v>45845</v>
      </c>
      <c r="H56" s="50" t="s">
        <v>65</v>
      </c>
      <c r="I56" s="40" t="s">
        <v>66</v>
      </c>
      <c r="J56" s="40">
        <f>VLOOKUP(I56,[1]Vendors!$A:$B,2,FALSE)</f>
        <v>1548</v>
      </c>
      <c r="K56" s="40" t="s">
        <v>19</v>
      </c>
      <c r="M56" s="46">
        <v>194.28</v>
      </c>
    </row>
    <row r="57" spans="1:13" x14ac:dyDescent="0.35">
      <c r="A57" s="40" t="str">
        <f t="shared" si="0"/>
        <v>JULYREV-38403/2</v>
      </c>
      <c r="B57" s="40">
        <v>28</v>
      </c>
      <c r="C57" s="45" t="s">
        <v>17</v>
      </c>
      <c r="D57" s="40">
        <v>950</v>
      </c>
      <c r="E57" s="45"/>
      <c r="F57" s="40" t="e">
        <v>#VALUE!</v>
      </c>
      <c r="G57" s="45">
        <v>45845</v>
      </c>
      <c r="H57" s="50" t="s">
        <v>67</v>
      </c>
      <c r="I57" s="40" t="s">
        <v>66</v>
      </c>
      <c r="J57" s="40">
        <f>VLOOKUP(I57,[1]Vendors!$A:$B,2,FALSE)</f>
        <v>1548</v>
      </c>
      <c r="K57" s="40" t="s">
        <v>19</v>
      </c>
      <c r="L57" s="46">
        <v>0</v>
      </c>
    </row>
    <row r="58" spans="1:13" x14ac:dyDescent="0.35">
      <c r="A58" s="40" t="str">
        <f t="shared" si="0"/>
        <v>JULYREV-38403/2</v>
      </c>
      <c r="B58" s="40">
        <v>28.5</v>
      </c>
      <c r="C58" s="45"/>
      <c r="D58" s="40">
        <v>972</v>
      </c>
      <c r="E58" s="45" t="s">
        <v>22</v>
      </c>
      <c r="F58" s="40">
        <v>972</v>
      </c>
      <c r="G58" s="45">
        <v>45845</v>
      </c>
      <c r="H58" s="50" t="s">
        <v>67</v>
      </c>
      <c r="I58" s="40" t="s">
        <v>66</v>
      </c>
      <c r="J58" s="40">
        <f>VLOOKUP(I58,[1]Vendors!$A:$B,2,FALSE)</f>
        <v>1548</v>
      </c>
      <c r="K58" s="40" t="s">
        <v>19</v>
      </c>
      <c r="M58" s="46">
        <v>0</v>
      </c>
    </row>
    <row r="59" spans="1:13" x14ac:dyDescent="0.35">
      <c r="A59" s="40" t="str">
        <f t="shared" si="0"/>
        <v>JULYREV-38403/3</v>
      </c>
      <c r="B59" s="40">
        <v>29</v>
      </c>
      <c r="C59" s="45" t="s">
        <v>17</v>
      </c>
      <c r="D59" s="40">
        <v>950</v>
      </c>
      <c r="E59" s="45"/>
      <c r="F59" s="40" t="e">
        <v>#VALUE!</v>
      </c>
      <c r="G59" s="45">
        <v>45845</v>
      </c>
      <c r="H59" s="50" t="s">
        <v>68</v>
      </c>
      <c r="I59" s="40" t="s">
        <v>66</v>
      </c>
      <c r="J59" s="40">
        <f>VLOOKUP(I59,[1]Vendors!$A:$B,2,FALSE)</f>
        <v>1548</v>
      </c>
      <c r="K59" s="40" t="s">
        <v>19</v>
      </c>
      <c r="L59" s="46">
        <v>0</v>
      </c>
    </row>
    <row r="60" spans="1:13" x14ac:dyDescent="0.35">
      <c r="A60" s="40" t="str">
        <f t="shared" si="0"/>
        <v>JULYREV-38403/3</v>
      </c>
      <c r="B60" s="40">
        <v>29.5</v>
      </c>
      <c r="C60" s="45"/>
      <c r="D60" s="40">
        <v>972</v>
      </c>
      <c r="E60" s="45" t="s">
        <v>22</v>
      </c>
      <c r="F60" s="40">
        <v>972</v>
      </c>
      <c r="G60" s="45">
        <v>45845</v>
      </c>
      <c r="H60" s="50" t="s">
        <v>68</v>
      </c>
      <c r="I60" s="40" t="s">
        <v>66</v>
      </c>
      <c r="J60" s="40">
        <f>VLOOKUP(I60,[1]Vendors!$A:$B,2,FALSE)</f>
        <v>1548</v>
      </c>
      <c r="K60" s="40" t="s">
        <v>19</v>
      </c>
      <c r="M60" s="46">
        <v>0</v>
      </c>
    </row>
    <row r="61" spans="1:13" x14ac:dyDescent="0.35">
      <c r="A61" s="40" t="str">
        <f t="shared" si="0"/>
        <v>JULYREV-38403/4</v>
      </c>
      <c r="B61" s="40">
        <v>30</v>
      </c>
      <c r="C61" s="45" t="s">
        <v>17</v>
      </c>
      <c r="D61" s="40">
        <v>950</v>
      </c>
      <c r="E61" s="45"/>
      <c r="F61" s="40" t="e">
        <v>#VALUE!</v>
      </c>
      <c r="G61" s="45">
        <v>45845</v>
      </c>
      <c r="H61" s="50" t="s">
        <v>69</v>
      </c>
      <c r="I61" s="40" t="s">
        <v>66</v>
      </c>
      <c r="J61" s="40">
        <f>VLOOKUP(I61,[1]Vendors!$A:$B,2,FALSE)</f>
        <v>1548</v>
      </c>
      <c r="K61" s="40" t="s">
        <v>19</v>
      </c>
      <c r="L61" s="46">
        <v>4894.38</v>
      </c>
    </row>
    <row r="62" spans="1:13" x14ac:dyDescent="0.35">
      <c r="A62" s="40" t="str">
        <f t="shared" si="0"/>
        <v>JULYREV-38403/4</v>
      </c>
      <c r="B62" s="40">
        <v>30.5</v>
      </c>
      <c r="C62" s="45"/>
      <c r="D62" s="40">
        <v>972</v>
      </c>
      <c r="E62" s="45" t="s">
        <v>22</v>
      </c>
      <c r="F62" s="40">
        <v>972</v>
      </c>
      <c r="G62" s="45">
        <v>45845</v>
      </c>
      <c r="H62" s="50" t="s">
        <v>69</v>
      </c>
      <c r="I62" s="40" t="s">
        <v>66</v>
      </c>
      <c r="J62" s="40">
        <f>VLOOKUP(I62,[1]Vendors!$A:$B,2,FALSE)</f>
        <v>1548</v>
      </c>
      <c r="K62" s="40" t="s">
        <v>19</v>
      </c>
      <c r="M62" s="46">
        <v>4894.38</v>
      </c>
    </row>
    <row r="63" spans="1:13" x14ac:dyDescent="0.35">
      <c r="A63" s="40" t="str">
        <f t="shared" si="0"/>
        <v>JULYREV-38738</v>
      </c>
      <c r="B63" s="40">
        <v>31</v>
      </c>
      <c r="C63" s="45" t="s">
        <v>17</v>
      </c>
      <c r="D63" s="40">
        <v>950</v>
      </c>
      <c r="E63" s="45"/>
      <c r="F63" s="40" t="e">
        <v>#VALUE!</v>
      </c>
      <c r="G63" s="45">
        <v>45845</v>
      </c>
      <c r="H63" s="50">
        <v>38738</v>
      </c>
      <c r="I63" s="40" t="s">
        <v>66</v>
      </c>
      <c r="J63" s="40">
        <f>VLOOKUP(I63,[1]Vendors!$A:$B,2,FALSE)</f>
        <v>1548</v>
      </c>
      <c r="K63" s="40" t="s">
        <v>19</v>
      </c>
      <c r="L63" s="46">
        <v>0</v>
      </c>
    </row>
    <row r="64" spans="1:13" x14ac:dyDescent="0.35">
      <c r="A64" s="40" t="str">
        <f t="shared" si="0"/>
        <v>JULYREV-38738</v>
      </c>
      <c r="B64" s="40">
        <v>31.5</v>
      </c>
      <c r="C64" s="45"/>
      <c r="D64" s="40">
        <v>972</v>
      </c>
      <c r="E64" s="45" t="s">
        <v>22</v>
      </c>
      <c r="F64" s="40">
        <v>972</v>
      </c>
      <c r="G64" s="45">
        <v>45845</v>
      </c>
      <c r="H64" s="50">
        <v>38738</v>
      </c>
      <c r="I64" s="40" t="s">
        <v>66</v>
      </c>
      <c r="J64" s="40">
        <f>VLOOKUP(I64,[1]Vendors!$A:$B,2,FALSE)</f>
        <v>1548</v>
      </c>
      <c r="K64" s="40" t="s">
        <v>19</v>
      </c>
      <c r="M64" s="46">
        <v>0</v>
      </c>
    </row>
    <row r="65" spans="1:13" x14ac:dyDescent="0.35">
      <c r="A65" s="40" t="str">
        <f t="shared" si="0"/>
        <v>JULYREV-38187</v>
      </c>
      <c r="B65" s="40">
        <v>32</v>
      </c>
      <c r="C65" s="45" t="s">
        <v>17</v>
      </c>
      <c r="D65" s="40">
        <v>950</v>
      </c>
      <c r="E65" s="45"/>
      <c r="F65" s="40" t="e">
        <v>#VALUE!</v>
      </c>
      <c r="G65" s="45">
        <v>45846</v>
      </c>
      <c r="H65" s="50">
        <v>38187</v>
      </c>
      <c r="I65" s="40" t="s">
        <v>70</v>
      </c>
      <c r="J65" s="40">
        <f>VLOOKUP(I65,[1]Vendors!$A:$B,2,FALSE)</f>
        <v>3412</v>
      </c>
      <c r="K65" s="40" t="s">
        <v>19</v>
      </c>
      <c r="L65" s="46">
        <v>10341.06</v>
      </c>
    </row>
    <row r="66" spans="1:13" x14ac:dyDescent="0.35">
      <c r="A66" s="40" t="str">
        <f t="shared" si="0"/>
        <v>JULYREV-38187</v>
      </c>
      <c r="B66" s="40">
        <v>32.5</v>
      </c>
      <c r="C66" s="45"/>
      <c r="D66" s="40">
        <v>972</v>
      </c>
      <c r="E66" s="45" t="s">
        <v>22</v>
      </c>
      <c r="F66" s="40">
        <v>972</v>
      </c>
      <c r="G66" s="45">
        <v>45846</v>
      </c>
      <c r="H66" s="50">
        <v>38187</v>
      </c>
      <c r="I66" s="40" t="s">
        <v>70</v>
      </c>
      <c r="J66" s="40">
        <f>VLOOKUP(I66,[1]Vendors!$A:$B,2,FALSE)</f>
        <v>3412</v>
      </c>
      <c r="K66" s="40" t="s">
        <v>19</v>
      </c>
      <c r="M66" s="46">
        <v>10341.06</v>
      </c>
    </row>
    <row r="67" spans="1:13" x14ac:dyDescent="0.35">
      <c r="A67" s="40" t="str">
        <f t="shared" si="0"/>
        <v>JULYREV-38196</v>
      </c>
      <c r="B67" s="40">
        <v>33</v>
      </c>
      <c r="C67" s="45" t="s">
        <v>17</v>
      </c>
      <c r="D67" s="40">
        <v>950</v>
      </c>
      <c r="E67" s="45"/>
      <c r="F67" s="40" t="e">
        <v>#VALUE!</v>
      </c>
      <c r="G67" s="45">
        <v>45846</v>
      </c>
      <c r="H67" s="50">
        <v>38196</v>
      </c>
      <c r="I67" s="40" t="s">
        <v>70</v>
      </c>
      <c r="J67" s="40">
        <f>VLOOKUP(I67,[1]Vendors!$A:$B,2,FALSE)</f>
        <v>3412</v>
      </c>
      <c r="K67" s="40" t="s">
        <v>19</v>
      </c>
      <c r="L67" s="46">
        <v>22465.59</v>
      </c>
    </row>
    <row r="68" spans="1:13" x14ac:dyDescent="0.35">
      <c r="A68" s="40" t="str">
        <f t="shared" ref="A68:A131" si="1">CONCATENATE("JULYREV","-",H68)</f>
        <v>JULYREV-38196</v>
      </c>
      <c r="B68" s="40">
        <v>33.5</v>
      </c>
      <c r="C68" s="45"/>
      <c r="D68" s="40">
        <v>972</v>
      </c>
      <c r="E68" s="45" t="s">
        <v>22</v>
      </c>
      <c r="F68" s="40">
        <v>972</v>
      </c>
      <c r="G68" s="45">
        <v>45846</v>
      </c>
      <c r="H68" s="50">
        <v>38196</v>
      </c>
      <c r="I68" s="40" t="s">
        <v>70</v>
      </c>
      <c r="J68" s="40">
        <f>VLOOKUP(I68,[1]Vendors!$A:$B,2,FALSE)</f>
        <v>3412</v>
      </c>
      <c r="K68" s="40" t="s">
        <v>19</v>
      </c>
      <c r="M68" s="46">
        <v>22465.59</v>
      </c>
    </row>
    <row r="69" spans="1:13" x14ac:dyDescent="0.35">
      <c r="A69" s="40" t="str">
        <f t="shared" si="1"/>
        <v>JULYREV-38394/3</v>
      </c>
      <c r="B69" s="40">
        <v>34</v>
      </c>
      <c r="C69" s="45" t="s">
        <v>17</v>
      </c>
      <c r="D69" s="40">
        <v>950</v>
      </c>
      <c r="E69" s="45"/>
      <c r="F69" s="40" t="e">
        <v>#VALUE!</v>
      </c>
      <c r="G69" s="45">
        <v>45846</v>
      </c>
      <c r="H69" s="50" t="s">
        <v>71</v>
      </c>
      <c r="I69" s="40" t="s">
        <v>66</v>
      </c>
      <c r="J69" s="40">
        <f>VLOOKUP(I69,[1]Vendors!$A:$B,2,FALSE)</f>
        <v>1548</v>
      </c>
      <c r="K69" s="40" t="s">
        <v>19</v>
      </c>
      <c r="L69" s="46">
        <v>6359.54</v>
      </c>
    </row>
    <row r="70" spans="1:13" x14ac:dyDescent="0.35">
      <c r="A70" s="40" t="str">
        <f t="shared" si="1"/>
        <v>JULYREV-38394/3</v>
      </c>
      <c r="B70" s="40">
        <v>34.5</v>
      </c>
      <c r="C70" s="45"/>
      <c r="D70" s="40">
        <v>972</v>
      </c>
      <c r="E70" s="45" t="s">
        <v>22</v>
      </c>
      <c r="F70" s="40">
        <v>972</v>
      </c>
      <c r="G70" s="45">
        <v>45846</v>
      </c>
      <c r="H70" s="50" t="s">
        <v>71</v>
      </c>
      <c r="I70" s="40" t="s">
        <v>66</v>
      </c>
      <c r="J70" s="40">
        <f>VLOOKUP(I70,[1]Vendors!$A:$B,2,FALSE)</f>
        <v>1548</v>
      </c>
      <c r="K70" s="40" t="s">
        <v>19</v>
      </c>
      <c r="M70" s="46">
        <v>6359.54</v>
      </c>
    </row>
    <row r="71" spans="1:13" x14ac:dyDescent="0.35">
      <c r="A71" s="40" t="str">
        <f t="shared" si="1"/>
        <v>JULYREV-38396</v>
      </c>
      <c r="B71" s="40">
        <v>35</v>
      </c>
      <c r="C71" s="45" t="s">
        <v>17</v>
      </c>
      <c r="D71" s="40">
        <v>950</v>
      </c>
      <c r="E71" s="45"/>
      <c r="F71" s="40" t="e">
        <v>#VALUE!</v>
      </c>
      <c r="G71" s="45">
        <v>45846</v>
      </c>
      <c r="H71" s="50">
        <v>38396</v>
      </c>
      <c r="I71" s="40" t="s">
        <v>66</v>
      </c>
      <c r="J71" s="40">
        <f>VLOOKUP(I71,[1]Vendors!$A:$B,2,FALSE)</f>
        <v>1548</v>
      </c>
      <c r="K71" s="40" t="s">
        <v>19</v>
      </c>
      <c r="L71" s="46">
        <v>851.45</v>
      </c>
    </row>
    <row r="72" spans="1:13" x14ac:dyDescent="0.35">
      <c r="A72" s="40" t="str">
        <f t="shared" si="1"/>
        <v>JULYREV-38396</v>
      </c>
      <c r="B72" s="40">
        <v>35.5</v>
      </c>
      <c r="C72" s="45"/>
      <c r="D72" s="40">
        <v>972</v>
      </c>
      <c r="E72" s="45" t="s">
        <v>22</v>
      </c>
      <c r="F72" s="40">
        <v>972</v>
      </c>
      <c r="G72" s="45">
        <v>45846</v>
      </c>
      <c r="H72" s="50">
        <v>38396</v>
      </c>
      <c r="I72" s="40" t="s">
        <v>66</v>
      </c>
      <c r="J72" s="40">
        <f>VLOOKUP(I72,[1]Vendors!$A:$B,2,FALSE)</f>
        <v>1548</v>
      </c>
      <c r="K72" s="40" t="s">
        <v>19</v>
      </c>
      <c r="M72" s="46">
        <v>851.45</v>
      </c>
    </row>
    <row r="73" spans="1:13" x14ac:dyDescent="0.35">
      <c r="A73" s="40" t="str">
        <f t="shared" si="1"/>
        <v>JULYREV-38637</v>
      </c>
      <c r="B73" s="40">
        <v>36</v>
      </c>
      <c r="C73" s="45" t="s">
        <v>17</v>
      </c>
      <c r="D73" s="40">
        <v>950</v>
      </c>
      <c r="E73" s="45"/>
      <c r="F73" s="40" t="e">
        <v>#VALUE!</v>
      </c>
      <c r="G73" s="45">
        <v>45846</v>
      </c>
      <c r="H73" s="50">
        <v>38637</v>
      </c>
      <c r="I73" s="40" t="s">
        <v>64</v>
      </c>
      <c r="J73" s="40">
        <f>VLOOKUP(I73,[1]Vendors!$A:$B,2,FALSE)</f>
        <v>3338</v>
      </c>
      <c r="K73" s="40" t="s">
        <v>19</v>
      </c>
      <c r="L73" s="46">
        <v>24916.34</v>
      </c>
    </row>
    <row r="74" spans="1:13" x14ac:dyDescent="0.35">
      <c r="A74" s="40" t="str">
        <f t="shared" si="1"/>
        <v>JULYREV-38637</v>
      </c>
      <c r="B74" s="40">
        <v>36.5</v>
      </c>
      <c r="C74" s="45"/>
      <c r="D74" s="40">
        <v>972</v>
      </c>
      <c r="E74" s="45" t="s">
        <v>22</v>
      </c>
      <c r="F74" s="40">
        <v>972</v>
      </c>
      <c r="G74" s="45">
        <v>45846</v>
      </c>
      <c r="H74" s="50">
        <v>38637</v>
      </c>
      <c r="I74" s="40" t="s">
        <v>64</v>
      </c>
      <c r="J74" s="40">
        <f>VLOOKUP(I74,[1]Vendors!$A:$B,2,FALSE)</f>
        <v>3338</v>
      </c>
      <c r="K74" s="40" t="s">
        <v>19</v>
      </c>
      <c r="M74" s="46">
        <v>24916.34</v>
      </c>
    </row>
    <row r="75" spans="1:13" x14ac:dyDescent="0.35">
      <c r="A75" s="40" t="str">
        <f t="shared" si="1"/>
        <v>JULYREV-35797/2</v>
      </c>
      <c r="B75" s="40">
        <v>37</v>
      </c>
      <c r="C75" s="45" t="s">
        <v>17</v>
      </c>
      <c r="D75" s="40">
        <v>950</v>
      </c>
      <c r="E75" s="45"/>
      <c r="F75" s="40" t="e">
        <v>#VALUE!</v>
      </c>
      <c r="G75" s="45">
        <v>45847</v>
      </c>
      <c r="H75" s="50" t="s">
        <v>72</v>
      </c>
      <c r="I75" s="40" t="s">
        <v>55</v>
      </c>
      <c r="J75" s="40">
        <f>VLOOKUP(I75,[1]Vendors!$A:$B,2,FALSE)</f>
        <v>3335</v>
      </c>
      <c r="K75" s="40" t="s">
        <v>19</v>
      </c>
      <c r="L75" s="46">
        <v>60472.409999999996</v>
      </c>
    </row>
    <row r="76" spans="1:13" x14ac:dyDescent="0.35">
      <c r="A76" s="40" t="str">
        <f t="shared" si="1"/>
        <v>JULYREV-35797/2</v>
      </c>
      <c r="B76" s="40">
        <v>37.5</v>
      </c>
      <c r="C76" s="45"/>
      <c r="D76" s="40">
        <v>972</v>
      </c>
      <c r="E76" s="45" t="s">
        <v>22</v>
      </c>
      <c r="F76" s="40">
        <v>972</v>
      </c>
      <c r="G76" s="45">
        <v>45847</v>
      </c>
      <c r="H76" s="50" t="s">
        <v>72</v>
      </c>
      <c r="I76" s="40" t="s">
        <v>55</v>
      </c>
      <c r="J76" s="40">
        <f>VLOOKUP(I76,[1]Vendors!$A:$B,2,FALSE)</f>
        <v>3335</v>
      </c>
      <c r="K76" s="40" t="s">
        <v>19</v>
      </c>
      <c r="M76" s="46">
        <v>60472.409999999996</v>
      </c>
    </row>
    <row r="77" spans="1:13" x14ac:dyDescent="0.35">
      <c r="A77" s="40" t="str">
        <f t="shared" si="1"/>
        <v>JULYREV-35809/2</v>
      </c>
      <c r="B77" s="40">
        <v>38</v>
      </c>
      <c r="C77" s="45" t="s">
        <v>17</v>
      </c>
      <c r="D77" s="40">
        <v>950</v>
      </c>
      <c r="E77" s="45"/>
      <c r="F77" s="40" t="e">
        <v>#VALUE!</v>
      </c>
      <c r="G77" s="45">
        <v>45847</v>
      </c>
      <c r="H77" s="50" t="s">
        <v>73</v>
      </c>
      <c r="I77" s="40" t="s">
        <v>55</v>
      </c>
      <c r="J77" s="40">
        <f>VLOOKUP(I77,[1]Vendors!$A:$B,2,FALSE)</f>
        <v>3335</v>
      </c>
      <c r="K77" s="40" t="s">
        <v>19</v>
      </c>
      <c r="L77" s="46">
        <v>56713.200000000004</v>
      </c>
    </row>
    <row r="78" spans="1:13" x14ac:dyDescent="0.35">
      <c r="A78" s="40" t="str">
        <f t="shared" si="1"/>
        <v>JULYREV-35809/2</v>
      </c>
      <c r="B78" s="40">
        <v>38.5</v>
      </c>
      <c r="C78" s="45"/>
      <c r="D78" s="40">
        <v>972</v>
      </c>
      <c r="E78" s="45" t="s">
        <v>22</v>
      </c>
      <c r="F78" s="40">
        <v>972</v>
      </c>
      <c r="G78" s="45">
        <v>45847</v>
      </c>
      <c r="H78" s="50" t="s">
        <v>73</v>
      </c>
      <c r="I78" s="40" t="s">
        <v>55</v>
      </c>
      <c r="J78" s="40">
        <f>VLOOKUP(I78,[1]Vendors!$A:$B,2,FALSE)</f>
        <v>3335</v>
      </c>
      <c r="K78" s="40" t="s">
        <v>19</v>
      </c>
      <c r="M78" s="46">
        <v>56713.200000000004</v>
      </c>
    </row>
    <row r="79" spans="1:13" x14ac:dyDescent="0.35">
      <c r="A79" s="40" t="str">
        <f t="shared" si="1"/>
        <v>JULYREV-37676/2</v>
      </c>
      <c r="B79" s="40">
        <v>39</v>
      </c>
      <c r="C79" s="45" t="s">
        <v>17</v>
      </c>
      <c r="D79" s="40">
        <v>950</v>
      </c>
      <c r="E79" s="45"/>
      <c r="F79" s="40" t="e">
        <v>#VALUE!</v>
      </c>
      <c r="G79" s="45">
        <v>45847</v>
      </c>
      <c r="H79" s="50" t="s">
        <v>74</v>
      </c>
      <c r="I79" s="40" t="s">
        <v>75</v>
      </c>
      <c r="J79" s="40">
        <f>VLOOKUP(I79,[1]Vendors!$A:$B,2,FALSE)</f>
        <v>3320</v>
      </c>
      <c r="K79" s="40" t="s">
        <v>19</v>
      </c>
      <c r="L79" s="46">
        <v>210339.71</v>
      </c>
    </row>
    <row r="80" spans="1:13" x14ac:dyDescent="0.35">
      <c r="A80" s="40" t="str">
        <f t="shared" si="1"/>
        <v>JULYREV-37676/2</v>
      </c>
      <c r="B80" s="40">
        <v>39.5</v>
      </c>
      <c r="C80" s="45"/>
      <c r="D80" s="40">
        <v>972</v>
      </c>
      <c r="E80" s="45" t="s">
        <v>22</v>
      </c>
      <c r="F80" s="40">
        <v>972</v>
      </c>
      <c r="G80" s="45">
        <v>45847</v>
      </c>
      <c r="H80" s="50" t="s">
        <v>74</v>
      </c>
      <c r="I80" s="40" t="s">
        <v>75</v>
      </c>
      <c r="J80" s="40">
        <f>VLOOKUP(I80,[1]Vendors!$A:$B,2,FALSE)</f>
        <v>3320</v>
      </c>
      <c r="K80" s="40" t="s">
        <v>19</v>
      </c>
      <c r="M80" s="46">
        <v>210339.71</v>
      </c>
    </row>
    <row r="81" spans="1:13" x14ac:dyDescent="0.35">
      <c r="A81" s="40" t="str">
        <f t="shared" si="1"/>
        <v>JULYREV-37683/7</v>
      </c>
      <c r="B81" s="40">
        <v>40</v>
      </c>
      <c r="C81" s="45" t="s">
        <v>17</v>
      </c>
      <c r="D81" s="40">
        <v>950</v>
      </c>
      <c r="E81" s="45"/>
      <c r="F81" s="40" t="e">
        <v>#VALUE!</v>
      </c>
      <c r="G81" s="45">
        <v>45847</v>
      </c>
      <c r="H81" s="50" t="s">
        <v>76</v>
      </c>
      <c r="I81" s="40" t="s">
        <v>75</v>
      </c>
      <c r="J81" s="40">
        <f>VLOOKUP(I81,[1]Vendors!$A:$B,2,FALSE)</f>
        <v>3320</v>
      </c>
      <c r="K81" s="40" t="s">
        <v>19</v>
      </c>
      <c r="L81" s="46">
        <v>0</v>
      </c>
    </row>
    <row r="82" spans="1:13" x14ac:dyDescent="0.35">
      <c r="A82" s="40" t="str">
        <f t="shared" si="1"/>
        <v>JULYREV-37683/7</v>
      </c>
      <c r="B82" s="40">
        <v>40.5</v>
      </c>
      <c r="C82" s="45"/>
      <c r="D82" s="40">
        <v>972</v>
      </c>
      <c r="E82" s="45" t="s">
        <v>22</v>
      </c>
      <c r="F82" s="40">
        <v>972</v>
      </c>
      <c r="G82" s="45">
        <v>45847</v>
      </c>
      <c r="H82" s="50" t="s">
        <v>76</v>
      </c>
      <c r="I82" s="40" t="s">
        <v>75</v>
      </c>
      <c r="J82" s="40">
        <f>VLOOKUP(I82,[1]Vendors!$A:$B,2,FALSE)</f>
        <v>3320</v>
      </c>
      <c r="K82" s="40" t="s">
        <v>19</v>
      </c>
      <c r="M82" s="46">
        <v>0</v>
      </c>
    </row>
    <row r="83" spans="1:13" x14ac:dyDescent="0.35">
      <c r="A83" s="40" t="str">
        <f t="shared" si="1"/>
        <v>JULYREV-38525/2</v>
      </c>
      <c r="B83" s="40">
        <v>41</v>
      </c>
      <c r="C83" s="45" t="s">
        <v>17</v>
      </c>
      <c r="D83" s="40">
        <v>950</v>
      </c>
      <c r="E83" s="45"/>
      <c r="F83" s="40" t="e">
        <v>#VALUE!</v>
      </c>
      <c r="G83" s="45">
        <v>45848</v>
      </c>
      <c r="H83" s="50" t="s">
        <v>77</v>
      </c>
      <c r="I83" s="40" t="s">
        <v>78</v>
      </c>
      <c r="J83" s="40">
        <f>VLOOKUP(I83,[1]Vendors!$A:$B,2,FALSE)</f>
        <v>3413</v>
      </c>
      <c r="K83" s="40" t="s">
        <v>19</v>
      </c>
      <c r="L83" s="46">
        <v>1407.79</v>
      </c>
    </row>
    <row r="84" spans="1:13" x14ac:dyDescent="0.35">
      <c r="A84" s="40" t="str">
        <f t="shared" si="1"/>
        <v>JULYREV-38525/2</v>
      </c>
      <c r="B84" s="40">
        <v>41.5</v>
      </c>
      <c r="C84" s="45"/>
      <c r="D84" s="40">
        <v>972</v>
      </c>
      <c r="E84" s="45" t="s">
        <v>22</v>
      </c>
      <c r="F84" s="40">
        <v>972</v>
      </c>
      <c r="G84" s="45">
        <v>45848</v>
      </c>
      <c r="H84" s="50" t="s">
        <v>77</v>
      </c>
      <c r="I84" s="40" t="s">
        <v>78</v>
      </c>
      <c r="J84" s="40">
        <f>VLOOKUP(I84,[1]Vendors!$A:$B,2,FALSE)</f>
        <v>3413</v>
      </c>
      <c r="K84" s="40" t="s">
        <v>19</v>
      </c>
      <c r="M84" s="46">
        <v>1407.79</v>
      </c>
    </row>
    <row r="85" spans="1:13" x14ac:dyDescent="0.35">
      <c r="A85" s="40" t="str">
        <f t="shared" si="1"/>
        <v>JULYREV-35431/7</v>
      </c>
      <c r="B85" s="40">
        <v>42</v>
      </c>
      <c r="C85" s="45" t="s">
        <v>17</v>
      </c>
      <c r="D85" s="40">
        <v>950</v>
      </c>
      <c r="E85" s="45"/>
      <c r="F85" s="40" t="e">
        <v>#VALUE!</v>
      </c>
      <c r="G85" s="45">
        <v>45849</v>
      </c>
      <c r="H85" s="50" t="s">
        <v>79</v>
      </c>
      <c r="I85" s="40" t="s">
        <v>80</v>
      </c>
      <c r="J85" s="40">
        <f>VLOOKUP(I85,[1]Vendors!$A:$B,2,FALSE)</f>
        <v>3351</v>
      </c>
      <c r="K85" s="40" t="s">
        <v>19</v>
      </c>
      <c r="L85" s="46">
        <v>0</v>
      </c>
    </row>
    <row r="86" spans="1:13" x14ac:dyDescent="0.35">
      <c r="A86" s="40" t="str">
        <f t="shared" si="1"/>
        <v>JULYREV-35431/7</v>
      </c>
      <c r="B86" s="40">
        <v>42.5</v>
      </c>
      <c r="C86" s="45"/>
      <c r="D86" s="40">
        <v>972</v>
      </c>
      <c r="E86" s="45" t="s">
        <v>22</v>
      </c>
      <c r="F86" s="40">
        <v>972</v>
      </c>
      <c r="G86" s="45">
        <v>45849</v>
      </c>
      <c r="H86" s="50" t="s">
        <v>79</v>
      </c>
      <c r="I86" s="40" t="s">
        <v>80</v>
      </c>
      <c r="J86" s="40">
        <f>VLOOKUP(I86,[1]Vendors!$A:$B,2,FALSE)</f>
        <v>3351</v>
      </c>
      <c r="K86" s="40" t="s">
        <v>19</v>
      </c>
      <c r="M86" s="46">
        <v>0</v>
      </c>
    </row>
    <row r="87" spans="1:13" x14ac:dyDescent="0.35">
      <c r="A87" s="40" t="str">
        <f t="shared" si="1"/>
        <v>JULYREV-36783/5</v>
      </c>
      <c r="B87" s="40">
        <v>43</v>
      </c>
      <c r="C87" s="45" t="s">
        <v>17</v>
      </c>
      <c r="D87" s="40">
        <v>950</v>
      </c>
      <c r="E87" s="45"/>
      <c r="F87" s="40" t="e">
        <v>#VALUE!</v>
      </c>
      <c r="G87" s="45">
        <v>45849</v>
      </c>
      <c r="H87" s="50" t="s">
        <v>81</v>
      </c>
      <c r="I87" s="40" t="s">
        <v>82</v>
      </c>
      <c r="J87" s="40">
        <f>VLOOKUP(I87,[1]Vendors!$A:$B,2,FALSE)</f>
        <v>2571</v>
      </c>
      <c r="K87" s="40" t="s">
        <v>19</v>
      </c>
      <c r="L87" s="46">
        <v>8535.0400000000009</v>
      </c>
    </row>
    <row r="88" spans="1:13" x14ac:dyDescent="0.35">
      <c r="A88" s="40" t="str">
        <f t="shared" si="1"/>
        <v>JULYREV-36783/5</v>
      </c>
      <c r="B88" s="40">
        <v>43.5</v>
      </c>
      <c r="C88" s="45"/>
      <c r="D88" s="40">
        <v>972</v>
      </c>
      <c r="E88" s="45" t="s">
        <v>22</v>
      </c>
      <c r="F88" s="40">
        <v>972</v>
      </c>
      <c r="G88" s="45">
        <v>45849</v>
      </c>
      <c r="H88" s="50" t="s">
        <v>81</v>
      </c>
      <c r="I88" s="40" t="s">
        <v>82</v>
      </c>
      <c r="J88" s="40">
        <f>VLOOKUP(I88,[1]Vendors!$A:$B,2,FALSE)</f>
        <v>2571</v>
      </c>
      <c r="K88" s="40" t="s">
        <v>19</v>
      </c>
      <c r="M88" s="46">
        <v>8535.0400000000009</v>
      </c>
    </row>
    <row r="89" spans="1:13" x14ac:dyDescent="0.35">
      <c r="A89" s="40" t="str">
        <f t="shared" si="1"/>
        <v>JULYREV-37061/6</v>
      </c>
      <c r="B89" s="40">
        <v>44</v>
      </c>
      <c r="C89" s="45" t="s">
        <v>17</v>
      </c>
      <c r="D89" s="40">
        <v>950</v>
      </c>
      <c r="E89" s="45"/>
      <c r="F89" s="40" t="e">
        <v>#VALUE!</v>
      </c>
      <c r="G89" s="45">
        <v>45849</v>
      </c>
      <c r="H89" s="50" t="s">
        <v>83</v>
      </c>
      <c r="I89" s="40" t="s">
        <v>84</v>
      </c>
      <c r="J89" s="40">
        <f>VLOOKUP(I89,[1]Vendors!$A:$B,2,FALSE)</f>
        <v>1708</v>
      </c>
      <c r="K89" s="40" t="s">
        <v>19</v>
      </c>
      <c r="L89" s="46">
        <v>66357.13</v>
      </c>
    </row>
    <row r="90" spans="1:13" x14ac:dyDescent="0.35">
      <c r="A90" s="40" t="str">
        <f t="shared" si="1"/>
        <v>JULYREV-37061/6</v>
      </c>
      <c r="B90" s="40">
        <v>44.5</v>
      </c>
      <c r="C90" s="45"/>
      <c r="D90" s="40">
        <v>972</v>
      </c>
      <c r="E90" s="45" t="s">
        <v>22</v>
      </c>
      <c r="F90" s="40">
        <v>972</v>
      </c>
      <c r="G90" s="45">
        <v>45849</v>
      </c>
      <c r="H90" s="50" t="s">
        <v>83</v>
      </c>
      <c r="I90" s="40" t="s">
        <v>84</v>
      </c>
      <c r="J90" s="40">
        <f>VLOOKUP(I90,[1]Vendors!$A:$B,2,FALSE)</f>
        <v>1708</v>
      </c>
      <c r="K90" s="40" t="s">
        <v>19</v>
      </c>
      <c r="M90" s="46">
        <v>66357.13</v>
      </c>
    </row>
    <row r="91" spans="1:13" x14ac:dyDescent="0.35">
      <c r="A91" s="40" t="str">
        <f t="shared" si="1"/>
        <v>JULYREV-37271/12</v>
      </c>
      <c r="B91" s="40">
        <v>45</v>
      </c>
      <c r="C91" s="45" t="s">
        <v>17</v>
      </c>
      <c r="D91" s="40">
        <v>950</v>
      </c>
      <c r="E91" s="45"/>
      <c r="F91" s="40" t="e">
        <v>#VALUE!</v>
      </c>
      <c r="G91" s="45">
        <v>45849</v>
      </c>
      <c r="H91" s="50" t="s">
        <v>85</v>
      </c>
      <c r="I91" s="40" t="s">
        <v>86</v>
      </c>
      <c r="J91" s="40">
        <f>VLOOKUP(I91,[1]Vendors!$A:$B,2,FALSE)</f>
        <v>3375</v>
      </c>
      <c r="K91" s="40" t="s">
        <v>19</v>
      </c>
      <c r="L91" s="46">
        <v>2292.5100000000002</v>
      </c>
    </row>
    <row r="92" spans="1:13" x14ac:dyDescent="0.35">
      <c r="A92" s="40" t="str">
        <f t="shared" si="1"/>
        <v>JULYREV-37271/12</v>
      </c>
      <c r="B92" s="40">
        <v>45.5</v>
      </c>
      <c r="C92" s="45"/>
      <c r="D92" s="40">
        <v>972</v>
      </c>
      <c r="E92" s="45" t="s">
        <v>22</v>
      </c>
      <c r="F92" s="40">
        <v>972</v>
      </c>
      <c r="G92" s="45">
        <v>45849</v>
      </c>
      <c r="H92" s="50" t="s">
        <v>85</v>
      </c>
      <c r="I92" s="40" t="s">
        <v>86</v>
      </c>
      <c r="J92" s="40">
        <f>VLOOKUP(I92,[1]Vendors!$A:$B,2,FALSE)</f>
        <v>3375</v>
      </c>
      <c r="K92" s="40" t="s">
        <v>19</v>
      </c>
      <c r="M92" s="46">
        <v>2292.5100000000002</v>
      </c>
    </row>
    <row r="93" spans="1:13" x14ac:dyDescent="0.35">
      <c r="A93" s="40" t="str">
        <f t="shared" si="1"/>
        <v>JULYREV-37288/5</v>
      </c>
      <c r="B93" s="40">
        <v>46</v>
      </c>
      <c r="C93" s="45" t="s">
        <v>17</v>
      </c>
      <c r="D93" s="40">
        <v>950</v>
      </c>
      <c r="E93" s="45"/>
      <c r="F93" s="40" t="e">
        <v>#VALUE!</v>
      </c>
      <c r="G93" s="45">
        <v>45849</v>
      </c>
      <c r="H93" s="50" t="s">
        <v>87</v>
      </c>
      <c r="I93" s="40" t="s">
        <v>86</v>
      </c>
      <c r="J93" s="40">
        <f>VLOOKUP(I93,[1]Vendors!$A:$B,2,FALSE)</f>
        <v>3375</v>
      </c>
      <c r="K93" s="40" t="s">
        <v>19</v>
      </c>
      <c r="L93" s="46">
        <v>2334.5100000000002</v>
      </c>
    </row>
    <row r="94" spans="1:13" x14ac:dyDescent="0.35">
      <c r="A94" s="40" t="str">
        <f t="shared" si="1"/>
        <v>JULYREV-37288/5</v>
      </c>
      <c r="B94" s="40">
        <v>46.5</v>
      </c>
      <c r="C94" s="45"/>
      <c r="D94" s="40">
        <v>972</v>
      </c>
      <c r="E94" s="45" t="s">
        <v>22</v>
      </c>
      <c r="F94" s="40">
        <v>972</v>
      </c>
      <c r="G94" s="45">
        <v>45849</v>
      </c>
      <c r="H94" s="50" t="s">
        <v>87</v>
      </c>
      <c r="I94" s="40" t="s">
        <v>86</v>
      </c>
      <c r="J94" s="40">
        <f>VLOOKUP(I94,[1]Vendors!$A:$B,2,FALSE)</f>
        <v>3375</v>
      </c>
      <c r="K94" s="40" t="s">
        <v>19</v>
      </c>
      <c r="M94" s="46">
        <v>2334.5100000000002</v>
      </c>
    </row>
    <row r="95" spans="1:13" x14ac:dyDescent="0.35">
      <c r="A95" s="40" t="str">
        <f t="shared" si="1"/>
        <v>JULYREV-37288/6</v>
      </c>
      <c r="B95" s="40">
        <v>47</v>
      </c>
      <c r="C95" s="45" t="s">
        <v>17</v>
      </c>
      <c r="D95" s="40">
        <v>950</v>
      </c>
      <c r="E95" s="45"/>
      <c r="F95" s="40" t="e">
        <v>#VALUE!</v>
      </c>
      <c r="G95" s="45">
        <v>45849</v>
      </c>
      <c r="H95" s="50" t="s">
        <v>88</v>
      </c>
      <c r="I95" s="40" t="s">
        <v>86</v>
      </c>
      <c r="J95" s="40">
        <f>VLOOKUP(I95,[1]Vendors!$A:$B,2,FALSE)</f>
        <v>3375</v>
      </c>
      <c r="K95" s="40" t="s">
        <v>19</v>
      </c>
      <c r="L95" s="46">
        <v>1212</v>
      </c>
    </row>
    <row r="96" spans="1:13" x14ac:dyDescent="0.35">
      <c r="A96" s="40" t="str">
        <f t="shared" si="1"/>
        <v>JULYREV-37288/6</v>
      </c>
      <c r="B96" s="40">
        <v>47.5</v>
      </c>
      <c r="C96" s="45"/>
      <c r="D96" s="40">
        <v>972</v>
      </c>
      <c r="E96" s="45" t="s">
        <v>22</v>
      </c>
      <c r="F96" s="40">
        <v>972</v>
      </c>
      <c r="G96" s="45">
        <v>45849</v>
      </c>
      <c r="H96" s="50" t="s">
        <v>88</v>
      </c>
      <c r="I96" s="40" t="s">
        <v>86</v>
      </c>
      <c r="J96" s="40">
        <f>VLOOKUP(I96,[1]Vendors!$A:$B,2,FALSE)</f>
        <v>3375</v>
      </c>
      <c r="K96" s="40" t="s">
        <v>19</v>
      </c>
      <c r="M96" s="46">
        <v>1212</v>
      </c>
    </row>
    <row r="97" spans="1:13" x14ac:dyDescent="0.35">
      <c r="A97" s="40" t="str">
        <f t="shared" si="1"/>
        <v>JULYREV-37762/3</v>
      </c>
      <c r="B97" s="40">
        <v>48</v>
      </c>
      <c r="C97" s="45" t="s">
        <v>17</v>
      </c>
      <c r="D97" s="40">
        <v>950</v>
      </c>
      <c r="E97" s="45"/>
      <c r="F97" s="40" t="e">
        <v>#VALUE!</v>
      </c>
      <c r="G97" s="45">
        <v>45849</v>
      </c>
      <c r="H97" s="50" t="s">
        <v>89</v>
      </c>
      <c r="I97" s="40" t="s">
        <v>84</v>
      </c>
      <c r="J97" s="40">
        <f>VLOOKUP(I97,[1]Vendors!$A:$B,2,FALSE)</f>
        <v>1708</v>
      </c>
      <c r="K97" s="40" t="s">
        <v>19</v>
      </c>
      <c r="L97" s="46">
        <v>0</v>
      </c>
    </row>
    <row r="98" spans="1:13" x14ac:dyDescent="0.35">
      <c r="A98" s="40" t="str">
        <f t="shared" si="1"/>
        <v>JULYREV-37762/3</v>
      </c>
      <c r="B98" s="40">
        <v>48.5</v>
      </c>
      <c r="C98" s="45"/>
      <c r="D98" s="40">
        <v>972</v>
      </c>
      <c r="E98" s="45" t="s">
        <v>22</v>
      </c>
      <c r="F98" s="40">
        <v>972</v>
      </c>
      <c r="G98" s="45">
        <v>45849</v>
      </c>
      <c r="H98" s="50" t="s">
        <v>89</v>
      </c>
      <c r="I98" s="40" t="s">
        <v>84</v>
      </c>
      <c r="J98" s="40">
        <f>VLOOKUP(I98,[1]Vendors!$A:$B,2,FALSE)</f>
        <v>1708</v>
      </c>
      <c r="K98" s="40" t="s">
        <v>19</v>
      </c>
      <c r="M98" s="46">
        <v>0</v>
      </c>
    </row>
    <row r="99" spans="1:13" x14ac:dyDescent="0.35">
      <c r="A99" s="40" t="str">
        <f t="shared" si="1"/>
        <v>JULYREV-36569/2</v>
      </c>
      <c r="B99" s="40">
        <v>49</v>
      </c>
      <c r="C99" s="45" t="s">
        <v>17</v>
      </c>
      <c r="D99" s="40">
        <v>950</v>
      </c>
      <c r="E99" s="45"/>
      <c r="F99" s="40" t="e">
        <v>#VALUE!</v>
      </c>
      <c r="G99" s="45">
        <v>45852</v>
      </c>
      <c r="H99" s="50" t="s">
        <v>90</v>
      </c>
      <c r="I99" s="40" t="s">
        <v>91</v>
      </c>
      <c r="J99" s="40">
        <f>VLOOKUP(I99,[1]Vendors!$A:$B,2,FALSE)</f>
        <v>649</v>
      </c>
      <c r="K99" s="40" t="s">
        <v>19</v>
      </c>
      <c r="L99" s="46">
        <v>5237.2</v>
      </c>
    </row>
    <row r="100" spans="1:13" x14ac:dyDescent="0.35">
      <c r="A100" s="40" t="str">
        <f t="shared" si="1"/>
        <v>JULYREV-36569/2</v>
      </c>
      <c r="B100" s="40">
        <v>49.5</v>
      </c>
      <c r="C100" s="45"/>
      <c r="D100" s="40">
        <v>972</v>
      </c>
      <c r="E100" s="45" t="s">
        <v>22</v>
      </c>
      <c r="F100" s="40">
        <v>972</v>
      </c>
      <c r="G100" s="45">
        <v>45852</v>
      </c>
      <c r="H100" s="50" t="s">
        <v>90</v>
      </c>
      <c r="I100" s="40" t="s">
        <v>91</v>
      </c>
      <c r="J100" s="40">
        <f>VLOOKUP(I100,[1]Vendors!$A:$B,2,FALSE)</f>
        <v>649</v>
      </c>
      <c r="K100" s="40" t="s">
        <v>19</v>
      </c>
      <c r="M100" s="46">
        <v>5237.2</v>
      </c>
    </row>
    <row r="101" spans="1:13" x14ac:dyDescent="0.35">
      <c r="A101" s="40" t="str">
        <f t="shared" si="1"/>
        <v>JULYREV-36576/2</v>
      </c>
      <c r="B101" s="40">
        <v>50</v>
      </c>
      <c r="C101" s="45" t="s">
        <v>17</v>
      </c>
      <c r="D101" s="40">
        <v>950</v>
      </c>
      <c r="E101" s="45"/>
      <c r="F101" s="40" t="e">
        <v>#VALUE!</v>
      </c>
      <c r="G101" s="45">
        <v>45852</v>
      </c>
      <c r="H101" s="50" t="s">
        <v>92</v>
      </c>
      <c r="I101" s="40" t="s">
        <v>91</v>
      </c>
      <c r="J101" s="40">
        <f>VLOOKUP(I101,[1]Vendors!$A:$B,2,FALSE)</f>
        <v>649</v>
      </c>
      <c r="K101" s="40" t="s">
        <v>19</v>
      </c>
      <c r="L101" s="46">
        <v>18562.18</v>
      </c>
    </row>
    <row r="102" spans="1:13" x14ac:dyDescent="0.35">
      <c r="A102" s="40" t="str">
        <f t="shared" si="1"/>
        <v>JULYREV-36576/2</v>
      </c>
      <c r="B102" s="40">
        <v>50.5</v>
      </c>
      <c r="C102" s="45"/>
      <c r="D102" s="40">
        <v>972</v>
      </c>
      <c r="E102" s="45" t="s">
        <v>22</v>
      </c>
      <c r="F102" s="40">
        <v>972</v>
      </c>
      <c r="G102" s="45">
        <v>45852</v>
      </c>
      <c r="H102" s="50" t="s">
        <v>92</v>
      </c>
      <c r="I102" s="40" t="s">
        <v>91</v>
      </c>
      <c r="J102" s="40">
        <f>VLOOKUP(I102,[1]Vendors!$A:$B,2,FALSE)</f>
        <v>649</v>
      </c>
      <c r="K102" s="40" t="s">
        <v>19</v>
      </c>
      <c r="M102" s="46">
        <v>18562.18</v>
      </c>
    </row>
    <row r="103" spans="1:13" x14ac:dyDescent="0.35">
      <c r="A103" s="40" t="str">
        <f t="shared" si="1"/>
        <v>JULYREV-36580/2</v>
      </c>
      <c r="B103" s="40">
        <v>51</v>
      </c>
      <c r="C103" s="45" t="s">
        <v>17</v>
      </c>
      <c r="D103" s="40">
        <v>950</v>
      </c>
      <c r="E103" s="45"/>
      <c r="F103" s="40" t="e">
        <v>#VALUE!</v>
      </c>
      <c r="G103" s="45">
        <v>45852</v>
      </c>
      <c r="H103" s="50" t="s">
        <v>93</v>
      </c>
      <c r="I103" s="40" t="s">
        <v>91</v>
      </c>
      <c r="J103" s="40">
        <f>VLOOKUP(I103,[1]Vendors!$A:$B,2,FALSE)</f>
        <v>649</v>
      </c>
      <c r="K103" s="40" t="s">
        <v>19</v>
      </c>
      <c r="L103" s="46">
        <v>359.36</v>
      </c>
    </row>
    <row r="104" spans="1:13" x14ac:dyDescent="0.35">
      <c r="A104" s="40" t="str">
        <f t="shared" si="1"/>
        <v>JULYREV-36580/2</v>
      </c>
      <c r="B104" s="40">
        <v>51.5</v>
      </c>
      <c r="C104" s="45"/>
      <c r="D104" s="40">
        <v>972</v>
      </c>
      <c r="E104" s="45" t="s">
        <v>22</v>
      </c>
      <c r="F104" s="40">
        <v>972</v>
      </c>
      <c r="G104" s="45">
        <v>45852</v>
      </c>
      <c r="H104" s="50" t="s">
        <v>93</v>
      </c>
      <c r="I104" s="40" t="s">
        <v>91</v>
      </c>
      <c r="J104" s="40">
        <f>VLOOKUP(I104,[1]Vendors!$A:$B,2,FALSE)</f>
        <v>649</v>
      </c>
      <c r="K104" s="40" t="s">
        <v>19</v>
      </c>
      <c r="M104" s="46">
        <v>359.36</v>
      </c>
    </row>
    <row r="105" spans="1:13" x14ac:dyDescent="0.35">
      <c r="A105" s="40" t="str">
        <f t="shared" si="1"/>
        <v>JULYREV-36582/2</v>
      </c>
      <c r="B105" s="40">
        <v>52</v>
      </c>
      <c r="C105" s="45" t="s">
        <v>17</v>
      </c>
      <c r="D105" s="40">
        <v>950</v>
      </c>
      <c r="E105" s="45"/>
      <c r="F105" s="40" t="e">
        <v>#VALUE!</v>
      </c>
      <c r="G105" s="45">
        <v>45852</v>
      </c>
      <c r="H105" s="50" t="s">
        <v>94</v>
      </c>
      <c r="I105" s="40" t="s">
        <v>91</v>
      </c>
      <c r="J105" s="40">
        <f>VLOOKUP(I105,[1]Vendors!$A:$B,2,FALSE)</f>
        <v>649</v>
      </c>
      <c r="K105" s="40" t="s">
        <v>19</v>
      </c>
      <c r="L105" s="46">
        <v>15292.17</v>
      </c>
    </row>
    <row r="106" spans="1:13" x14ac:dyDescent="0.35">
      <c r="A106" s="40" t="str">
        <f t="shared" si="1"/>
        <v>JULYREV-36582/2</v>
      </c>
      <c r="B106" s="40">
        <v>52.5</v>
      </c>
      <c r="C106" s="45"/>
      <c r="D106" s="40">
        <v>972</v>
      </c>
      <c r="E106" s="45" t="s">
        <v>22</v>
      </c>
      <c r="F106" s="40">
        <v>972</v>
      </c>
      <c r="G106" s="45">
        <v>45852</v>
      </c>
      <c r="H106" s="50" t="s">
        <v>94</v>
      </c>
      <c r="I106" s="40" t="s">
        <v>91</v>
      </c>
      <c r="J106" s="40">
        <f>VLOOKUP(I106,[1]Vendors!$A:$B,2,FALSE)</f>
        <v>649</v>
      </c>
      <c r="K106" s="40" t="s">
        <v>19</v>
      </c>
      <c r="M106" s="46">
        <v>15292.17</v>
      </c>
    </row>
    <row r="107" spans="1:13" x14ac:dyDescent="0.35">
      <c r="A107" s="40" t="str">
        <f t="shared" si="1"/>
        <v>JULYREV-36583/4</v>
      </c>
      <c r="B107" s="40">
        <v>53</v>
      </c>
      <c r="C107" s="45" t="s">
        <v>17</v>
      </c>
      <c r="D107" s="40">
        <v>950</v>
      </c>
      <c r="E107" s="45"/>
      <c r="F107" s="40" t="e">
        <v>#VALUE!</v>
      </c>
      <c r="G107" s="45">
        <v>45852</v>
      </c>
      <c r="H107" s="50" t="s">
        <v>95</v>
      </c>
      <c r="I107" s="40" t="s">
        <v>91</v>
      </c>
      <c r="J107" s="40">
        <f>VLOOKUP(I107,[1]Vendors!$A:$B,2,FALSE)</f>
        <v>649</v>
      </c>
      <c r="K107" s="40" t="s">
        <v>19</v>
      </c>
      <c r="L107" s="46">
        <v>2271.2399999999998</v>
      </c>
    </row>
    <row r="108" spans="1:13" x14ac:dyDescent="0.35">
      <c r="A108" s="40" t="str">
        <f t="shared" si="1"/>
        <v>JULYREV-36583/4</v>
      </c>
      <c r="B108" s="40">
        <v>53.5</v>
      </c>
      <c r="C108" s="45"/>
      <c r="D108" s="40">
        <v>972</v>
      </c>
      <c r="E108" s="45" t="s">
        <v>22</v>
      </c>
      <c r="F108" s="40">
        <v>972</v>
      </c>
      <c r="G108" s="45">
        <v>45852</v>
      </c>
      <c r="H108" s="50" t="s">
        <v>95</v>
      </c>
      <c r="I108" s="40" t="s">
        <v>91</v>
      </c>
      <c r="J108" s="40">
        <f>VLOOKUP(I108,[1]Vendors!$A:$B,2,FALSE)</f>
        <v>649</v>
      </c>
      <c r="K108" s="40" t="s">
        <v>19</v>
      </c>
      <c r="M108" s="46">
        <v>2271.2399999999998</v>
      </c>
    </row>
    <row r="109" spans="1:13" x14ac:dyDescent="0.35">
      <c r="A109" s="40" t="str">
        <f t="shared" si="1"/>
        <v>JULYREV-38388/2</v>
      </c>
      <c r="B109" s="40">
        <v>54</v>
      </c>
      <c r="C109" s="45" t="s">
        <v>17</v>
      </c>
      <c r="D109" s="40">
        <v>950</v>
      </c>
      <c r="E109" s="45"/>
      <c r="F109" s="40" t="e">
        <v>#VALUE!</v>
      </c>
      <c r="G109" s="45">
        <v>45852</v>
      </c>
      <c r="H109" s="50" t="s">
        <v>96</v>
      </c>
      <c r="I109" s="40" t="s">
        <v>66</v>
      </c>
      <c r="J109" s="40">
        <f>VLOOKUP(I109,[1]Vendors!$A:$B,2,FALSE)</f>
        <v>1548</v>
      </c>
      <c r="K109" s="40" t="s">
        <v>19</v>
      </c>
      <c r="L109" s="46">
        <v>132628.29</v>
      </c>
    </row>
    <row r="110" spans="1:13" x14ac:dyDescent="0.35">
      <c r="A110" s="40" t="str">
        <f t="shared" si="1"/>
        <v>JULYREV-38388/2</v>
      </c>
      <c r="B110" s="40">
        <v>54.5</v>
      </c>
      <c r="C110" s="45"/>
      <c r="D110" s="40">
        <v>972</v>
      </c>
      <c r="E110" s="45" t="s">
        <v>22</v>
      </c>
      <c r="F110" s="40">
        <v>972</v>
      </c>
      <c r="G110" s="45">
        <v>45852</v>
      </c>
      <c r="H110" s="50" t="s">
        <v>96</v>
      </c>
      <c r="I110" s="40" t="s">
        <v>66</v>
      </c>
      <c r="J110" s="40">
        <f>VLOOKUP(I110,[1]Vendors!$A:$B,2,FALSE)</f>
        <v>1548</v>
      </c>
      <c r="K110" s="40" t="s">
        <v>19</v>
      </c>
      <c r="M110" s="46">
        <v>132628.29</v>
      </c>
    </row>
    <row r="111" spans="1:13" x14ac:dyDescent="0.35">
      <c r="A111" s="40" t="str">
        <f t="shared" si="1"/>
        <v>JULYREV-38386/3</v>
      </c>
      <c r="B111" s="40">
        <v>55</v>
      </c>
      <c r="C111" s="45" t="s">
        <v>17</v>
      </c>
      <c r="D111" s="40">
        <v>950</v>
      </c>
      <c r="E111" s="45"/>
      <c r="F111" s="40" t="e">
        <v>#VALUE!</v>
      </c>
      <c r="G111" s="45">
        <v>45854</v>
      </c>
      <c r="H111" s="50" t="s">
        <v>97</v>
      </c>
      <c r="I111" s="40" t="s">
        <v>66</v>
      </c>
      <c r="J111" s="40">
        <f>VLOOKUP(I111,[1]Vendors!$A:$B,2,FALSE)</f>
        <v>1548</v>
      </c>
      <c r="K111" s="40" t="s">
        <v>19</v>
      </c>
      <c r="L111" s="46">
        <v>39906.35</v>
      </c>
    </row>
    <row r="112" spans="1:13" x14ac:dyDescent="0.35">
      <c r="A112" s="40" t="str">
        <f t="shared" si="1"/>
        <v>JULYREV-38386/3</v>
      </c>
      <c r="B112" s="40">
        <v>55.5</v>
      </c>
      <c r="C112" s="45"/>
      <c r="D112" s="40">
        <v>972</v>
      </c>
      <c r="E112" s="45" t="s">
        <v>22</v>
      </c>
      <c r="F112" s="40">
        <v>972</v>
      </c>
      <c r="G112" s="45">
        <v>45854</v>
      </c>
      <c r="H112" s="50" t="s">
        <v>97</v>
      </c>
      <c r="I112" s="40" t="s">
        <v>66</v>
      </c>
      <c r="J112" s="40">
        <f>VLOOKUP(I112,[1]Vendors!$A:$B,2,FALSE)</f>
        <v>1548</v>
      </c>
      <c r="K112" s="40" t="s">
        <v>19</v>
      </c>
      <c r="M112" s="46">
        <v>39906.35</v>
      </c>
    </row>
    <row r="113" spans="1:13" x14ac:dyDescent="0.35">
      <c r="A113" s="40" t="str">
        <f t="shared" si="1"/>
        <v>JULYREV-38394/2</v>
      </c>
      <c r="B113" s="40">
        <v>56</v>
      </c>
      <c r="C113" s="45" t="s">
        <v>17</v>
      </c>
      <c r="D113" s="40">
        <v>950</v>
      </c>
      <c r="E113" s="45"/>
      <c r="F113" s="40" t="e">
        <v>#VALUE!</v>
      </c>
      <c r="G113" s="45">
        <v>45854</v>
      </c>
      <c r="H113" s="50" t="s">
        <v>98</v>
      </c>
      <c r="I113" s="40" t="s">
        <v>66</v>
      </c>
      <c r="J113" s="40">
        <f>VLOOKUP(I113,[1]Vendors!$A:$B,2,FALSE)</f>
        <v>1548</v>
      </c>
      <c r="K113" s="40" t="s">
        <v>19</v>
      </c>
      <c r="L113" s="46">
        <v>7066.7800000000007</v>
      </c>
    </row>
    <row r="114" spans="1:13" x14ac:dyDescent="0.35">
      <c r="A114" s="40" t="str">
        <f t="shared" si="1"/>
        <v>JULYREV-38394/2</v>
      </c>
      <c r="B114" s="40">
        <v>56.5</v>
      </c>
      <c r="C114" s="45"/>
      <c r="D114" s="40">
        <v>972</v>
      </c>
      <c r="E114" s="45" t="s">
        <v>22</v>
      </c>
      <c r="F114" s="40">
        <v>972</v>
      </c>
      <c r="G114" s="45">
        <v>45854</v>
      </c>
      <c r="H114" s="50" t="s">
        <v>98</v>
      </c>
      <c r="I114" s="40" t="s">
        <v>66</v>
      </c>
      <c r="J114" s="40">
        <f>VLOOKUP(I114,[1]Vendors!$A:$B,2,FALSE)</f>
        <v>1548</v>
      </c>
      <c r="K114" s="40" t="s">
        <v>19</v>
      </c>
      <c r="M114" s="46">
        <v>7066.7800000000007</v>
      </c>
    </row>
    <row r="115" spans="1:13" x14ac:dyDescent="0.35">
      <c r="A115" s="40" t="str">
        <f t="shared" si="1"/>
        <v>JULYREV-38213/6</v>
      </c>
      <c r="B115" s="40">
        <v>57</v>
      </c>
      <c r="C115" s="45" t="s">
        <v>17</v>
      </c>
      <c r="D115" s="40">
        <v>950</v>
      </c>
      <c r="E115" s="45"/>
      <c r="F115" s="40" t="e">
        <v>#VALUE!</v>
      </c>
      <c r="G115" s="45">
        <v>45856</v>
      </c>
      <c r="H115" s="50" t="s">
        <v>99</v>
      </c>
      <c r="I115" s="40" t="s">
        <v>64</v>
      </c>
      <c r="J115" s="40">
        <f>VLOOKUP(I115,[1]Vendors!$A:$B,2,FALSE)</f>
        <v>3338</v>
      </c>
      <c r="K115" s="40" t="s">
        <v>19</v>
      </c>
      <c r="L115" s="46">
        <v>49890.8</v>
      </c>
    </row>
    <row r="116" spans="1:13" x14ac:dyDescent="0.35">
      <c r="A116" s="40" t="str">
        <f t="shared" si="1"/>
        <v>JULYREV-38213/6</v>
      </c>
      <c r="B116" s="40">
        <v>57.5</v>
      </c>
      <c r="C116" s="45"/>
      <c r="D116" s="40">
        <v>972</v>
      </c>
      <c r="E116" s="45" t="s">
        <v>22</v>
      </c>
      <c r="F116" s="40">
        <v>972</v>
      </c>
      <c r="G116" s="45">
        <v>45856</v>
      </c>
      <c r="H116" s="50" t="s">
        <v>99</v>
      </c>
      <c r="I116" s="40" t="s">
        <v>64</v>
      </c>
      <c r="J116" s="40">
        <f>VLOOKUP(I116,[1]Vendors!$A:$B,2,FALSE)</f>
        <v>3338</v>
      </c>
      <c r="K116" s="40" t="s">
        <v>19</v>
      </c>
      <c r="M116" s="46">
        <v>49890.8</v>
      </c>
    </row>
    <row r="117" spans="1:13" x14ac:dyDescent="0.35">
      <c r="A117" s="40" t="str">
        <f t="shared" si="1"/>
        <v>JULYREV-36849/10</v>
      </c>
      <c r="B117" s="40">
        <v>58</v>
      </c>
      <c r="C117" s="45" t="s">
        <v>17</v>
      </c>
      <c r="D117" s="40">
        <v>950</v>
      </c>
      <c r="E117" s="45"/>
      <c r="F117" s="40" t="e">
        <v>#VALUE!</v>
      </c>
      <c r="G117" s="45">
        <v>45859</v>
      </c>
      <c r="H117" s="50" t="s">
        <v>100</v>
      </c>
      <c r="I117" s="40" t="s">
        <v>101</v>
      </c>
      <c r="J117" s="40">
        <f>VLOOKUP(I117,[1]Vendors!$A:$B,2,FALSE)</f>
        <v>567</v>
      </c>
      <c r="K117" s="40" t="s">
        <v>19</v>
      </c>
      <c r="L117" s="46">
        <v>1980</v>
      </c>
    </row>
    <row r="118" spans="1:13" x14ac:dyDescent="0.35">
      <c r="A118" s="40" t="str">
        <f t="shared" si="1"/>
        <v>JULYREV-36849/10</v>
      </c>
      <c r="B118" s="40">
        <v>58.5</v>
      </c>
      <c r="C118" s="45"/>
      <c r="D118" s="40">
        <v>972</v>
      </c>
      <c r="E118" s="45" t="s">
        <v>22</v>
      </c>
      <c r="F118" s="40">
        <v>972</v>
      </c>
      <c r="G118" s="45">
        <v>45859</v>
      </c>
      <c r="H118" s="50" t="s">
        <v>100</v>
      </c>
      <c r="I118" s="40" t="s">
        <v>101</v>
      </c>
      <c r="J118" s="40">
        <f>VLOOKUP(I118,[1]Vendors!$A:$B,2,FALSE)</f>
        <v>567</v>
      </c>
      <c r="K118" s="40" t="s">
        <v>19</v>
      </c>
      <c r="M118" s="46">
        <v>1980</v>
      </c>
    </row>
    <row r="119" spans="1:13" x14ac:dyDescent="0.35">
      <c r="A119" s="40" t="str">
        <f t="shared" si="1"/>
        <v>JULYREV-37090/2</v>
      </c>
      <c r="B119" s="40">
        <v>59</v>
      </c>
      <c r="C119" s="45" t="s">
        <v>17</v>
      </c>
      <c r="D119" s="40">
        <v>950</v>
      </c>
      <c r="E119" s="45"/>
      <c r="F119" s="40" t="e">
        <v>#VALUE!</v>
      </c>
      <c r="G119" s="45">
        <v>45861</v>
      </c>
      <c r="H119" s="50" t="s">
        <v>102</v>
      </c>
      <c r="I119" s="40" t="s">
        <v>82</v>
      </c>
      <c r="J119" s="40">
        <f>VLOOKUP(I119,[1]Vendors!$A:$B,2,FALSE)</f>
        <v>2571</v>
      </c>
      <c r="K119" s="40" t="s">
        <v>19</v>
      </c>
      <c r="L119" s="46">
        <v>0</v>
      </c>
    </row>
    <row r="120" spans="1:13" x14ac:dyDescent="0.35">
      <c r="A120" s="40" t="str">
        <f t="shared" si="1"/>
        <v>JULYREV-37090/2</v>
      </c>
      <c r="B120" s="40">
        <v>59.5</v>
      </c>
      <c r="C120" s="45"/>
      <c r="D120" s="40">
        <v>972</v>
      </c>
      <c r="E120" s="45" t="s">
        <v>22</v>
      </c>
      <c r="F120" s="40">
        <v>972</v>
      </c>
      <c r="G120" s="45">
        <v>45861</v>
      </c>
      <c r="H120" s="50" t="s">
        <v>102</v>
      </c>
      <c r="I120" s="40" t="s">
        <v>82</v>
      </c>
      <c r="J120" s="40">
        <f>VLOOKUP(I120,[1]Vendors!$A:$B,2,FALSE)</f>
        <v>2571</v>
      </c>
      <c r="K120" s="40" t="s">
        <v>19</v>
      </c>
      <c r="M120" s="46">
        <v>0</v>
      </c>
    </row>
    <row r="121" spans="1:13" x14ac:dyDescent="0.35">
      <c r="A121" s="40" t="str">
        <f t="shared" si="1"/>
        <v>JULYREV-37678/6</v>
      </c>
      <c r="B121" s="40">
        <v>60</v>
      </c>
      <c r="C121" s="45" t="s">
        <v>17</v>
      </c>
      <c r="D121" s="40">
        <v>950</v>
      </c>
      <c r="E121" s="45"/>
      <c r="F121" s="40" t="e">
        <v>#VALUE!</v>
      </c>
      <c r="G121" s="45">
        <v>45862</v>
      </c>
      <c r="H121" s="50" t="s">
        <v>103</v>
      </c>
      <c r="I121" s="40" t="s">
        <v>75</v>
      </c>
      <c r="J121" s="40">
        <f>VLOOKUP(I121,[1]Vendors!$A:$B,2,FALSE)</f>
        <v>3320</v>
      </c>
      <c r="K121" s="40" t="s">
        <v>19</v>
      </c>
      <c r="L121" s="46">
        <v>46400</v>
      </c>
    </row>
    <row r="122" spans="1:13" x14ac:dyDescent="0.35">
      <c r="A122" s="40" t="str">
        <f t="shared" si="1"/>
        <v>JULYREV-37678/6</v>
      </c>
      <c r="B122" s="40">
        <v>60.5</v>
      </c>
      <c r="C122" s="45"/>
      <c r="D122" s="40">
        <v>972</v>
      </c>
      <c r="E122" s="45" t="s">
        <v>22</v>
      </c>
      <c r="F122" s="40">
        <v>972</v>
      </c>
      <c r="G122" s="45">
        <v>45862</v>
      </c>
      <c r="H122" s="50" t="s">
        <v>103</v>
      </c>
      <c r="I122" s="40" t="s">
        <v>75</v>
      </c>
      <c r="J122" s="40">
        <f>VLOOKUP(I122,[1]Vendors!$A:$B,2,FALSE)</f>
        <v>3320</v>
      </c>
      <c r="K122" s="40" t="s">
        <v>19</v>
      </c>
      <c r="M122" s="46">
        <v>46400</v>
      </c>
    </row>
    <row r="123" spans="1:13" x14ac:dyDescent="0.35">
      <c r="A123" s="40" t="str">
        <f t="shared" si="1"/>
        <v>JULYREV-38301/3</v>
      </c>
      <c r="B123" s="40">
        <v>61</v>
      </c>
      <c r="C123" s="45" t="s">
        <v>17</v>
      </c>
      <c r="D123" s="40">
        <v>950</v>
      </c>
      <c r="E123" s="45"/>
      <c r="F123" s="40" t="e">
        <v>#VALUE!</v>
      </c>
      <c r="G123" s="45">
        <v>45863</v>
      </c>
      <c r="H123" s="50" t="s">
        <v>104</v>
      </c>
      <c r="I123" s="47" t="s">
        <v>1196</v>
      </c>
      <c r="J123" s="40">
        <f>VLOOKUP(I123,[1]Vendors!$A:$B,2,FALSE)</f>
        <v>1558</v>
      </c>
      <c r="K123" s="40" t="s">
        <v>19</v>
      </c>
      <c r="L123" s="46">
        <v>10327.25</v>
      </c>
    </row>
    <row r="124" spans="1:13" x14ac:dyDescent="0.35">
      <c r="A124" s="40" t="str">
        <f t="shared" si="1"/>
        <v>JULYREV-38301/3</v>
      </c>
      <c r="B124" s="40">
        <v>61.5</v>
      </c>
      <c r="C124" s="45"/>
      <c r="D124" s="40">
        <v>972</v>
      </c>
      <c r="E124" s="45" t="s">
        <v>22</v>
      </c>
      <c r="F124" s="40">
        <v>972</v>
      </c>
      <c r="G124" s="45">
        <v>45863</v>
      </c>
      <c r="H124" s="50" t="s">
        <v>104</v>
      </c>
      <c r="I124" s="47" t="s">
        <v>1196</v>
      </c>
      <c r="J124" s="40">
        <f>VLOOKUP(I124,[1]Vendors!$A:$B,2,FALSE)</f>
        <v>1558</v>
      </c>
      <c r="K124" s="40" t="s">
        <v>19</v>
      </c>
      <c r="M124" s="46">
        <v>10327.25</v>
      </c>
    </row>
    <row r="125" spans="1:13" x14ac:dyDescent="0.35">
      <c r="A125" s="40" t="str">
        <f t="shared" si="1"/>
        <v>JULYREV-38304/2</v>
      </c>
      <c r="B125" s="40">
        <v>62</v>
      </c>
      <c r="C125" s="45" t="s">
        <v>17</v>
      </c>
      <c r="D125" s="40">
        <v>950</v>
      </c>
      <c r="E125" s="45"/>
      <c r="F125" s="40" t="e">
        <v>#VALUE!</v>
      </c>
      <c r="G125" s="45">
        <v>45863</v>
      </c>
      <c r="H125" s="50" t="s">
        <v>106</v>
      </c>
      <c r="I125" s="47" t="s">
        <v>1196</v>
      </c>
      <c r="J125" s="40">
        <f>VLOOKUP(I125,[1]Vendors!$A:$B,2,FALSE)</f>
        <v>1558</v>
      </c>
      <c r="K125" s="40" t="s">
        <v>19</v>
      </c>
      <c r="L125" s="46">
        <v>1994.6799999999998</v>
      </c>
    </row>
    <row r="126" spans="1:13" x14ac:dyDescent="0.35">
      <c r="A126" s="40" t="str">
        <f t="shared" si="1"/>
        <v>JULYREV-38304/2</v>
      </c>
      <c r="B126" s="40">
        <v>62.5</v>
      </c>
      <c r="C126" s="45"/>
      <c r="D126" s="40">
        <v>972</v>
      </c>
      <c r="E126" s="45" t="s">
        <v>22</v>
      </c>
      <c r="F126" s="40">
        <v>972</v>
      </c>
      <c r="G126" s="45">
        <v>45863</v>
      </c>
      <c r="H126" s="50" t="s">
        <v>106</v>
      </c>
      <c r="I126" s="47" t="s">
        <v>1196</v>
      </c>
      <c r="J126" s="40">
        <f>VLOOKUP(I126,[1]Vendors!$A:$B,2,FALSE)</f>
        <v>1558</v>
      </c>
      <c r="K126" s="40" t="s">
        <v>19</v>
      </c>
      <c r="M126" s="46">
        <v>1994.6799999999998</v>
      </c>
    </row>
    <row r="127" spans="1:13" x14ac:dyDescent="0.35">
      <c r="A127" s="40" t="str">
        <f t="shared" si="1"/>
        <v>JULYREV-38332</v>
      </c>
      <c r="B127" s="40">
        <v>63</v>
      </c>
      <c r="C127" s="45" t="s">
        <v>17</v>
      </c>
      <c r="D127" s="40">
        <v>950</v>
      </c>
      <c r="E127" s="45"/>
      <c r="F127" s="40" t="e">
        <v>#VALUE!</v>
      </c>
      <c r="G127" s="45">
        <v>45863</v>
      </c>
      <c r="H127" s="50">
        <v>38332</v>
      </c>
      <c r="I127" s="40" t="s">
        <v>107</v>
      </c>
      <c r="J127" s="40">
        <f>VLOOKUP(I127,[1]Vendors!$A:$B,2,FALSE)</f>
        <v>2466</v>
      </c>
      <c r="K127" s="40" t="s">
        <v>19</v>
      </c>
      <c r="L127" s="46">
        <v>14089.22</v>
      </c>
    </row>
    <row r="128" spans="1:13" x14ac:dyDescent="0.35">
      <c r="A128" s="40" t="str">
        <f t="shared" si="1"/>
        <v>JULYREV-38332</v>
      </c>
      <c r="B128" s="40">
        <v>63.5</v>
      </c>
      <c r="C128" s="45"/>
      <c r="D128" s="40">
        <v>972</v>
      </c>
      <c r="E128" s="45" t="s">
        <v>22</v>
      </c>
      <c r="F128" s="40">
        <v>972</v>
      </c>
      <c r="G128" s="45">
        <v>45863</v>
      </c>
      <c r="H128" s="50">
        <v>38332</v>
      </c>
      <c r="I128" s="40" t="s">
        <v>107</v>
      </c>
      <c r="J128" s="40">
        <f>VLOOKUP(I128,[1]Vendors!$A:$B,2,FALSE)</f>
        <v>2466</v>
      </c>
      <c r="K128" s="40" t="s">
        <v>19</v>
      </c>
      <c r="M128" s="46">
        <v>14089.22</v>
      </c>
    </row>
    <row r="129" spans="1:13" x14ac:dyDescent="0.35">
      <c r="A129" s="40" t="str">
        <f t="shared" si="1"/>
        <v>JULYREV-38299/2</v>
      </c>
      <c r="B129" s="40">
        <v>64</v>
      </c>
      <c r="C129" s="45" t="s">
        <v>17</v>
      </c>
      <c r="D129" s="40">
        <v>950</v>
      </c>
      <c r="E129" s="45"/>
      <c r="F129" s="40" t="e">
        <v>#VALUE!</v>
      </c>
      <c r="G129" s="45">
        <v>45864</v>
      </c>
      <c r="H129" s="50" t="s">
        <v>108</v>
      </c>
      <c r="I129" s="47" t="s">
        <v>1196</v>
      </c>
      <c r="J129" s="40">
        <f>VLOOKUP(I129,[1]Vendors!$A:$B,2,FALSE)</f>
        <v>1558</v>
      </c>
      <c r="K129" s="40" t="s">
        <v>19</v>
      </c>
      <c r="L129" s="46">
        <v>3435.2799999999997</v>
      </c>
    </row>
    <row r="130" spans="1:13" x14ac:dyDescent="0.35">
      <c r="A130" s="40" t="str">
        <f t="shared" si="1"/>
        <v>JULYREV-38299/2</v>
      </c>
      <c r="B130" s="40">
        <v>64.5</v>
      </c>
      <c r="C130" s="45"/>
      <c r="D130" s="40">
        <v>972</v>
      </c>
      <c r="E130" s="45" t="s">
        <v>22</v>
      </c>
      <c r="F130" s="40">
        <v>972</v>
      </c>
      <c r="G130" s="45">
        <v>45864</v>
      </c>
      <c r="H130" s="50" t="s">
        <v>108</v>
      </c>
      <c r="I130" s="47" t="s">
        <v>1196</v>
      </c>
      <c r="J130" s="40">
        <f>VLOOKUP(I130,[1]Vendors!$A:$B,2,FALSE)</f>
        <v>1558</v>
      </c>
      <c r="K130" s="40" t="s">
        <v>19</v>
      </c>
      <c r="M130" s="46">
        <v>3435.2799999999997</v>
      </c>
    </row>
    <row r="131" spans="1:13" x14ac:dyDescent="0.35">
      <c r="A131" s="40" t="str">
        <f t="shared" si="1"/>
        <v>JULYREV-38305/4</v>
      </c>
      <c r="B131" s="40">
        <v>65</v>
      </c>
      <c r="C131" s="45" t="s">
        <v>17</v>
      </c>
      <c r="D131" s="40">
        <v>950</v>
      </c>
      <c r="E131" s="45"/>
      <c r="F131" s="40" t="e">
        <v>#VALUE!</v>
      </c>
      <c r="G131" s="45">
        <v>45864</v>
      </c>
      <c r="H131" s="50" t="s">
        <v>109</v>
      </c>
      <c r="I131" s="47" t="s">
        <v>1196</v>
      </c>
      <c r="J131" s="40">
        <f>VLOOKUP(I131,[1]Vendors!$A:$B,2,FALSE)</f>
        <v>1558</v>
      </c>
      <c r="K131" s="40" t="s">
        <v>19</v>
      </c>
      <c r="L131" s="46">
        <v>15808.25</v>
      </c>
    </row>
    <row r="132" spans="1:13" x14ac:dyDescent="0.35">
      <c r="A132" s="40" t="str">
        <f t="shared" ref="A132:A195" si="2">CONCATENATE("JULYREV","-",H132)</f>
        <v>JULYREV-38305/4</v>
      </c>
      <c r="B132" s="40">
        <v>65.5</v>
      </c>
      <c r="C132" s="45"/>
      <c r="D132" s="40">
        <v>972</v>
      </c>
      <c r="E132" s="45" t="s">
        <v>22</v>
      </c>
      <c r="F132" s="40">
        <v>972</v>
      </c>
      <c r="G132" s="45">
        <v>45864</v>
      </c>
      <c r="H132" s="50" t="s">
        <v>109</v>
      </c>
      <c r="I132" s="47" t="s">
        <v>1196</v>
      </c>
      <c r="J132" s="40">
        <f>VLOOKUP(I132,[1]Vendors!$A:$B,2,FALSE)</f>
        <v>1558</v>
      </c>
      <c r="K132" s="40" t="s">
        <v>19</v>
      </c>
      <c r="M132" s="46">
        <v>15808.25</v>
      </c>
    </row>
    <row r="133" spans="1:13" x14ac:dyDescent="0.35">
      <c r="A133" s="40" t="str">
        <f t="shared" si="2"/>
        <v>JULYREV-38305/6</v>
      </c>
      <c r="B133" s="40">
        <v>66</v>
      </c>
      <c r="C133" s="45" t="s">
        <v>17</v>
      </c>
      <c r="D133" s="40">
        <v>950</v>
      </c>
      <c r="E133" s="45"/>
      <c r="F133" s="40" t="e">
        <v>#VALUE!</v>
      </c>
      <c r="G133" s="45">
        <v>45864</v>
      </c>
      <c r="H133" s="50" t="s">
        <v>110</v>
      </c>
      <c r="I133" s="47" t="s">
        <v>1196</v>
      </c>
      <c r="J133" s="40">
        <f>VLOOKUP(I133,[1]Vendors!$A:$B,2,FALSE)</f>
        <v>1558</v>
      </c>
      <c r="K133" s="40" t="s">
        <v>19</v>
      </c>
      <c r="L133" s="46">
        <v>210</v>
      </c>
    </row>
    <row r="134" spans="1:13" x14ac:dyDescent="0.35">
      <c r="A134" s="40" t="str">
        <f t="shared" si="2"/>
        <v>JULYREV-38305/6</v>
      </c>
      <c r="B134" s="40">
        <v>66.5</v>
      </c>
      <c r="C134" s="45"/>
      <c r="D134" s="40">
        <v>972</v>
      </c>
      <c r="E134" s="45" t="s">
        <v>22</v>
      </c>
      <c r="F134" s="40">
        <v>972</v>
      </c>
      <c r="G134" s="45">
        <v>45864</v>
      </c>
      <c r="H134" s="50" t="s">
        <v>110</v>
      </c>
      <c r="I134" s="47" t="s">
        <v>1196</v>
      </c>
      <c r="J134" s="40">
        <f>VLOOKUP(I134,[1]Vendors!$A:$B,2,FALSE)</f>
        <v>1558</v>
      </c>
      <c r="K134" s="40" t="s">
        <v>19</v>
      </c>
      <c r="M134" s="46">
        <v>210</v>
      </c>
    </row>
    <row r="135" spans="1:13" x14ac:dyDescent="0.35">
      <c r="A135" s="40" t="str">
        <f t="shared" si="2"/>
        <v>JULYREV-38325/5</v>
      </c>
      <c r="B135" s="40">
        <v>67</v>
      </c>
      <c r="C135" s="45" t="s">
        <v>17</v>
      </c>
      <c r="D135" s="40">
        <v>950</v>
      </c>
      <c r="E135" s="45"/>
      <c r="F135" s="40" t="e">
        <v>#VALUE!</v>
      </c>
      <c r="G135" s="45">
        <v>45864</v>
      </c>
      <c r="H135" s="50" t="s">
        <v>111</v>
      </c>
      <c r="I135" s="40" t="s">
        <v>107</v>
      </c>
      <c r="J135" s="40">
        <f>VLOOKUP(I135,[1]Vendors!$A:$B,2,FALSE)</f>
        <v>2466</v>
      </c>
      <c r="K135" s="40" t="s">
        <v>19</v>
      </c>
      <c r="L135" s="46">
        <v>2402.16</v>
      </c>
    </row>
    <row r="136" spans="1:13" x14ac:dyDescent="0.35">
      <c r="A136" s="40" t="str">
        <f t="shared" si="2"/>
        <v>JULYREV-38325/5</v>
      </c>
      <c r="B136" s="40">
        <v>67.5</v>
      </c>
      <c r="C136" s="45"/>
      <c r="D136" s="40">
        <v>972</v>
      </c>
      <c r="E136" s="45" t="s">
        <v>22</v>
      </c>
      <c r="F136" s="40">
        <v>972</v>
      </c>
      <c r="G136" s="45">
        <v>45864</v>
      </c>
      <c r="H136" s="50" t="s">
        <v>111</v>
      </c>
      <c r="I136" s="40" t="s">
        <v>107</v>
      </c>
      <c r="J136" s="40">
        <f>VLOOKUP(I136,[1]Vendors!$A:$B,2,FALSE)</f>
        <v>2466</v>
      </c>
      <c r="K136" s="40" t="s">
        <v>19</v>
      </c>
      <c r="M136" s="46">
        <v>2402.16</v>
      </c>
    </row>
    <row r="137" spans="1:13" x14ac:dyDescent="0.35">
      <c r="A137" s="40" t="str">
        <f t="shared" si="2"/>
        <v>JULYREV-38516/2</v>
      </c>
      <c r="B137" s="40">
        <v>68</v>
      </c>
      <c r="C137" s="45" t="s">
        <v>17</v>
      </c>
      <c r="D137" s="40">
        <v>950</v>
      </c>
      <c r="E137" s="45"/>
      <c r="F137" s="40" t="e">
        <v>#VALUE!</v>
      </c>
      <c r="G137" s="45">
        <v>45866</v>
      </c>
      <c r="H137" s="50" t="s">
        <v>112</v>
      </c>
      <c r="I137" s="40" t="s">
        <v>113</v>
      </c>
      <c r="J137" s="40">
        <f>VLOOKUP(I137,[1]Vendors!$A:$B,2,FALSE)</f>
        <v>674</v>
      </c>
      <c r="K137" s="40" t="s">
        <v>19</v>
      </c>
      <c r="L137" s="46">
        <v>-1550</v>
      </c>
    </row>
    <row r="138" spans="1:13" x14ac:dyDescent="0.35">
      <c r="A138" s="40" t="str">
        <f t="shared" si="2"/>
        <v>JULYREV-38516/2</v>
      </c>
      <c r="B138" s="40">
        <v>68.5</v>
      </c>
      <c r="C138" s="45"/>
      <c r="D138" s="40">
        <v>972</v>
      </c>
      <c r="E138" s="45" t="s">
        <v>22</v>
      </c>
      <c r="F138" s="40">
        <v>972</v>
      </c>
      <c r="G138" s="45">
        <v>45866</v>
      </c>
      <c r="H138" s="50" t="s">
        <v>112</v>
      </c>
      <c r="I138" s="40" t="s">
        <v>113</v>
      </c>
      <c r="J138" s="40">
        <f>VLOOKUP(I138,[1]Vendors!$A:$B,2,FALSE)</f>
        <v>674</v>
      </c>
      <c r="K138" s="40" t="s">
        <v>19</v>
      </c>
      <c r="M138" s="46">
        <v>-1550</v>
      </c>
    </row>
    <row r="139" spans="1:13" x14ac:dyDescent="0.35">
      <c r="A139" s="40" t="str">
        <f t="shared" si="2"/>
        <v>JULYREV-34035/3</v>
      </c>
      <c r="B139" s="40">
        <v>69</v>
      </c>
      <c r="C139" s="45" t="s">
        <v>17</v>
      </c>
      <c r="D139" s="40">
        <v>950</v>
      </c>
      <c r="E139" s="45"/>
      <c r="F139" s="40" t="e">
        <v>#VALUE!</v>
      </c>
      <c r="G139" s="45">
        <v>45868</v>
      </c>
      <c r="H139" s="50" t="s">
        <v>114</v>
      </c>
      <c r="I139" s="40" t="s">
        <v>115</v>
      </c>
      <c r="J139" s="40">
        <f>VLOOKUP(I139,[1]Vendors!$A:$B,2,FALSE)</f>
        <v>2520</v>
      </c>
      <c r="K139" s="40" t="s">
        <v>19</v>
      </c>
      <c r="L139" s="46">
        <v>1421.04</v>
      </c>
    </row>
    <row r="140" spans="1:13" x14ac:dyDescent="0.35">
      <c r="A140" s="40" t="str">
        <f t="shared" si="2"/>
        <v>JULYREV-34035/3</v>
      </c>
      <c r="B140" s="40">
        <v>69.5</v>
      </c>
      <c r="C140" s="45"/>
      <c r="D140" s="40">
        <v>972</v>
      </c>
      <c r="E140" s="45" t="s">
        <v>22</v>
      </c>
      <c r="F140" s="40">
        <v>972</v>
      </c>
      <c r="G140" s="45">
        <v>45868</v>
      </c>
      <c r="H140" s="50" t="s">
        <v>114</v>
      </c>
      <c r="I140" s="40" t="s">
        <v>115</v>
      </c>
      <c r="J140" s="40">
        <f>VLOOKUP(I140,[1]Vendors!$A:$B,2,FALSE)</f>
        <v>2520</v>
      </c>
      <c r="K140" s="40" t="s">
        <v>19</v>
      </c>
      <c r="M140" s="46">
        <v>1421.04</v>
      </c>
    </row>
    <row r="141" spans="1:13" x14ac:dyDescent="0.35">
      <c r="A141" s="40" t="str">
        <f t="shared" si="2"/>
        <v>JULYREV-36567/5</v>
      </c>
      <c r="B141" s="40">
        <v>70</v>
      </c>
      <c r="C141" s="45" t="s">
        <v>17</v>
      </c>
      <c r="D141" s="40">
        <v>950</v>
      </c>
      <c r="E141" s="45"/>
      <c r="F141" s="40" t="e">
        <v>#VALUE!</v>
      </c>
      <c r="G141" s="45">
        <v>45868</v>
      </c>
      <c r="H141" s="50" t="s">
        <v>116</v>
      </c>
      <c r="I141" s="40" t="s">
        <v>91</v>
      </c>
      <c r="J141" s="40">
        <f>VLOOKUP(I141,[1]Vendors!$A:$B,2,FALSE)</f>
        <v>649</v>
      </c>
      <c r="K141" s="40" t="s">
        <v>19</v>
      </c>
      <c r="L141" s="46">
        <v>1020</v>
      </c>
    </row>
    <row r="142" spans="1:13" x14ac:dyDescent="0.35">
      <c r="A142" s="40" t="str">
        <f t="shared" si="2"/>
        <v>JULYREV-36567/5</v>
      </c>
      <c r="B142" s="40">
        <v>70.5</v>
      </c>
      <c r="C142" s="45"/>
      <c r="D142" s="40">
        <v>972</v>
      </c>
      <c r="E142" s="45" t="s">
        <v>22</v>
      </c>
      <c r="F142" s="40">
        <v>972</v>
      </c>
      <c r="G142" s="45">
        <v>45868</v>
      </c>
      <c r="H142" s="50" t="s">
        <v>116</v>
      </c>
      <c r="I142" s="40" t="s">
        <v>91</v>
      </c>
      <c r="J142" s="40">
        <f>VLOOKUP(I142,[1]Vendors!$A:$B,2,FALSE)</f>
        <v>649</v>
      </c>
      <c r="K142" s="40" t="s">
        <v>19</v>
      </c>
      <c r="M142" s="46">
        <v>1020</v>
      </c>
    </row>
    <row r="143" spans="1:13" x14ac:dyDescent="0.35">
      <c r="A143" s="40" t="str">
        <f t="shared" si="2"/>
        <v>JULYREV-36568/2</v>
      </c>
      <c r="B143" s="40">
        <v>71</v>
      </c>
      <c r="C143" s="45" t="s">
        <v>17</v>
      </c>
      <c r="D143" s="40">
        <v>950</v>
      </c>
      <c r="E143" s="45"/>
      <c r="F143" s="40" t="e">
        <v>#VALUE!</v>
      </c>
      <c r="G143" s="45">
        <v>45868</v>
      </c>
      <c r="H143" s="50" t="s">
        <v>117</v>
      </c>
      <c r="I143" s="40" t="s">
        <v>91</v>
      </c>
      <c r="J143" s="40">
        <f>VLOOKUP(I143,[1]Vendors!$A:$B,2,FALSE)</f>
        <v>649</v>
      </c>
      <c r="K143" s="40" t="s">
        <v>19</v>
      </c>
      <c r="L143" s="46">
        <v>142.97999999999999</v>
      </c>
    </row>
    <row r="144" spans="1:13" x14ac:dyDescent="0.35">
      <c r="A144" s="40" t="str">
        <f t="shared" si="2"/>
        <v>JULYREV-36568/2</v>
      </c>
      <c r="B144" s="40">
        <v>71.5</v>
      </c>
      <c r="C144" s="45"/>
      <c r="D144" s="40">
        <v>972</v>
      </c>
      <c r="E144" s="45" t="s">
        <v>22</v>
      </c>
      <c r="F144" s="40">
        <v>972</v>
      </c>
      <c r="G144" s="45">
        <v>45868</v>
      </c>
      <c r="H144" s="50" t="s">
        <v>117</v>
      </c>
      <c r="I144" s="40" t="s">
        <v>91</v>
      </c>
      <c r="J144" s="40">
        <f>VLOOKUP(I144,[1]Vendors!$A:$B,2,FALSE)</f>
        <v>649</v>
      </c>
      <c r="K144" s="40" t="s">
        <v>19</v>
      </c>
      <c r="M144" s="46">
        <v>142.97999999999999</v>
      </c>
    </row>
    <row r="145" spans="1:13" x14ac:dyDescent="0.35">
      <c r="A145" s="40" t="str">
        <f t="shared" si="2"/>
        <v>JULYREV-36569/3</v>
      </c>
      <c r="B145" s="40">
        <v>72</v>
      </c>
      <c r="C145" s="45" t="s">
        <v>17</v>
      </c>
      <c r="D145" s="40">
        <v>950</v>
      </c>
      <c r="E145" s="45"/>
      <c r="F145" s="40" t="e">
        <v>#VALUE!</v>
      </c>
      <c r="G145" s="45">
        <v>45868</v>
      </c>
      <c r="H145" s="50" t="s">
        <v>118</v>
      </c>
      <c r="I145" s="40" t="s">
        <v>91</v>
      </c>
      <c r="J145" s="40">
        <f>VLOOKUP(I145,[1]Vendors!$A:$B,2,FALSE)</f>
        <v>649</v>
      </c>
      <c r="K145" s="40" t="s">
        <v>19</v>
      </c>
      <c r="L145" s="46">
        <v>14690.13</v>
      </c>
    </row>
    <row r="146" spans="1:13" x14ac:dyDescent="0.35">
      <c r="A146" s="40" t="str">
        <f t="shared" si="2"/>
        <v>JULYREV-36569/3</v>
      </c>
      <c r="B146" s="40">
        <v>72.5</v>
      </c>
      <c r="C146" s="45"/>
      <c r="D146" s="40">
        <v>972</v>
      </c>
      <c r="E146" s="45" t="s">
        <v>22</v>
      </c>
      <c r="F146" s="40">
        <v>972</v>
      </c>
      <c r="G146" s="45">
        <v>45868</v>
      </c>
      <c r="H146" s="50" t="s">
        <v>118</v>
      </c>
      <c r="I146" s="40" t="s">
        <v>91</v>
      </c>
      <c r="J146" s="40">
        <f>VLOOKUP(I146,[1]Vendors!$A:$B,2,FALSE)</f>
        <v>649</v>
      </c>
      <c r="K146" s="40" t="s">
        <v>19</v>
      </c>
      <c r="M146" s="46">
        <v>14690.13</v>
      </c>
    </row>
    <row r="147" spans="1:13" x14ac:dyDescent="0.35">
      <c r="A147" s="40" t="str">
        <f t="shared" si="2"/>
        <v>JULYREV-36570</v>
      </c>
      <c r="B147" s="40">
        <v>73</v>
      </c>
      <c r="C147" s="45" t="s">
        <v>17</v>
      </c>
      <c r="D147" s="40">
        <v>950</v>
      </c>
      <c r="E147" s="45"/>
      <c r="F147" s="40" t="e">
        <v>#VALUE!</v>
      </c>
      <c r="G147" s="45">
        <v>45868</v>
      </c>
      <c r="H147" s="50">
        <v>36570</v>
      </c>
      <c r="I147" s="40" t="s">
        <v>91</v>
      </c>
      <c r="J147" s="40">
        <f>VLOOKUP(I147,[1]Vendors!$A:$B,2,FALSE)</f>
        <v>649</v>
      </c>
      <c r="K147" s="40" t="s">
        <v>19</v>
      </c>
      <c r="L147" s="46">
        <v>32053.93</v>
      </c>
    </row>
    <row r="148" spans="1:13" x14ac:dyDescent="0.35">
      <c r="A148" s="40" t="str">
        <f t="shared" si="2"/>
        <v>JULYREV-36570</v>
      </c>
      <c r="B148" s="40">
        <v>73.5</v>
      </c>
      <c r="C148" s="45"/>
      <c r="D148" s="40">
        <v>972</v>
      </c>
      <c r="E148" s="45" t="s">
        <v>22</v>
      </c>
      <c r="F148" s="40">
        <v>972</v>
      </c>
      <c r="G148" s="45">
        <v>45868</v>
      </c>
      <c r="H148" s="50">
        <v>36570</v>
      </c>
      <c r="I148" s="40" t="s">
        <v>91</v>
      </c>
      <c r="J148" s="40">
        <f>VLOOKUP(I148,[1]Vendors!$A:$B,2,FALSE)</f>
        <v>649</v>
      </c>
      <c r="K148" s="40" t="s">
        <v>19</v>
      </c>
      <c r="M148" s="46">
        <v>32053.93</v>
      </c>
    </row>
    <row r="149" spans="1:13" x14ac:dyDescent="0.35">
      <c r="A149" s="40" t="str">
        <f t="shared" si="2"/>
        <v>JULYREV-36578/2</v>
      </c>
      <c r="B149" s="40">
        <v>74</v>
      </c>
      <c r="C149" s="45" t="s">
        <v>17</v>
      </c>
      <c r="D149" s="40">
        <v>950</v>
      </c>
      <c r="E149" s="45"/>
      <c r="F149" s="40" t="e">
        <v>#VALUE!</v>
      </c>
      <c r="G149" s="45">
        <v>45868</v>
      </c>
      <c r="H149" s="50" t="s">
        <v>119</v>
      </c>
      <c r="I149" s="40" t="s">
        <v>91</v>
      </c>
      <c r="J149" s="40">
        <f>VLOOKUP(I149,[1]Vendors!$A:$B,2,FALSE)</f>
        <v>649</v>
      </c>
      <c r="K149" s="40" t="s">
        <v>19</v>
      </c>
      <c r="L149" s="46">
        <v>4490.03</v>
      </c>
    </row>
    <row r="150" spans="1:13" x14ac:dyDescent="0.35">
      <c r="A150" s="40" t="str">
        <f t="shared" si="2"/>
        <v>JULYREV-36578/2</v>
      </c>
      <c r="B150" s="40">
        <v>74.5</v>
      </c>
      <c r="C150" s="45"/>
      <c r="D150" s="40">
        <v>972</v>
      </c>
      <c r="E150" s="45" t="s">
        <v>22</v>
      </c>
      <c r="F150" s="40">
        <v>972</v>
      </c>
      <c r="G150" s="45">
        <v>45868</v>
      </c>
      <c r="H150" s="50" t="s">
        <v>119</v>
      </c>
      <c r="I150" s="40" t="s">
        <v>91</v>
      </c>
      <c r="J150" s="40">
        <f>VLOOKUP(I150,[1]Vendors!$A:$B,2,FALSE)</f>
        <v>649</v>
      </c>
      <c r="K150" s="40" t="s">
        <v>19</v>
      </c>
      <c r="M150" s="46">
        <v>4490.03</v>
      </c>
    </row>
    <row r="151" spans="1:13" x14ac:dyDescent="0.35">
      <c r="A151" s="40" t="str">
        <f t="shared" si="2"/>
        <v>JULYREV-36580/3</v>
      </c>
      <c r="B151" s="40">
        <v>75</v>
      </c>
      <c r="C151" s="45" t="s">
        <v>17</v>
      </c>
      <c r="D151" s="40">
        <v>950</v>
      </c>
      <c r="E151" s="45"/>
      <c r="F151" s="40" t="e">
        <v>#VALUE!</v>
      </c>
      <c r="G151" s="45">
        <v>45868</v>
      </c>
      <c r="H151" s="50" t="s">
        <v>120</v>
      </c>
      <c r="I151" s="40" t="s">
        <v>91</v>
      </c>
      <c r="J151" s="40">
        <f>VLOOKUP(I151,[1]Vendors!$A:$B,2,FALSE)</f>
        <v>649</v>
      </c>
      <c r="K151" s="40" t="s">
        <v>19</v>
      </c>
      <c r="L151" s="46">
        <v>1557.68</v>
      </c>
    </row>
    <row r="152" spans="1:13" x14ac:dyDescent="0.35">
      <c r="A152" s="40" t="str">
        <f t="shared" si="2"/>
        <v>JULYREV-36580/3</v>
      </c>
      <c r="B152" s="40">
        <v>75.5</v>
      </c>
      <c r="C152" s="45"/>
      <c r="D152" s="40">
        <v>972</v>
      </c>
      <c r="E152" s="45" t="s">
        <v>22</v>
      </c>
      <c r="F152" s="40">
        <v>972</v>
      </c>
      <c r="G152" s="45">
        <v>45868</v>
      </c>
      <c r="H152" s="50" t="s">
        <v>120</v>
      </c>
      <c r="I152" s="40" t="s">
        <v>91</v>
      </c>
      <c r="J152" s="40">
        <f>VLOOKUP(I152,[1]Vendors!$A:$B,2,FALSE)</f>
        <v>649</v>
      </c>
      <c r="K152" s="40" t="s">
        <v>19</v>
      </c>
      <c r="M152" s="46">
        <v>1557.68</v>
      </c>
    </row>
    <row r="153" spans="1:13" x14ac:dyDescent="0.35">
      <c r="A153" s="40" t="str">
        <f t="shared" si="2"/>
        <v>JULYREV-36581</v>
      </c>
      <c r="B153" s="40">
        <v>76</v>
      </c>
      <c r="C153" s="45" t="s">
        <v>17</v>
      </c>
      <c r="D153" s="40">
        <v>950</v>
      </c>
      <c r="E153" s="45"/>
      <c r="F153" s="40" t="e">
        <v>#VALUE!</v>
      </c>
      <c r="G153" s="45">
        <v>45868</v>
      </c>
      <c r="H153" s="50">
        <v>36581</v>
      </c>
      <c r="I153" s="40" t="s">
        <v>91</v>
      </c>
      <c r="J153" s="40">
        <f>VLOOKUP(I153,[1]Vendors!$A:$B,2,FALSE)</f>
        <v>649</v>
      </c>
      <c r="K153" s="40" t="s">
        <v>19</v>
      </c>
      <c r="L153" s="46">
        <v>3054.2900000000004</v>
      </c>
    </row>
    <row r="154" spans="1:13" x14ac:dyDescent="0.35">
      <c r="A154" s="40" t="str">
        <f t="shared" si="2"/>
        <v>JULYREV-36581</v>
      </c>
      <c r="B154" s="40">
        <v>76.5</v>
      </c>
      <c r="C154" s="45"/>
      <c r="D154" s="40">
        <v>972</v>
      </c>
      <c r="E154" s="45" t="s">
        <v>22</v>
      </c>
      <c r="F154" s="40">
        <v>972</v>
      </c>
      <c r="G154" s="45">
        <v>45868</v>
      </c>
      <c r="H154" s="50">
        <v>36581</v>
      </c>
      <c r="I154" s="40" t="s">
        <v>91</v>
      </c>
      <c r="J154" s="40">
        <f>VLOOKUP(I154,[1]Vendors!$A:$B,2,FALSE)</f>
        <v>649</v>
      </c>
      <c r="K154" s="40" t="s">
        <v>19</v>
      </c>
      <c r="M154" s="46">
        <v>3054.2900000000004</v>
      </c>
    </row>
    <row r="155" spans="1:13" x14ac:dyDescent="0.35">
      <c r="A155" s="40" t="str">
        <f t="shared" si="2"/>
        <v>JULYREV-36583/5</v>
      </c>
      <c r="B155" s="40">
        <v>77</v>
      </c>
      <c r="C155" s="45" t="s">
        <v>17</v>
      </c>
      <c r="D155" s="40">
        <v>950</v>
      </c>
      <c r="E155" s="45"/>
      <c r="F155" s="40" t="e">
        <v>#VALUE!</v>
      </c>
      <c r="G155" s="45">
        <v>45868</v>
      </c>
      <c r="H155" s="50" t="s">
        <v>121</v>
      </c>
      <c r="I155" s="40" t="s">
        <v>91</v>
      </c>
      <c r="J155" s="40">
        <f>VLOOKUP(I155,[1]Vendors!$A:$B,2,FALSE)</f>
        <v>649</v>
      </c>
      <c r="K155" s="40" t="s">
        <v>19</v>
      </c>
      <c r="L155" s="46">
        <v>3844.7999999999997</v>
      </c>
    </row>
    <row r="156" spans="1:13" x14ac:dyDescent="0.35">
      <c r="A156" s="40" t="str">
        <f t="shared" si="2"/>
        <v>JULYREV-36583/5</v>
      </c>
      <c r="B156" s="40">
        <v>77.5</v>
      </c>
      <c r="C156" s="45"/>
      <c r="D156" s="40">
        <v>972</v>
      </c>
      <c r="E156" s="45" t="s">
        <v>22</v>
      </c>
      <c r="F156" s="40">
        <v>972</v>
      </c>
      <c r="G156" s="45">
        <v>45868</v>
      </c>
      <c r="H156" s="50" t="s">
        <v>121</v>
      </c>
      <c r="I156" s="40" t="s">
        <v>91</v>
      </c>
      <c r="J156" s="40">
        <f>VLOOKUP(I156,[1]Vendors!$A:$B,2,FALSE)</f>
        <v>649</v>
      </c>
      <c r="K156" s="40" t="s">
        <v>19</v>
      </c>
      <c r="M156" s="46">
        <v>3844.7999999999997</v>
      </c>
    </row>
    <row r="157" spans="1:13" x14ac:dyDescent="0.35">
      <c r="A157" s="40" t="str">
        <f t="shared" si="2"/>
        <v>JULYREV-37977/5</v>
      </c>
      <c r="B157" s="40">
        <v>78</v>
      </c>
      <c r="C157" s="45" t="s">
        <v>17</v>
      </c>
      <c r="D157" s="40">
        <v>950</v>
      </c>
      <c r="E157" s="45"/>
      <c r="F157" s="40" t="e">
        <v>#VALUE!</v>
      </c>
      <c r="G157" s="45">
        <v>45868</v>
      </c>
      <c r="H157" s="50" t="s">
        <v>122</v>
      </c>
      <c r="I157" s="40" t="s">
        <v>115</v>
      </c>
      <c r="J157" s="40">
        <f>VLOOKUP(I157,[1]Vendors!$A:$B,2,FALSE)</f>
        <v>2520</v>
      </c>
      <c r="K157" s="40" t="s">
        <v>19</v>
      </c>
      <c r="L157" s="46">
        <v>835.71</v>
      </c>
    </row>
    <row r="158" spans="1:13" x14ac:dyDescent="0.35">
      <c r="A158" s="40" t="str">
        <f t="shared" si="2"/>
        <v>JULYREV-37977/5</v>
      </c>
      <c r="B158" s="40">
        <v>78.5</v>
      </c>
      <c r="C158" s="45"/>
      <c r="D158" s="40">
        <v>972</v>
      </c>
      <c r="E158" s="45" t="s">
        <v>22</v>
      </c>
      <c r="F158" s="40">
        <v>972</v>
      </c>
      <c r="G158" s="45">
        <v>45868</v>
      </c>
      <c r="H158" s="50" t="s">
        <v>122</v>
      </c>
      <c r="I158" s="40" t="s">
        <v>115</v>
      </c>
      <c r="J158" s="40">
        <f>VLOOKUP(I158,[1]Vendors!$A:$B,2,FALSE)</f>
        <v>2520</v>
      </c>
      <c r="K158" s="40" t="s">
        <v>19</v>
      </c>
      <c r="M158" s="46">
        <v>835.71</v>
      </c>
    </row>
    <row r="159" spans="1:13" x14ac:dyDescent="0.35">
      <c r="A159" s="40" t="str">
        <f t="shared" si="2"/>
        <v>JULYREV-38235/5</v>
      </c>
      <c r="B159" s="40">
        <v>79</v>
      </c>
      <c r="C159" s="45" t="s">
        <v>17</v>
      </c>
      <c r="D159" s="40">
        <v>950</v>
      </c>
      <c r="E159" s="45"/>
      <c r="F159" s="40" t="e">
        <v>#VALUE!</v>
      </c>
      <c r="G159" s="45">
        <v>45868</v>
      </c>
      <c r="H159" s="50" t="s">
        <v>123</v>
      </c>
      <c r="I159" s="40" t="s">
        <v>64</v>
      </c>
      <c r="J159" s="40">
        <f>VLOOKUP(I159,[1]Vendors!$A:$B,2,FALSE)</f>
        <v>3338</v>
      </c>
      <c r="K159" s="40" t="s">
        <v>19</v>
      </c>
      <c r="L159" s="46">
        <v>30480.129999999997</v>
      </c>
    </row>
    <row r="160" spans="1:13" x14ac:dyDescent="0.35">
      <c r="A160" s="40" t="str">
        <f t="shared" si="2"/>
        <v>JULYREV-38235/5</v>
      </c>
      <c r="B160" s="40">
        <v>79.5</v>
      </c>
      <c r="C160" s="45"/>
      <c r="D160" s="40">
        <v>972</v>
      </c>
      <c r="E160" s="45" t="s">
        <v>22</v>
      </c>
      <c r="F160" s="40">
        <v>972</v>
      </c>
      <c r="G160" s="45">
        <v>45868</v>
      </c>
      <c r="H160" s="50" t="s">
        <v>123</v>
      </c>
      <c r="I160" s="40" t="s">
        <v>64</v>
      </c>
      <c r="J160" s="40">
        <f>VLOOKUP(I160,[1]Vendors!$A:$B,2,FALSE)</f>
        <v>3338</v>
      </c>
      <c r="K160" s="40" t="s">
        <v>19</v>
      </c>
      <c r="M160" s="46">
        <v>30480.129999999997</v>
      </c>
    </row>
    <row r="161" spans="1:13" x14ac:dyDescent="0.35">
      <c r="A161" s="40" t="str">
        <f t="shared" si="2"/>
        <v>JULYREV-35228/10</v>
      </c>
      <c r="B161" s="40">
        <v>80</v>
      </c>
      <c r="C161" s="45" t="s">
        <v>17</v>
      </c>
      <c r="D161" s="40">
        <v>950</v>
      </c>
      <c r="E161" s="45"/>
      <c r="F161" s="40" t="e">
        <v>#VALUE!</v>
      </c>
      <c r="G161" s="45">
        <v>45869</v>
      </c>
      <c r="H161" s="50" t="s">
        <v>124</v>
      </c>
      <c r="I161" s="40" t="s">
        <v>125</v>
      </c>
      <c r="J161" s="40">
        <f>VLOOKUP(I161,[1]Vendors!$A:$B,2,FALSE)</f>
        <v>3355</v>
      </c>
      <c r="K161" s="40" t="s">
        <v>19</v>
      </c>
      <c r="L161" s="46">
        <v>6224</v>
      </c>
    </row>
    <row r="162" spans="1:13" x14ac:dyDescent="0.35">
      <c r="A162" s="40" t="str">
        <f t="shared" si="2"/>
        <v>JULYREV-35228/10</v>
      </c>
      <c r="B162" s="40">
        <v>80.5</v>
      </c>
      <c r="C162" s="45"/>
      <c r="D162" s="40">
        <v>972</v>
      </c>
      <c r="E162" s="45" t="s">
        <v>22</v>
      </c>
      <c r="F162" s="40">
        <v>972</v>
      </c>
      <c r="G162" s="45">
        <v>45869</v>
      </c>
      <c r="H162" s="50" t="s">
        <v>124</v>
      </c>
      <c r="I162" s="40" t="s">
        <v>125</v>
      </c>
      <c r="J162" s="40">
        <f>VLOOKUP(I162,[1]Vendors!$A:$B,2,FALSE)</f>
        <v>3355</v>
      </c>
      <c r="K162" s="40" t="s">
        <v>19</v>
      </c>
      <c r="M162" s="46">
        <v>6224</v>
      </c>
    </row>
    <row r="163" spans="1:13" x14ac:dyDescent="0.35">
      <c r="A163" s="40" t="str">
        <f t="shared" si="2"/>
        <v>JULYREV-35801</v>
      </c>
      <c r="B163" s="40">
        <v>81</v>
      </c>
      <c r="C163" s="45" t="s">
        <v>17</v>
      </c>
      <c r="D163" s="40">
        <v>950</v>
      </c>
      <c r="E163" s="45"/>
      <c r="F163" s="40" t="e">
        <v>#VALUE!</v>
      </c>
      <c r="G163" s="45">
        <v>45869</v>
      </c>
      <c r="H163" s="50">
        <v>35801</v>
      </c>
      <c r="I163" s="40" t="s">
        <v>55</v>
      </c>
      <c r="J163" s="40">
        <f>VLOOKUP(I163,[1]Vendors!$A:$B,2,FALSE)</f>
        <v>3335</v>
      </c>
      <c r="K163" s="40" t="s">
        <v>19</v>
      </c>
      <c r="L163" s="46">
        <v>54642.01</v>
      </c>
    </row>
    <row r="164" spans="1:13" x14ac:dyDescent="0.35">
      <c r="A164" s="40" t="str">
        <f t="shared" si="2"/>
        <v>JULYREV-35801</v>
      </c>
      <c r="B164" s="40">
        <v>81.5</v>
      </c>
      <c r="C164" s="45"/>
      <c r="D164" s="40">
        <v>972</v>
      </c>
      <c r="E164" s="45" t="s">
        <v>22</v>
      </c>
      <c r="F164" s="40">
        <v>972</v>
      </c>
      <c r="G164" s="45">
        <v>45869</v>
      </c>
      <c r="H164" s="50">
        <v>35801</v>
      </c>
      <c r="I164" s="40" t="s">
        <v>55</v>
      </c>
      <c r="J164" s="40">
        <f>VLOOKUP(I164,[1]Vendors!$A:$B,2,FALSE)</f>
        <v>3335</v>
      </c>
      <c r="K164" s="40" t="s">
        <v>19</v>
      </c>
      <c r="M164" s="46">
        <v>54642.01</v>
      </c>
    </row>
    <row r="165" spans="1:13" x14ac:dyDescent="0.35">
      <c r="A165" s="40" t="str">
        <f t="shared" si="2"/>
        <v>JULYREV-35805</v>
      </c>
      <c r="B165" s="40">
        <v>82</v>
      </c>
      <c r="C165" s="45" t="s">
        <v>17</v>
      </c>
      <c r="D165" s="40">
        <v>950</v>
      </c>
      <c r="E165" s="45"/>
      <c r="F165" s="40" t="e">
        <v>#VALUE!</v>
      </c>
      <c r="G165" s="45">
        <v>45869</v>
      </c>
      <c r="H165" s="50">
        <v>35805</v>
      </c>
      <c r="I165" s="40" t="s">
        <v>55</v>
      </c>
      <c r="J165" s="40">
        <f>VLOOKUP(I165,[1]Vendors!$A:$B,2,FALSE)</f>
        <v>3335</v>
      </c>
      <c r="K165" s="40" t="s">
        <v>19</v>
      </c>
      <c r="L165" s="46">
        <v>66666.91</v>
      </c>
    </row>
    <row r="166" spans="1:13" x14ac:dyDescent="0.35">
      <c r="A166" s="40" t="str">
        <f t="shared" si="2"/>
        <v>JULYREV-35805</v>
      </c>
      <c r="B166" s="40">
        <v>82.5</v>
      </c>
      <c r="C166" s="45"/>
      <c r="D166" s="40">
        <v>972</v>
      </c>
      <c r="E166" s="45" t="s">
        <v>22</v>
      </c>
      <c r="F166" s="40">
        <v>972</v>
      </c>
      <c r="G166" s="45">
        <v>45869</v>
      </c>
      <c r="H166" s="50">
        <v>35805</v>
      </c>
      <c r="I166" s="40" t="s">
        <v>55</v>
      </c>
      <c r="J166" s="40">
        <f>VLOOKUP(I166,[1]Vendors!$A:$B,2,FALSE)</f>
        <v>3335</v>
      </c>
      <c r="K166" s="40" t="s">
        <v>19</v>
      </c>
      <c r="M166" s="46">
        <v>66666.91</v>
      </c>
    </row>
    <row r="167" spans="1:13" x14ac:dyDescent="0.35">
      <c r="A167" s="40" t="str">
        <f t="shared" si="2"/>
        <v>JULYREV-36579/3</v>
      </c>
      <c r="B167" s="40">
        <v>83</v>
      </c>
      <c r="C167" s="45" t="s">
        <v>17</v>
      </c>
      <c r="D167" s="40">
        <v>950</v>
      </c>
      <c r="E167" s="45"/>
      <c r="F167" s="40" t="e">
        <v>#VALUE!</v>
      </c>
      <c r="G167" s="45">
        <v>45869</v>
      </c>
      <c r="H167" s="50" t="s">
        <v>126</v>
      </c>
      <c r="I167" s="40" t="s">
        <v>91</v>
      </c>
      <c r="J167" s="40">
        <f>VLOOKUP(I167,[1]Vendors!$A:$B,2,FALSE)</f>
        <v>649</v>
      </c>
      <c r="K167" s="40" t="s">
        <v>19</v>
      </c>
      <c r="L167" s="46">
        <v>2467.5</v>
      </c>
    </row>
    <row r="168" spans="1:13" x14ac:dyDescent="0.35">
      <c r="A168" s="40" t="str">
        <f t="shared" si="2"/>
        <v>JULYREV-36579/3</v>
      </c>
      <c r="B168" s="40">
        <v>83.5</v>
      </c>
      <c r="C168" s="45"/>
      <c r="D168" s="40">
        <v>972</v>
      </c>
      <c r="E168" s="45" t="s">
        <v>22</v>
      </c>
      <c r="F168" s="40">
        <v>972</v>
      </c>
      <c r="G168" s="45">
        <v>45869</v>
      </c>
      <c r="H168" s="50" t="s">
        <v>126</v>
      </c>
      <c r="I168" s="40" t="s">
        <v>91</v>
      </c>
      <c r="J168" s="40">
        <f>VLOOKUP(I168,[1]Vendors!$A:$B,2,FALSE)</f>
        <v>649</v>
      </c>
      <c r="K168" s="40" t="s">
        <v>19</v>
      </c>
      <c r="M168" s="46">
        <v>2467.5</v>
      </c>
    </row>
    <row r="169" spans="1:13" x14ac:dyDescent="0.35">
      <c r="A169" s="40" t="str">
        <f t="shared" si="2"/>
        <v>JULYREV-36729</v>
      </c>
      <c r="B169" s="40">
        <v>84</v>
      </c>
      <c r="C169" s="45" t="s">
        <v>17</v>
      </c>
      <c r="D169" s="40">
        <v>950</v>
      </c>
      <c r="E169" s="45"/>
      <c r="F169" s="40" t="e">
        <v>#VALUE!</v>
      </c>
      <c r="G169" s="45">
        <v>45869</v>
      </c>
      <c r="H169" s="50">
        <v>36729</v>
      </c>
      <c r="I169" s="40" t="s">
        <v>57</v>
      </c>
      <c r="J169" s="40">
        <f>VLOOKUP(I169,[1]Vendors!$A:$B,2,FALSE)</f>
        <v>3330</v>
      </c>
      <c r="K169" s="40" t="s">
        <v>19</v>
      </c>
      <c r="L169" s="46">
        <v>2634.29</v>
      </c>
    </row>
    <row r="170" spans="1:13" x14ac:dyDescent="0.35">
      <c r="A170" s="40" t="str">
        <f t="shared" si="2"/>
        <v>JULYREV-36729</v>
      </c>
      <c r="B170" s="40">
        <v>84.5</v>
      </c>
      <c r="C170" s="45"/>
      <c r="D170" s="40">
        <v>972</v>
      </c>
      <c r="E170" s="45" t="s">
        <v>22</v>
      </c>
      <c r="F170" s="40">
        <v>972</v>
      </c>
      <c r="G170" s="45">
        <v>45869</v>
      </c>
      <c r="H170" s="50">
        <v>36729</v>
      </c>
      <c r="I170" s="40" t="s">
        <v>57</v>
      </c>
      <c r="J170" s="40">
        <f>VLOOKUP(I170,[1]Vendors!$A:$B,2,FALSE)</f>
        <v>3330</v>
      </c>
      <c r="K170" s="40" t="s">
        <v>19</v>
      </c>
      <c r="M170" s="46">
        <v>2634.29</v>
      </c>
    </row>
    <row r="171" spans="1:13" x14ac:dyDescent="0.35">
      <c r="A171" s="40" t="str">
        <f t="shared" si="2"/>
        <v>JULYREV-36758/3</v>
      </c>
      <c r="B171" s="40">
        <v>85</v>
      </c>
      <c r="C171" s="45" t="s">
        <v>17</v>
      </c>
      <c r="D171" s="40">
        <v>950</v>
      </c>
      <c r="E171" s="45"/>
      <c r="F171" s="40" t="e">
        <v>#VALUE!</v>
      </c>
      <c r="G171" s="45">
        <v>45869</v>
      </c>
      <c r="H171" s="50" t="s">
        <v>127</v>
      </c>
      <c r="I171" s="40" t="s">
        <v>128</v>
      </c>
      <c r="J171" s="40">
        <f>VLOOKUP(I171,[1]Vendors!$A:$B,2,FALSE)</f>
        <v>2442</v>
      </c>
      <c r="K171" s="40" t="s">
        <v>19</v>
      </c>
      <c r="L171" s="46">
        <v>661.82</v>
      </c>
    </row>
    <row r="172" spans="1:13" x14ac:dyDescent="0.35">
      <c r="A172" s="40" t="str">
        <f t="shared" si="2"/>
        <v>JULYREV-36758/3</v>
      </c>
      <c r="B172" s="40">
        <v>85.5</v>
      </c>
      <c r="C172" s="45"/>
      <c r="D172" s="40">
        <v>972</v>
      </c>
      <c r="E172" s="45" t="s">
        <v>22</v>
      </c>
      <c r="F172" s="40">
        <v>972</v>
      </c>
      <c r="G172" s="45">
        <v>45869</v>
      </c>
      <c r="H172" s="50" t="s">
        <v>127</v>
      </c>
      <c r="I172" s="40" t="s">
        <v>128</v>
      </c>
      <c r="J172" s="40">
        <f>VLOOKUP(I172,[1]Vendors!$A:$B,2,FALSE)</f>
        <v>2442</v>
      </c>
      <c r="K172" s="40" t="s">
        <v>19</v>
      </c>
      <c r="M172" s="46">
        <v>661.82</v>
      </c>
    </row>
    <row r="173" spans="1:13" x14ac:dyDescent="0.35">
      <c r="A173" s="40" t="str">
        <f t="shared" si="2"/>
        <v>JULYREV-36766/3</v>
      </c>
      <c r="B173" s="40">
        <v>86</v>
      </c>
      <c r="C173" s="45" t="s">
        <v>17</v>
      </c>
      <c r="D173" s="40">
        <v>950</v>
      </c>
      <c r="E173" s="45"/>
      <c r="F173" s="40" t="e">
        <v>#VALUE!</v>
      </c>
      <c r="G173" s="45">
        <v>45869</v>
      </c>
      <c r="H173" s="50" t="s">
        <v>129</v>
      </c>
      <c r="I173" s="40" t="s">
        <v>128</v>
      </c>
      <c r="J173" s="40">
        <f>VLOOKUP(I173,[1]Vendors!$A:$B,2,FALSE)</f>
        <v>2442</v>
      </c>
      <c r="K173" s="40" t="s">
        <v>19</v>
      </c>
      <c r="L173" s="46">
        <v>8545.64</v>
      </c>
    </row>
    <row r="174" spans="1:13" x14ac:dyDescent="0.35">
      <c r="A174" s="40" t="str">
        <f t="shared" si="2"/>
        <v>JULYREV-36766/3</v>
      </c>
      <c r="B174" s="40">
        <v>86.5</v>
      </c>
      <c r="C174" s="45"/>
      <c r="D174" s="40">
        <v>972</v>
      </c>
      <c r="E174" s="45" t="s">
        <v>22</v>
      </c>
      <c r="F174" s="40">
        <v>972</v>
      </c>
      <c r="G174" s="45">
        <v>45869</v>
      </c>
      <c r="H174" s="50" t="s">
        <v>129</v>
      </c>
      <c r="I174" s="40" t="s">
        <v>128</v>
      </c>
      <c r="J174" s="40">
        <f>VLOOKUP(I174,[1]Vendors!$A:$B,2,FALSE)</f>
        <v>2442</v>
      </c>
      <c r="K174" s="40" t="s">
        <v>19</v>
      </c>
      <c r="M174" s="46">
        <v>8545.64</v>
      </c>
    </row>
    <row r="175" spans="1:13" x14ac:dyDescent="0.35">
      <c r="A175" s="40" t="str">
        <f t="shared" si="2"/>
        <v>JULYREV-36920/4</v>
      </c>
      <c r="B175" s="40">
        <v>87</v>
      </c>
      <c r="C175" s="45" t="s">
        <v>17</v>
      </c>
      <c r="D175" s="40">
        <v>950</v>
      </c>
      <c r="E175" s="45"/>
      <c r="F175" s="40" t="e">
        <v>#VALUE!</v>
      </c>
      <c r="G175" s="45">
        <v>45869</v>
      </c>
      <c r="H175" s="50" t="s">
        <v>130</v>
      </c>
      <c r="I175" s="40" t="s">
        <v>131</v>
      </c>
      <c r="J175" s="40">
        <f>VLOOKUP(I175,[1]Vendors!$A:$B,2,FALSE)</f>
        <v>464</v>
      </c>
      <c r="K175" s="40" t="s">
        <v>19</v>
      </c>
      <c r="L175" s="46">
        <v>75546.240000000005</v>
      </c>
    </row>
    <row r="176" spans="1:13" x14ac:dyDescent="0.35">
      <c r="A176" s="40" t="str">
        <f t="shared" si="2"/>
        <v>JULYREV-36920/4</v>
      </c>
      <c r="B176" s="40">
        <v>87.5</v>
      </c>
      <c r="C176" s="45"/>
      <c r="D176" s="40">
        <v>972</v>
      </c>
      <c r="E176" s="45" t="s">
        <v>22</v>
      </c>
      <c r="F176" s="40">
        <v>972</v>
      </c>
      <c r="G176" s="45">
        <v>45869</v>
      </c>
      <c r="H176" s="50" t="s">
        <v>130</v>
      </c>
      <c r="I176" s="40" t="s">
        <v>131</v>
      </c>
      <c r="J176" s="40">
        <f>VLOOKUP(I176,[1]Vendors!$A:$B,2,FALSE)</f>
        <v>464</v>
      </c>
      <c r="K176" s="40" t="s">
        <v>19</v>
      </c>
      <c r="M176" s="46">
        <v>75546.240000000005</v>
      </c>
    </row>
    <row r="177" spans="1:13" x14ac:dyDescent="0.35">
      <c r="A177" s="40" t="str">
        <f t="shared" si="2"/>
        <v>JULYREV-37239</v>
      </c>
      <c r="B177" s="40">
        <v>88</v>
      </c>
      <c r="C177" s="45" t="s">
        <v>17</v>
      </c>
      <c r="D177" s="40">
        <v>950</v>
      </c>
      <c r="E177" s="45"/>
      <c r="F177" s="40" t="e">
        <v>#VALUE!</v>
      </c>
      <c r="G177" s="45">
        <v>45869</v>
      </c>
      <c r="H177" s="50">
        <v>37239</v>
      </c>
      <c r="I177" s="40" t="s">
        <v>55</v>
      </c>
      <c r="J177" s="40">
        <f>VLOOKUP(I177,[1]Vendors!$A:$B,2,FALSE)</f>
        <v>3335</v>
      </c>
      <c r="K177" s="40" t="s">
        <v>19</v>
      </c>
      <c r="L177" s="46">
        <v>0</v>
      </c>
    </row>
    <row r="178" spans="1:13" x14ac:dyDescent="0.35">
      <c r="A178" s="40" t="str">
        <f t="shared" si="2"/>
        <v>JULYREV-37239</v>
      </c>
      <c r="B178" s="40">
        <v>88.5</v>
      </c>
      <c r="C178" s="45"/>
      <c r="D178" s="40">
        <v>972</v>
      </c>
      <c r="E178" s="45" t="s">
        <v>22</v>
      </c>
      <c r="F178" s="40">
        <v>972</v>
      </c>
      <c r="G178" s="45">
        <v>45869</v>
      </c>
      <c r="H178" s="50">
        <v>37239</v>
      </c>
      <c r="I178" s="40" t="s">
        <v>55</v>
      </c>
      <c r="J178" s="40">
        <f>VLOOKUP(I178,[1]Vendors!$A:$B,2,FALSE)</f>
        <v>3335</v>
      </c>
      <c r="K178" s="40" t="s">
        <v>19</v>
      </c>
      <c r="M178" s="46">
        <v>0</v>
      </c>
    </row>
    <row r="179" spans="1:13" x14ac:dyDescent="0.35">
      <c r="A179" s="40" t="str">
        <f t="shared" si="2"/>
        <v>JULYREV-37283</v>
      </c>
      <c r="B179" s="40">
        <v>89</v>
      </c>
      <c r="C179" s="45" t="s">
        <v>17</v>
      </c>
      <c r="D179" s="40">
        <v>950</v>
      </c>
      <c r="E179" s="45"/>
      <c r="F179" s="40" t="e">
        <v>#VALUE!</v>
      </c>
      <c r="G179" s="45">
        <v>45869</v>
      </c>
      <c r="H179" s="50">
        <v>37283</v>
      </c>
      <c r="I179" s="40" t="s">
        <v>128</v>
      </c>
      <c r="J179" s="40">
        <f>VLOOKUP(I179,[1]Vendors!$A:$B,2,FALSE)</f>
        <v>2442</v>
      </c>
      <c r="K179" s="40" t="s">
        <v>19</v>
      </c>
      <c r="L179" s="46">
        <v>0</v>
      </c>
    </row>
    <row r="180" spans="1:13" x14ac:dyDescent="0.35">
      <c r="A180" s="40" t="str">
        <f t="shared" si="2"/>
        <v>JULYREV-37283</v>
      </c>
      <c r="B180" s="40">
        <v>89.5</v>
      </c>
      <c r="C180" s="45"/>
      <c r="D180" s="40">
        <v>972</v>
      </c>
      <c r="E180" s="45" t="s">
        <v>22</v>
      </c>
      <c r="F180" s="40">
        <v>972</v>
      </c>
      <c r="G180" s="45">
        <v>45869</v>
      </c>
      <c r="H180" s="50">
        <v>37283</v>
      </c>
      <c r="I180" s="40" t="s">
        <v>128</v>
      </c>
      <c r="J180" s="40">
        <f>VLOOKUP(I180,[1]Vendors!$A:$B,2,FALSE)</f>
        <v>2442</v>
      </c>
      <c r="K180" s="40" t="s">
        <v>19</v>
      </c>
      <c r="M180" s="46">
        <v>0</v>
      </c>
    </row>
    <row r="181" spans="1:13" x14ac:dyDescent="0.35">
      <c r="A181" s="40" t="str">
        <f t="shared" si="2"/>
        <v>JULYREV-37369</v>
      </c>
      <c r="B181" s="40">
        <v>90</v>
      </c>
      <c r="C181" s="45" t="s">
        <v>17</v>
      </c>
      <c r="D181" s="40">
        <v>950</v>
      </c>
      <c r="E181" s="45"/>
      <c r="F181" s="40" t="e">
        <v>#VALUE!</v>
      </c>
      <c r="G181" s="45">
        <v>45869</v>
      </c>
      <c r="H181" s="50">
        <v>37369</v>
      </c>
      <c r="I181" s="40" t="s">
        <v>132</v>
      </c>
      <c r="J181" s="40">
        <f>VLOOKUP(I181,[1]Vendors!$A:$B,2,FALSE)</f>
        <v>2601</v>
      </c>
      <c r="K181" s="40" t="s">
        <v>19</v>
      </c>
      <c r="L181" s="46">
        <v>527.91999999999996</v>
      </c>
    </row>
    <row r="182" spans="1:13" x14ac:dyDescent="0.35">
      <c r="A182" s="40" t="str">
        <f t="shared" si="2"/>
        <v>JULYREV-37369</v>
      </c>
      <c r="B182" s="40">
        <v>90.5</v>
      </c>
      <c r="C182" s="45"/>
      <c r="D182" s="40">
        <v>972</v>
      </c>
      <c r="E182" s="45" t="s">
        <v>22</v>
      </c>
      <c r="F182" s="40">
        <v>972</v>
      </c>
      <c r="G182" s="45">
        <v>45869</v>
      </c>
      <c r="H182" s="50">
        <v>37369</v>
      </c>
      <c r="I182" s="40" t="s">
        <v>132</v>
      </c>
      <c r="J182" s="40">
        <f>VLOOKUP(I182,[1]Vendors!$A:$B,2,FALSE)</f>
        <v>2601</v>
      </c>
      <c r="K182" s="40" t="s">
        <v>19</v>
      </c>
      <c r="M182" s="46">
        <v>527.91999999999996</v>
      </c>
    </row>
    <row r="183" spans="1:13" x14ac:dyDescent="0.35">
      <c r="A183" s="40" t="str">
        <f t="shared" si="2"/>
        <v>JULYREV-37412/4</v>
      </c>
      <c r="B183" s="40">
        <v>91</v>
      </c>
      <c r="C183" s="45" t="s">
        <v>17</v>
      </c>
      <c r="D183" s="40">
        <v>950</v>
      </c>
      <c r="E183" s="45"/>
      <c r="F183" s="40" t="e">
        <v>#VALUE!</v>
      </c>
      <c r="G183" s="45">
        <v>45869</v>
      </c>
      <c r="H183" s="50" t="s">
        <v>133</v>
      </c>
      <c r="I183" s="40" t="s">
        <v>134</v>
      </c>
      <c r="J183" s="40">
        <f>VLOOKUP(I183,[1]Vendors!$A:$B,2,FALSE)</f>
        <v>3314</v>
      </c>
      <c r="K183" s="40" t="s">
        <v>19</v>
      </c>
      <c r="L183" s="46">
        <v>0</v>
      </c>
    </row>
    <row r="184" spans="1:13" x14ac:dyDescent="0.35">
      <c r="A184" s="40" t="str">
        <f t="shared" si="2"/>
        <v>JULYREV-37412/4</v>
      </c>
      <c r="B184" s="40">
        <v>91.5</v>
      </c>
      <c r="C184" s="45"/>
      <c r="D184" s="40">
        <v>972</v>
      </c>
      <c r="E184" s="45" t="s">
        <v>22</v>
      </c>
      <c r="F184" s="40">
        <v>972</v>
      </c>
      <c r="G184" s="45">
        <v>45869</v>
      </c>
      <c r="H184" s="50" t="s">
        <v>133</v>
      </c>
      <c r="I184" s="40" t="s">
        <v>134</v>
      </c>
      <c r="J184" s="40">
        <f>VLOOKUP(I184,[1]Vendors!$A:$B,2,FALSE)</f>
        <v>3314</v>
      </c>
      <c r="K184" s="40" t="s">
        <v>19</v>
      </c>
      <c r="M184" s="46">
        <v>0</v>
      </c>
    </row>
    <row r="185" spans="1:13" x14ac:dyDescent="0.35">
      <c r="A185" s="40" t="str">
        <f t="shared" si="2"/>
        <v>JULYREV-37682</v>
      </c>
      <c r="B185" s="40">
        <v>92</v>
      </c>
      <c r="C185" s="45" t="s">
        <v>17</v>
      </c>
      <c r="D185" s="40">
        <v>950</v>
      </c>
      <c r="E185" s="45"/>
      <c r="F185" s="40" t="e">
        <v>#VALUE!</v>
      </c>
      <c r="G185" s="45">
        <v>45869</v>
      </c>
      <c r="H185" s="50">
        <v>37682</v>
      </c>
      <c r="I185" s="40" t="s">
        <v>75</v>
      </c>
      <c r="J185" s="40">
        <f>VLOOKUP(I185,[1]Vendors!$A:$B,2,FALSE)</f>
        <v>3320</v>
      </c>
      <c r="K185" s="40" t="s">
        <v>19</v>
      </c>
      <c r="L185" s="46">
        <v>50982.97</v>
      </c>
    </row>
    <row r="186" spans="1:13" x14ac:dyDescent="0.35">
      <c r="A186" s="40" t="str">
        <f t="shared" si="2"/>
        <v>JULYREV-37682</v>
      </c>
      <c r="B186" s="40">
        <v>92.5</v>
      </c>
      <c r="C186" s="45"/>
      <c r="D186" s="40">
        <v>972</v>
      </c>
      <c r="E186" s="45" t="s">
        <v>22</v>
      </c>
      <c r="F186" s="40">
        <v>972</v>
      </c>
      <c r="G186" s="45">
        <v>45869</v>
      </c>
      <c r="H186" s="50">
        <v>37682</v>
      </c>
      <c r="I186" s="40" t="s">
        <v>75</v>
      </c>
      <c r="J186" s="40">
        <f>VLOOKUP(I186,[1]Vendors!$A:$B,2,FALSE)</f>
        <v>3320</v>
      </c>
      <c r="K186" s="40" t="s">
        <v>19</v>
      </c>
      <c r="M186" s="46">
        <v>50982.97</v>
      </c>
    </row>
    <row r="187" spans="1:13" x14ac:dyDescent="0.35">
      <c r="A187" s="40" t="str">
        <f t="shared" si="2"/>
        <v>JULYREV-37759/4</v>
      </c>
      <c r="B187" s="40">
        <v>93</v>
      </c>
      <c r="C187" s="45" t="s">
        <v>17</v>
      </c>
      <c r="D187" s="40">
        <v>950</v>
      </c>
      <c r="E187" s="45"/>
      <c r="F187" s="40" t="e">
        <v>#VALUE!</v>
      </c>
      <c r="G187" s="45">
        <v>45869</v>
      </c>
      <c r="H187" s="50" t="s">
        <v>135</v>
      </c>
      <c r="I187" s="40" t="s">
        <v>57</v>
      </c>
      <c r="J187" s="40">
        <f>VLOOKUP(I187,[1]Vendors!$A:$B,2,FALSE)</f>
        <v>3330</v>
      </c>
      <c r="K187" s="40" t="s">
        <v>19</v>
      </c>
      <c r="L187" s="46">
        <v>0</v>
      </c>
    </row>
    <row r="188" spans="1:13" x14ac:dyDescent="0.35">
      <c r="A188" s="40" t="str">
        <f t="shared" si="2"/>
        <v>JULYREV-37759/4</v>
      </c>
      <c r="B188" s="40">
        <v>93.5</v>
      </c>
      <c r="C188" s="45"/>
      <c r="D188" s="40">
        <v>972</v>
      </c>
      <c r="E188" s="45" t="s">
        <v>22</v>
      </c>
      <c r="F188" s="40">
        <v>972</v>
      </c>
      <c r="G188" s="45">
        <v>45869</v>
      </c>
      <c r="H188" s="50" t="s">
        <v>135</v>
      </c>
      <c r="I188" s="40" t="s">
        <v>57</v>
      </c>
      <c r="J188" s="40">
        <f>VLOOKUP(I188,[1]Vendors!$A:$B,2,FALSE)</f>
        <v>3330</v>
      </c>
      <c r="K188" s="40" t="s">
        <v>19</v>
      </c>
      <c r="M188" s="46">
        <v>0</v>
      </c>
    </row>
    <row r="189" spans="1:13" x14ac:dyDescent="0.35">
      <c r="A189" s="40" t="str">
        <f t="shared" si="2"/>
        <v>JULYREV-38357/2</v>
      </c>
      <c r="B189" s="40">
        <v>94</v>
      </c>
      <c r="C189" s="45" t="s">
        <v>17</v>
      </c>
      <c r="D189" s="40">
        <v>950</v>
      </c>
      <c r="E189" s="45"/>
      <c r="F189" s="40" t="e">
        <v>#VALUE!</v>
      </c>
      <c r="G189" s="45">
        <v>45869</v>
      </c>
      <c r="H189" s="50" t="s">
        <v>136</v>
      </c>
      <c r="I189" s="40" t="s">
        <v>137</v>
      </c>
      <c r="J189" s="40">
        <f>VLOOKUP(I189,[1]Vendors!$A:$B,2,FALSE)</f>
        <v>3318</v>
      </c>
      <c r="K189" s="40" t="s">
        <v>19</v>
      </c>
      <c r="L189" s="46">
        <v>82308.680000000008</v>
      </c>
    </row>
    <row r="190" spans="1:13" x14ac:dyDescent="0.35">
      <c r="A190" s="40" t="str">
        <f t="shared" si="2"/>
        <v>JULYREV-38357/2</v>
      </c>
      <c r="B190" s="40">
        <v>94.5</v>
      </c>
      <c r="C190" s="45"/>
      <c r="D190" s="40">
        <v>972</v>
      </c>
      <c r="E190" s="45" t="s">
        <v>22</v>
      </c>
      <c r="F190" s="40">
        <v>972</v>
      </c>
      <c r="G190" s="45">
        <v>45869</v>
      </c>
      <c r="H190" s="50" t="s">
        <v>136</v>
      </c>
      <c r="I190" s="40" t="s">
        <v>137</v>
      </c>
      <c r="J190" s="40">
        <f>VLOOKUP(I190,[1]Vendors!$A:$B,2,FALSE)</f>
        <v>3318</v>
      </c>
      <c r="K190" s="40" t="s">
        <v>19</v>
      </c>
      <c r="M190" s="46">
        <v>82308.680000000008</v>
      </c>
    </row>
    <row r="191" spans="1:13" x14ac:dyDescent="0.35">
      <c r="A191" s="40" t="str">
        <f t="shared" si="2"/>
        <v>JULYREV-38361/2</v>
      </c>
      <c r="B191" s="40">
        <v>95</v>
      </c>
      <c r="C191" s="45" t="s">
        <v>17</v>
      </c>
      <c r="D191" s="40">
        <v>950</v>
      </c>
      <c r="E191" s="45"/>
      <c r="F191" s="40" t="e">
        <v>#VALUE!</v>
      </c>
      <c r="G191" s="45">
        <v>45869</v>
      </c>
      <c r="H191" s="50" t="s">
        <v>138</v>
      </c>
      <c r="I191" s="40" t="s">
        <v>137</v>
      </c>
      <c r="J191" s="40">
        <f>VLOOKUP(I191,[1]Vendors!$A:$B,2,FALSE)</f>
        <v>3318</v>
      </c>
      <c r="K191" s="40" t="s">
        <v>19</v>
      </c>
      <c r="L191" s="46">
        <v>1444188.4900000002</v>
      </c>
    </row>
    <row r="192" spans="1:13" x14ac:dyDescent="0.35">
      <c r="A192" s="40" t="str">
        <f t="shared" si="2"/>
        <v>JULYREV-38361/2</v>
      </c>
      <c r="B192" s="40">
        <v>95.5</v>
      </c>
      <c r="C192" s="45"/>
      <c r="D192" s="40">
        <v>972</v>
      </c>
      <c r="E192" s="45" t="s">
        <v>22</v>
      </c>
      <c r="F192" s="40">
        <v>972</v>
      </c>
      <c r="G192" s="45">
        <v>45869</v>
      </c>
      <c r="H192" s="50" t="s">
        <v>138</v>
      </c>
      <c r="I192" s="40" t="s">
        <v>137</v>
      </c>
      <c r="J192" s="40">
        <f>VLOOKUP(I192,[1]Vendors!$A:$B,2,FALSE)</f>
        <v>3318</v>
      </c>
      <c r="K192" s="40" t="s">
        <v>19</v>
      </c>
      <c r="M192" s="46">
        <v>1444188.4900000002</v>
      </c>
    </row>
    <row r="193" spans="1:13" x14ac:dyDescent="0.35">
      <c r="A193" s="40" t="str">
        <f t="shared" si="2"/>
        <v>JULYREV-38362</v>
      </c>
      <c r="B193" s="40">
        <v>96</v>
      </c>
      <c r="C193" s="45" t="s">
        <v>17</v>
      </c>
      <c r="D193" s="40">
        <v>950</v>
      </c>
      <c r="E193" s="45"/>
      <c r="F193" s="40" t="e">
        <v>#VALUE!</v>
      </c>
      <c r="G193" s="45">
        <v>45869</v>
      </c>
      <c r="H193" s="50">
        <v>38362</v>
      </c>
      <c r="I193" s="40" t="s">
        <v>137</v>
      </c>
      <c r="J193" s="40">
        <f>VLOOKUP(I193,[1]Vendors!$A:$B,2,FALSE)</f>
        <v>3318</v>
      </c>
      <c r="K193" s="40" t="s">
        <v>19</v>
      </c>
      <c r="L193" s="46">
        <v>184356.52</v>
      </c>
    </row>
    <row r="194" spans="1:13" x14ac:dyDescent="0.35">
      <c r="A194" s="40" t="str">
        <f t="shared" si="2"/>
        <v>JULYREV-38362</v>
      </c>
      <c r="B194" s="40">
        <v>96.5</v>
      </c>
      <c r="C194" s="45"/>
      <c r="D194" s="40">
        <v>972</v>
      </c>
      <c r="E194" s="45" t="s">
        <v>22</v>
      </c>
      <c r="F194" s="40">
        <v>972</v>
      </c>
      <c r="G194" s="45">
        <v>45869</v>
      </c>
      <c r="H194" s="50">
        <v>38362</v>
      </c>
      <c r="I194" s="40" t="s">
        <v>137</v>
      </c>
      <c r="J194" s="40">
        <f>VLOOKUP(I194,[1]Vendors!$A:$B,2,FALSE)</f>
        <v>3318</v>
      </c>
      <c r="K194" s="40" t="s">
        <v>19</v>
      </c>
      <c r="M194" s="46">
        <v>184356.52</v>
      </c>
    </row>
    <row r="195" spans="1:13" x14ac:dyDescent="0.35">
      <c r="A195" s="40" t="str">
        <f t="shared" si="2"/>
        <v>JULYREV-38362/2</v>
      </c>
      <c r="B195" s="40">
        <v>97</v>
      </c>
      <c r="C195" s="45" t="s">
        <v>17</v>
      </c>
      <c r="D195" s="40">
        <v>950</v>
      </c>
      <c r="E195" s="45"/>
      <c r="F195" s="40" t="e">
        <v>#VALUE!</v>
      </c>
      <c r="G195" s="45">
        <v>45869</v>
      </c>
      <c r="H195" s="50" t="s">
        <v>139</v>
      </c>
      <c r="I195" s="40" t="s">
        <v>137</v>
      </c>
      <c r="J195" s="40">
        <f>VLOOKUP(I195,[1]Vendors!$A:$B,2,FALSE)</f>
        <v>3318</v>
      </c>
      <c r="K195" s="40" t="s">
        <v>19</v>
      </c>
      <c r="L195" s="46">
        <v>65372.56</v>
      </c>
    </row>
    <row r="196" spans="1:13" x14ac:dyDescent="0.35">
      <c r="A196" s="40" t="str">
        <f t="shared" ref="A196:A259" si="3">CONCATENATE("JULYREV","-",H196)</f>
        <v>JULYREV-38362/2</v>
      </c>
      <c r="B196" s="40">
        <v>97.5</v>
      </c>
      <c r="C196" s="45"/>
      <c r="D196" s="40">
        <v>972</v>
      </c>
      <c r="E196" s="45" t="s">
        <v>22</v>
      </c>
      <c r="F196" s="40">
        <v>972</v>
      </c>
      <c r="G196" s="45">
        <v>45869</v>
      </c>
      <c r="H196" s="50" t="s">
        <v>139</v>
      </c>
      <c r="I196" s="40" t="s">
        <v>137</v>
      </c>
      <c r="J196" s="40">
        <f>VLOOKUP(I196,[1]Vendors!$A:$B,2,FALSE)</f>
        <v>3318</v>
      </c>
      <c r="K196" s="40" t="s">
        <v>19</v>
      </c>
      <c r="M196" s="46">
        <v>65372.56</v>
      </c>
    </row>
    <row r="197" spans="1:13" x14ac:dyDescent="0.35">
      <c r="A197" s="40" t="str">
        <f t="shared" si="3"/>
        <v>JULYREV-38363/2</v>
      </c>
      <c r="B197" s="40">
        <v>98</v>
      </c>
      <c r="C197" s="45" t="s">
        <v>17</v>
      </c>
      <c r="D197" s="40">
        <v>950</v>
      </c>
      <c r="E197" s="45"/>
      <c r="F197" s="40" t="e">
        <v>#VALUE!</v>
      </c>
      <c r="G197" s="45">
        <v>45869</v>
      </c>
      <c r="H197" s="50" t="s">
        <v>140</v>
      </c>
      <c r="I197" s="40" t="s">
        <v>137</v>
      </c>
      <c r="J197" s="40">
        <f>VLOOKUP(I197,[1]Vendors!$A:$B,2,FALSE)</f>
        <v>3318</v>
      </c>
      <c r="K197" s="40" t="s">
        <v>19</v>
      </c>
      <c r="L197" s="46">
        <v>88431.1</v>
      </c>
    </row>
    <row r="198" spans="1:13" x14ac:dyDescent="0.35">
      <c r="A198" s="40" t="str">
        <f t="shared" si="3"/>
        <v>JULYREV-38363/2</v>
      </c>
      <c r="B198" s="40">
        <v>98.5</v>
      </c>
      <c r="C198" s="45"/>
      <c r="D198" s="40">
        <v>972</v>
      </c>
      <c r="E198" s="45" t="s">
        <v>22</v>
      </c>
      <c r="F198" s="40">
        <v>972</v>
      </c>
      <c r="G198" s="45">
        <v>45869</v>
      </c>
      <c r="H198" s="50" t="s">
        <v>140</v>
      </c>
      <c r="I198" s="40" t="s">
        <v>137</v>
      </c>
      <c r="J198" s="40">
        <f>VLOOKUP(I198,[1]Vendors!$A:$B,2,FALSE)</f>
        <v>3318</v>
      </c>
      <c r="K198" s="40" t="s">
        <v>19</v>
      </c>
      <c r="M198" s="46">
        <v>88431.1</v>
      </c>
    </row>
    <row r="199" spans="1:13" x14ac:dyDescent="0.35">
      <c r="A199" s="40" t="str">
        <f t="shared" si="3"/>
        <v>JULYREV-38365/8</v>
      </c>
      <c r="B199" s="40">
        <v>99</v>
      </c>
      <c r="C199" s="45" t="s">
        <v>17</v>
      </c>
      <c r="D199" s="40">
        <v>950</v>
      </c>
      <c r="E199" s="45"/>
      <c r="F199" s="40" t="e">
        <v>#VALUE!</v>
      </c>
      <c r="G199" s="45">
        <v>45869</v>
      </c>
      <c r="H199" s="50" t="s">
        <v>141</v>
      </c>
      <c r="I199" s="40" t="s">
        <v>137</v>
      </c>
      <c r="J199" s="40">
        <f>VLOOKUP(I199,[1]Vendors!$A:$B,2,FALSE)</f>
        <v>3318</v>
      </c>
      <c r="K199" s="40" t="s">
        <v>19</v>
      </c>
      <c r="L199" s="46">
        <v>0</v>
      </c>
    </row>
    <row r="200" spans="1:13" x14ac:dyDescent="0.35">
      <c r="A200" s="40" t="str">
        <f t="shared" si="3"/>
        <v>JULYREV-38365/8</v>
      </c>
      <c r="B200" s="40">
        <v>99.5</v>
      </c>
      <c r="C200" s="45"/>
      <c r="D200" s="40">
        <v>972</v>
      </c>
      <c r="E200" s="45" t="s">
        <v>22</v>
      </c>
      <c r="F200" s="40">
        <v>972</v>
      </c>
      <c r="G200" s="45">
        <v>45869</v>
      </c>
      <c r="H200" s="50" t="s">
        <v>141</v>
      </c>
      <c r="I200" s="40" t="s">
        <v>137</v>
      </c>
      <c r="J200" s="40">
        <f>VLOOKUP(I200,[1]Vendors!$A:$B,2,FALSE)</f>
        <v>3318</v>
      </c>
      <c r="K200" s="40" t="s">
        <v>19</v>
      </c>
      <c r="M200" s="46">
        <v>0</v>
      </c>
    </row>
    <row r="201" spans="1:13" x14ac:dyDescent="0.35">
      <c r="A201" s="40" t="str">
        <f t="shared" si="3"/>
        <v>JULYREV-38368/3</v>
      </c>
      <c r="B201" s="40">
        <v>100</v>
      </c>
      <c r="C201" s="45" t="s">
        <v>17</v>
      </c>
      <c r="D201" s="40">
        <v>950</v>
      </c>
      <c r="E201" s="45"/>
      <c r="F201" s="40" t="e">
        <v>#VALUE!</v>
      </c>
      <c r="G201" s="45">
        <v>45869</v>
      </c>
      <c r="H201" s="50" t="s">
        <v>142</v>
      </c>
      <c r="I201" s="40" t="s">
        <v>137</v>
      </c>
      <c r="J201" s="40">
        <f>VLOOKUP(I201,[1]Vendors!$A:$B,2,FALSE)</f>
        <v>3318</v>
      </c>
      <c r="K201" s="40" t="s">
        <v>19</v>
      </c>
      <c r="L201" s="46">
        <v>44144.76</v>
      </c>
    </row>
    <row r="202" spans="1:13" x14ac:dyDescent="0.35">
      <c r="A202" s="40" t="str">
        <f t="shared" si="3"/>
        <v>JULYREV-38368/3</v>
      </c>
      <c r="B202" s="40">
        <v>100.5</v>
      </c>
      <c r="C202" s="45"/>
      <c r="D202" s="40">
        <v>972</v>
      </c>
      <c r="E202" s="45" t="s">
        <v>22</v>
      </c>
      <c r="F202" s="40">
        <v>972</v>
      </c>
      <c r="G202" s="45">
        <v>45869</v>
      </c>
      <c r="H202" s="50" t="s">
        <v>142</v>
      </c>
      <c r="I202" s="40" t="s">
        <v>137</v>
      </c>
      <c r="J202" s="40">
        <f>VLOOKUP(I202,[1]Vendors!$A:$B,2,FALSE)</f>
        <v>3318</v>
      </c>
      <c r="K202" s="40" t="s">
        <v>19</v>
      </c>
      <c r="M202" s="46">
        <v>44144.76</v>
      </c>
    </row>
    <row r="203" spans="1:13" x14ac:dyDescent="0.35">
      <c r="A203" s="40" t="str">
        <f t="shared" si="3"/>
        <v>JULYREV-38384</v>
      </c>
      <c r="B203" s="40">
        <v>101</v>
      </c>
      <c r="C203" s="45" t="s">
        <v>17</v>
      </c>
      <c r="D203" s="40">
        <v>950</v>
      </c>
      <c r="E203" s="45"/>
      <c r="F203" s="40" t="e">
        <v>#VALUE!</v>
      </c>
      <c r="G203" s="45">
        <v>45869</v>
      </c>
      <c r="H203" s="50">
        <v>38384</v>
      </c>
      <c r="I203" s="40" t="s">
        <v>66</v>
      </c>
      <c r="J203" s="40">
        <f>VLOOKUP(I203,[1]Vendors!$A:$B,2,FALSE)</f>
        <v>1548</v>
      </c>
      <c r="K203" s="40" t="s">
        <v>19</v>
      </c>
      <c r="L203" s="46">
        <v>11929.05</v>
      </c>
    </row>
    <row r="204" spans="1:13" x14ac:dyDescent="0.35">
      <c r="A204" s="40" t="str">
        <f t="shared" si="3"/>
        <v>JULYREV-38384</v>
      </c>
      <c r="B204" s="40">
        <v>101.5</v>
      </c>
      <c r="C204" s="45"/>
      <c r="D204" s="40">
        <v>972</v>
      </c>
      <c r="E204" s="45" t="s">
        <v>22</v>
      </c>
      <c r="F204" s="40">
        <v>972</v>
      </c>
      <c r="G204" s="45">
        <v>45869</v>
      </c>
      <c r="H204" s="50">
        <v>38384</v>
      </c>
      <c r="I204" s="40" t="s">
        <v>66</v>
      </c>
      <c r="J204" s="40">
        <f>VLOOKUP(I204,[1]Vendors!$A:$B,2,FALSE)</f>
        <v>1548</v>
      </c>
      <c r="K204" s="40" t="s">
        <v>19</v>
      </c>
      <c r="M204" s="46">
        <v>11929.05</v>
      </c>
    </row>
    <row r="205" spans="1:13" x14ac:dyDescent="0.35">
      <c r="A205" s="40" t="str">
        <f t="shared" si="3"/>
        <v>JULYREV-38386/5</v>
      </c>
      <c r="B205" s="40">
        <v>102</v>
      </c>
      <c r="C205" s="45" t="s">
        <v>17</v>
      </c>
      <c r="D205" s="40">
        <v>950</v>
      </c>
      <c r="E205" s="45"/>
      <c r="F205" s="40" t="e">
        <v>#VALUE!</v>
      </c>
      <c r="G205" s="45">
        <v>45869</v>
      </c>
      <c r="H205" s="50" t="s">
        <v>143</v>
      </c>
      <c r="I205" s="40" t="s">
        <v>66</v>
      </c>
      <c r="J205" s="40">
        <f>VLOOKUP(I205,[1]Vendors!$A:$B,2,FALSE)</f>
        <v>1548</v>
      </c>
      <c r="K205" s="40" t="s">
        <v>19</v>
      </c>
      <c r="L205" s="46">
        <v>19733.669999999998</v>
      </c>
    </row>
    <row r="206" spans="1:13" x14ac:dyDescent="0.35">
      <c r="A206" s="40" t="str">
        <f t="shared" si="3"/>
        <v>JULYREV-38386/5</v>
      </c>
      <c r="B206" s="40">
        <v>102.5</v>
      </c>
      <c r="C206" s="45"/>
      <c r="D206" s="40">
        <v>972</v>
      </c>
      <c r="E206" s="45" t="s">
        <v>22</v>
      </c>
      <c r="F206" s="40">
        <v>972</v>
      </c>
      <c r="G206" s="45">
        <v>45869</v>
      </c>
      <c r="H206" s="50" t="s">
        <v>143</v>
      </c>
      <c r="I206" s="40" t="s">
        <v>66</v>
      </c>
      <c r="J206" s="40">
        <f>VLOOKUP(I206,[1]Vendors!$A:$B,2,FALSE)</f>
        <v>1548</v>
      </c>
      <c r="K206" s="40" t="s">
        <v>19</v>
      </c>
      <c r="M206" s="46">
        <v>19733.669999999998</v>
      </c>
    </row>
    <row r="207" spans="1:13" x14ac:dyDescent="0.35">
      <c r="A207" s="40" t="str">
        <f t="shared" si="3"/>
        <v>JULYREV-38400</v>
      </c>
      <c r="B207" s="40">
        <v>103</v>
      </c>
      <c r="C207" s="45" t="s">
        <v>17</v>
      </c>
      <c r="D207" s="40">
        <v>950</v>
      </c>
      <c r="E207" s="45"/>
      <c r="F207" s="40" t="e">
        <v>#VALUE!</v>
      </c>
      <c r="G207" s="45">
        <v>45869</v>
      </c>
      <c r="H207" s="50">
        <v>38400</v>
      </c>
      <c r="I207" s="40" t="s">
        <v>66</v>
      </c>
      <c r="J207" s="40">
        <f>VLOOKUP(I207,[1]Vendors!$A:$B,2,FALSE)</f>
        <v>1548</v>
      </c>
      <c r="K207" s="40" t="s">
        <v>19</v>
      </c>
      <c r="L207" s="46">
        <v>22091.87</v>
      </c>
    </row>
    <row r="208" spans="1:13" x14ac:dyDescent="0.35">
      <c r="A208" s="40" t="str">
        <f t="shared" si="3"/>
        <v>JULYREV-38400</v>
      </c>
      <c r="B208" s="40">
        <v>103.5</v>
      </c>
      <c r="C208" s="45"/>
      <c r="D208" s="40">
        <v>972</v>
      </c>
      <c r="E208" s="45" t="s">
        <v>22</v>
      </c>
      <c r="F208" s="40">
        <v>972</v>
      </c>
      <c r="G208" s="45">
        <v>45869</v>
      </c>
      <c r="H208" s="50">
        <v>38400</v>
      </c>
      <c r="I208" s="40" t="s">
        <v>66</v>
      </c>
      <c r="J208" s="40">
        <f>VLOOKUP(I208,[1]Vendors!$A:$B,2,FALSE)</f>
        <v>1548</v>
      </c>
      <c r="K208" s="40" t="s">
        <v>19</v>
      </c>
      <c r="M208" s="46">
        <v>22091.87</v>
      </c>
    </row>
    <row r="209" spans="1:13" x14ac:dyDescent="0.35">
      <c r="A209" s="40" t="str">
        <f t="shared" si="3"/>
        <v>JULYREV-38623</v>
      </c>
      <c r="B209" s="40">
        <v>104</v>
      </c>
      <c r="C209" s="45" t="s">
        <v>17</v>
      </c>
      <c r="D209" s="40">
        <v>950</v>
      </c>
      <c r="E209" s="45"/>
      <c r="F209" s="40" t="e">
        <v>#VALUE!</v>
      </c>
      <c r="G209" s="45">
        <v>45869</v>
      </c>
      <c r="H209" s="50">
        <v>38623</v>
      </c>
      <c r="I209" s="40" t="s">
        <v>144</v>
      </c>
      <c r="J209" s="40">
        <f>VLOOKUP(I209,[1]Vendors!$A:$B,2,FALSE)</f>
        <v>1688</v>
      </c>
      <c r="K209" s="40" t="s">
        <v>19</v>
      </c>
      <c r="L209" s="46">
        <v>4720</v>
      </c>
    </row>
    <row r="210" spans="1:13" x14ac:dyDescent="0.35">
      <c r="A210" s="40" t="str">
        <f t="shared" si="3"/>
        <v>JULYREV-38623</v>
      </c>
      <c r="B210" s="40">
        <v>104.5</v>
      </c>
      <c r="C210" s="45"/>
      <c r="D210" s="40">
        <v>972</v>
      </c>
      <c r="E210" s="45" t="s">
        <v>22</v>
      </c>
      <c r="F210" s="40">
        <v>972</v>
      </c>
      <c r="G210" s="45">
        <v>45869</v>
      </c>
      <c r="H210" s="50">
        <v>38623</v>
      </c>
      <c r="I210" s="40" t="s">
        <v>144</v>
      </c>
      <c r="J210" s="40">
        <f>VLOOKUP(I210,[1]Vendors!$A:$B,2,FALSE)</f>
        <v>1688</v>
      </c>
      <c r="K210" s="40" t="s">
        <v>19</v>
      </c>
      <c r="M210" s="46">
        <v>4720</v>
      </c>
    </row>
    <row r="211" spans="1:13" x14ac:dyDescent="0.35">
      <c r="A211" s="40" t="str">
        <f t="shared" si="3"/>
        <v>JULYREV-38724</v>
      </c>
      <c r="B211" s="40">
        <v>105</v>
      </c>
      <c r="C211" s="45" t="s">
        <v>17</v>
      </c>
      <c r="D211" s="40">
        <v>950</v>
      </c>
      <c r="E211" s="45"/>
      <c r="F211" s="40" t="e">
        <v>#VALUE!</v>
      </c>
      <c r="G211" s="45">
        <v>45869</v>
      </c>
      <c r="H211" s="50">
        <v>38724</v>
      </c>
      <c r="I211" s="40" t="s">
        <v>145</v>
      </c>
      <c r="J211" s="40">
        <f>VLOOKUP(I211,[1]Vendors!$A:$B,2,FALSE)</f>
        <v>2713</v>
      </c>
      <c r="K211" s="40" t="s">
        <v>19</v>
      </c>
      <c r="L211" s="46">
        <v>0</v>
      </c>
    </row>
    <row r="212" spans="1:13" x14ac:dyDescent="0.35">
      <c r="A212" s="40" t="str">
        <f t="shared" si="3"/>
        <v>JULYREV-38724</v>
      </c>
      <c r="B212" s="40">
        <v>105.5</v>
      </c>
      <c r="C212" s="45"/>
      <c r="D212" s="40">
        <v>972</v>
      </c>
      <c r="E212" s="45" t="s">
        <v>22</v>
      </c>
      <c r="F212" s="40">
        <v>972</v>
      </c>
      <c r="G212" s="45">
        <v>45869</v>
      </c>
      <c r="H212" s="50">
        <v>38724</v>
      </c>
      <c r="I212" s="40" t="s">
        <v>145</v>
      </c>
      <c r="J212" s="40">
        <f>VLOOKUP(I212,[1]Vendors!$A:$B,2,FALSE)</f>
        <v>2713</v>
      </c>
      <c r="K212" s="40" t="s">
        <v>19</v>
      </c>
      <c r="M212" s="46">
        <v>0</v>
      </c>
    </row>
    <row r="213" spans="1:13" x14ac:dyDescent="0.35">
      <c r="A213" s="40" t="str">
        <f t="shared" si="3"/>
        <v>JULYREV-37579/3</v>
      </c>
      <c r="B213" s="40">
        <v>106</v>
      </c>
      <c r="C213" s="45" t="s">
        <v>17</v>
      </c>
      <c r="D213" s="40">
        <v>950</v>
      </c>
      <c r="F213" s="40" t="e">
        <v>#VALUE!</v>
      </c>
      <c r="G213" s="48">
        <v>45839</v>
      </c>
      <c r="H213" s="50" t="s">
        <v>54</v>
      </c>
      <c r="I213" s="40" t="s">
        <v>55</v>
      </c>
      <c r="J213" s="40">
        <f>VLOOKUP(I213,[1]Vendors!$A:$B,2,FALSE)</f>
        <v>3335</v>
      </c>
      <c r="K213" s="40" t="s">
        <v>146</v>
      </c>
      <c r="L213" s="49">
        <v>33690.51</v>
      </c>
    </row>
    <row r="214" spans="1:13" x14ac:dyDescent="0.35">
      <c r="A214" s="40" t="str">
        <f t="shared" si="3"/>
        <v>JULYREV-37579/3</v>
      </c>
      <c r="B214" s="40">
        <v>106.5</v>
      </c>
      <c r="C214" s="45"/>
      <c r="D214" s="40">
        <v>976</v>
      </c>
      <c r="E214" s="40" t="s">
        <v>150</v>
      </c>
      <c r="F214" s="40">
        <v>976</v>
      </c>
      <c r="G214" s="48">
        <v>45839</v>
      </c>
      <c r="H214" s="50" t="s">
        <v>54</v>
      </c>
      <c r="I214" s="40" t="s">
        <v>55</v>
      </c>
      <c r="J214" s="40">
        <f>VLOOKUP(I214,[1]Vendors!$A:$B,2,FALSE)</f>
        <v>3335</v>
      </c>
      <c r="K214" s="40" t="s">
        <v>146</v>
      </c>
      <c r="M214" s="49">
        <v>33690.51</v>
      </c>
    </row>
    <row r="215" spans="1:13" x14ac:dyDescent="0.35">
      <c r="A215" s="40" t="str">
        <f t="shared" si="3"/>
        <v>JULYREV-36570</v>
      </c>
      <c r="B215" s="40">
        <v>107</v>
      </c>
      <c r="C215" s="45" t="s">
        <v>17</v>
      </c>
      <c r="D215" s="40">
        <v>950</v>
      </c>
      <c r="F215" s="40" t="e">
        <v>#VALUE!</v>
      </c>
      <c r="G215" s="48">
        <v>45868</v>
      </c>
      <c r="H215" s="50">
        <v>36570</v>
      </c>
      <c r="I215" s="40" t="s">
        <v>91</v>
      </c>
      <c r="J215" s="40">
        <f>VLOOKUP(I215,[1]Vendors!$A:$B,2,FALSE)</f>
        <v>649</v>
      </c>
      <c r="K215" s="40" t="s">
        <v>19</v>
      </c>
      <c r="L215" s="49">
        <v>16950</v>
      </c>
    </row>
    <row r="216" spans="1:13" x14ac:dyDescent="0.35">
      <c r="A216" s="40" t="str">
        <f t="shared" si="3"/>
        <v>JULYREV-36570</v>
      </c>
      <c r="B216" s="40">
        <v>107.5</v>
      </c>
      <c r="C216" s="45"/>
      <c r="D216" s="40">
        <v>976</v>
      </c>
      <c r="E216" s="40" t="s">
        <v>150</v>
      </c>
      <c r="F216" s="40">
        <v>976</v>
      </c>
      <c r="G216" s="48">
        <v>45868</v>
      </c>
      <c r="H216" s="50">
        <v>36570</v>
      </c>
      <c r="I216" s="40" t="s">
        <v>91</v>
      </c>
      <c r="J216" s="40">
        <f>VLOOKUP(I216,[1]Vendors!$A:$B,2,FALSE)</f>
        <v>649</v>
      </c>
      <c r="K216" s="40" t="s">
        <v>19</v>
      </c>
      <c r="M216" s="49">
        <v>16950</v>
      </c>
    </row>
    <row r="217" spans="1:13" x14ac:dyDescent="0.35">
      <c r="A217" s="40" t="str">
        <f t="shared" si="3"/>
        <v>JULYREV-36581</v>
      </c>
      <c r="B217" s="40">
        <v>108</v>
      </c>
      <c r="C217" s="45" t="s">
        <v>17</v>
      </c>
      <c r="D217" s="40">
        <v>950</v>
      </c>
      <c r="F217" s="40" t="e">
        <v>#VALUE!</v>
      </c>
      <c r="G217" s="48">
        <v>45868</v>
      </c>
      <c r="H217" s="50">
        <v>36581</v>
      </c>
      <c r="I217" s="40" t="s">
        <v>91</v>
      </c>
      <c r="J217" s="40">
        <f>VLOOKUP(I217,[1]Vendors!$A:$B,2,FALSE)</f>
        <v>649</v>
      </c>
      <c r="K217" s="40" t="s">
        <v>19</v>
      </c>
      <c r="L217" s="49">
        <v>2850</v>
      </c>
    </row>
    <row r="218" spans="1:13" x14ac:dyDescent="0.35">
      <c r="A218" s="40" t="str">
        <f t="shared" si="3"/>
        <v>JULYREV-36581</v>
      </c>
      <c r="B218" s="40">
        <v>108.5</v>
      </c>
      <c r="C218" s="45"/>
      <c r="D218" s="40">
        <v>976</v>
      </c>
      <c r="E218" s="40" t="s">
        <v>150</v>
      </c>
      <c r="F218" s="40">
        <v>976</v>
      </c>
      <c r="G218" s="48">
        <v>45868</v>
      </c>
      <c r="H218" s="50">
        <v>36581</v>
      </c>
      <c r="I218" s="40" t="s">
        <v>91</v>
      </c>
      <c r="J218" s="40">
        <f>VLOOKUP(I218,[1]Vendors!$A:$B,2,FALSE)</f>
        <v>649</v>
      </c>
      <c r="K218" s="40" t="s">
        <v>19</v>
      </c>
      <c r="M218" s="49">
        <v>2850</v>
      </c>
    </row>
    <row r="219" spans="1:13" x14ac:dyDescent="0.35">
      <c r="A219" s="40" t="str">
        <f t="shared" si="3"/>
        <v>JULYREV-35760/7</v>
      </c>
      <c r="B219" s="40">
        <v>109</v>
      </c>
      <c r="C219" s="45" t="s">
        <v>17</v>
      </c>
      <c r="D219" s="40">
        <v>950</v>
      </c>
      <c r="F219" s="40" t="e">
        <v>#VALUE!</v>
      </c>
      <c r="G219" s="48">
        <v>45869</v>
      </c>
      <c r="H219" s="50" t="s">
        <v>147</v>
      </c>
      <c r="I219" s="40" t="s">
        <v>148</v>
      </c>
      <c r="J219" s="40">
        <f>VLOOKUP(I219,[1]Vendors!$A:$B,2,FALSE)</f>
        <v>3358</v>
      </c>
      <c r="K219" s="40" t="s">
        <v>19</v>
      </c>
      <c r="L219" s="49">
        <v>5492.4</v>
      </c>
    </row>
    <row r="220" spans="1:13" x14ac:dyDescent="0.35">
      <c r="A220" s="40" t="str">
        <f t="shared" si="3"/>
        <v>JULYREV-35760/7</v>
      </c>
      <c r="B220" s="40">
        <v>109.5</v>
      </c>
      <c r="C220" s="45"/>
      <c r="D220" s="40">
        <v>976</v>
      </c>
      <c r="E220" s="40" t="s">
        <v>150</v>
      </c>
      <c r="F220" s="40">
        <v>976</v>
      </c>
      <c r="G220" s="48">
        <v>45869</v>
      </c>
      <c r="H220" s="50" t="s">
        <v>147</v>
      </c>
      <c r="I220" s="40" t="s">
        <v>148</v>
      </c>
      <c r="J220" s="40">
        <f>VLOOKUP(I220,[1]Vendors!$A:$B,2,FALSE)</f>
        <v>3358</v>
      </c>
      <c r="K220" s="40" t="s">
        <v>19</v>
      </c>
      <c r="M220" s="49">
        <v>5492.4</v>
      </c>
    </row>
    <row r="221" spans="1:13" x14ac:dyDescent="0.35">
      <c r="A221" s="40" t="str">
        <f t="shared" si="3"/>
        <v>JULYREV-36729</v>
      </c>
      <c r="B221" s="40">
        <v>110</v>
      </c>
      <c r="C221" s="45" t="s">
        <v>17</v>
      </c>
      <c r="D221" s="40">
        <v>950</v>
      </c>
      <c r="F221" s="40" t="e">
        <v>#VALUE!</v>
      </c>
      <c r="G221" s="48">
        <v>45869</v>
      </c>
      <c r="H221" s="50">
        <v>36729</v>
      </c>
      <c r="I221" s="40" t="s">
        <v>57</v>
      </c>
      <c r="J221" s="40">
        <f>VLOOKUP(I221,[1]Vendors!$A:$B,2,FALSE)</f>
        <v>3330</v>
      </c>
      <c r="K221" s="40" t="s">
        <v>19</v>
      </c>
      <c r="L221" s="49">
        <v>8600</v>
      </c>
    </row>
    <row r="222" spans="1:13" x14ac:dyDescent="0.35">
      <c r="A222" s="40" t="str">
        <f t="shared" si="3"/>
        <v>JULYREV-36729</v>
      </c>
      <c r="B222" s="40">
        <v>110.5</v>
      </c>
      <c r="C222" s="45"/>
      <c r="D222" s="40">
        <v>976</v>
      </c>
      <c r="E222" s="40" t="s">
        <v>150</v>
      </c>
      <c r="F222" s="40">
        <v>976</v>
      </c>
      <c r="G222" s="48">
        <v>45869</v>
      </c>
      <c r="H222" s="50">
        <v>36729</v>
      </c>
      <c r="I222" s="40" t="s">
        <v>57</v>
      </c>
      <c r="J222" s="40">
        <f>VLOOKUP(I222,[1]Vendors!$A:$B,2,FALSE)</f>
        <v>3330</v>
      </c>
      <c r="K222" s="40" t="s">
        <v>19</v>
      </c>
      <c r="M222" s="49">
        <v>8600</v>
      </c>
    </row>
    <row r="223" spans="1:13" x14ac:dyDescent="0.35">
      <c r="A223" s="40" t="str">
        <f t="shared" si="3"/>
        <v>JULYREV-33555</v>
      </c>
      <c r="B223" s="40">
        <v>111</v>
      </c>
      <c r="C223" s="40" t="s">
        <v>17</v>
      </c>
      <c r="D223" s="40">
        <v>950</v>
      </c>
      <c r="F223" s="40" t="e">
        <v>#VALUE!</v>
      </c>
      <c r="G223" s="45">
        <v>45839</v>
      </c>
      <c r="H223" s="50">
        <v>33555</v>
      </c>
      <c r="I223" s="47" t="s">
        <v>1195</v>
      </c>
      <c r="J223" s="40">
        <f>VLOOKUP(I223,[1]Vendors!$A:$B,2,FALSE)</f>
        <v>2328</v>
      </c>
      <c r="K223" s="40" t="s">
        <v>149</v>
      </c>
      <c r="L223" s="49">
        <v>3894.22</v>
      </c>
    </row>
    <row r="224" spans="1:13" x14ac:dyDescent="0.35">
      <c r="A224" s="40" t="str">
        <f t="shared" si="3"/>
        <v>JULYREV-33555</v>
      </c>
      <c r="B224" s="40">
        <v>111.5</v>
      </c>
      <c r="D224" s="40">
        <v>975</v>
      </c>
      <c r="E224" s="40" t="s">
        <v>151</v>
      </c>
      <c r="F224" s="40">
        <v>975</v>
      </c>
      <c r="G224" s="45">
        <v>45839</v>
      </c>
      <c r="H224" s="50">
        <v>33555</v>
      </c>
      <c r="I224" s="47" t="s">
        <v>1195</v>
      </c>
      <c r="J224" s="40">
        <f>VLOOKUP(I224,[1]Vendors!$A:$B,2,FALSE)</f>
        <v>2328</v>
      </c>
      <c r="K224" s="40" t="s">
        <v>149</v>
      </c>
      <c r="M224" s="49">
        <v>3894.22</v>
      </c>
    </row>
    <row r="225" spans="1:13" x14ac:dyDescent="0.35">
      <c r="A225" s="40" t="str">
        <f t="shared" si="3"/>
        <v>JULYREV-35518</v>
      </c>
      <c r="B225" s="40">
        <v>112</v>
      </c>
      <c r="C225" s="40" t="s">
        <v>17</v>
      </c>
      <c r="D225" s="40">
        <v>950</v>
      </c>
      <c r="F225" s="40" t="e">
        <v>#VALUE!</v>
      </c>
      <c r="G225" s="45">
        <v>45839</v>
      </c>
      <c r="H225" s="50">
        <v>35518</v>
      </c>
      <c r="I225" s="40" t="s">
        <v>49</v>
      </c>
      <c r="J225" s="40">
        <f>VLOOKUP(I225,[1]Vendors!$A:$B,2,FALSE)</f>
        <v>2761</v>
      </c>
      <c r="K225" s="40" t="s">
        <v>149</v>
      </c>
      <c r="L225" s="49">
        <v>3631.49</v>
      </c>
    </row>
    <row r="226" spans="1:13" x14ac:dyDescent="0.35">
      <c r="A226" s="40" t="str">
        <f t="shared" si="3"/>
        <v>JULYREV-35518</v>
      </c>
      <c r="B226" s="40">
        <v>112.5</v>
      </c>
      <c r="D226" s="40">
        <v>975</v>
      </c>
      <c r="E226" s="40" t="s">
        <v>151</v>
      </c>
      <c r="F226" s="40">
        <v>975</v>
      </c>
      <c r="G226" s="45">
        <v>45839</v>
      </c>
      <c r="H226" s="50">
        <v>35518</v>
      </c>
      <c r="I226" s="40" t="s">
        <v>49</v>
      </c>
      <c r="J226" s="40">
        <f>VLOOKUP(I226,[1]Vendors!$A:$B,2,FALSE)</f>
        <v>2761</v>
      </c>
      <c r="K226" s="40" t="s">
        <v>149</v>
      </c>
      <c r="M226" s="49">
        <v>3631.49</v>
      </c>
    </row>
    <row r="227" spans="1:13" x14ac:dyDescent="0.35">
      <c r="A227" s="40" t="str">
        <f t="shared" si="3"/>
        <v>JULYREV-36221</v>
      </c>
      <c r="B227" s="40">
        <v>113</v>
      </c>
      <c r="C227" s="40" t="s">
        <v>17</v>
      </c>
      <c r="D227" s="40">
        <v>950</v>
      </c>
      <c r="F227" s="40" t="e">
        <v>#VALUE!</v>
      </c>
      <c r="G227" s="45">
        <v>45839</v>
      </c>
      <c r="H227" s="50">
        <v>36221</v>
      </c>
      <c r="I227" s="40" t="s">
        <v>52</v>
      </c>
      <c r="J227" s="40">
        <f>VLOOKUP(I227,[1]Vendors!$A:$B,2,FALSE)</f>
        <v>3323</v>
      </c>
      <c r="K227" s="40" t="s">
        <v>149</v>
      </c>
      <c r="L227" s="49">
        <v>0</v>
      </c>
    </row>
    <row r="228" spans="1:13" x14ac:dyDescent="0.35">
      <c r="A228" s="40" t="str">
        <f t="shared" si="3"/>
        <v>JULYREV-36221</v>
      </c>
      <c r="B228" s="40">
        <v>113.5</v>
      </c>
      <c r="D228" s="40">
        <v>975</v>
      </c>
      <c r="E228" s="40" t="s">
        <v>151</v>
      </c>
      <c r="F228" s="40">
        <v>975</v>
      </c>
      <c r="G228" s="45">
        <v>45839</v>
      </c>
      <c r="H228" s="50">
        <v>36221</v>
      </c>
      <c r="I228" s="40" t="s">
        <v>52</v>
      </c>
      <c r="J228" s="40">
        <f>VLOOKUP(I228,[1]Vendors!$A:$B,2,FALSE)</f>
        <v>3323</v>
      </c>
      <c r="K228" s="40" t="s">
        <v>149</v>
      </c>
      <c r="M228" s="49">
        <v>0</v>
      </c>
    </row>
    <row r="229" spans="1:13" x14ac:dyDescent="0.35">
      <c r="A229" s="40" t="str">
        <f t="shared" si="3"/>
        <v>JULYREV-37959/2</v>
      </c>
      <c r="B229" s="40">
        <v>114</v>
      </c>
      <c r="C229" s="40" t="s">
        <v>17</v>
      </c>
      <c r="D229" s="40">
        <v>950</v>
      </c>
      <c r="F229" s="40" t="e">
        <v>#VALUE!</v>
      </c>
      <c r="G229" s="45">
        <v>45839</v>
      </c>
      <c r="H229" s="50" t="s">
        <v>58</v>
      </c>
      <c r="I229" s="40" t="s">
        <v>59</v>
      </c>
      <c r="J229" s="40">
        <f>VLOOKUP(I229,[1]Vendors!$A:$B,2,FALSE)</f>
        <v>1720</v>
      </c>
      <c r="K229" s="40" t="s">
        <v>149</v>
      </c>
      <c r="L229" s="49">
        <v>2080.08</v>
      </c>
    </row>
    <row r="230" spans="1:13" x14ac:dyDescent="0.35">
      <c r="A230" s="40" t="str">
        <f t="shared" si="3"/>
        <v>JULYREV-37959/2</v>
      </c>
      <c r="B230" s="40">
        <v>114.5</v>
      </c>
      <c r="D230" s="40">
        <v>975</v>
      </c>
      <c r="E230" s="40" t="s">
        <v>151</v>
      </c>
      <c r="F230" s="40">
        <v>975</v>
      </c>
      <c r="G230" s="45">
        <v>45839</v>
      </c>
      <c r="H230" s="50" t="s">
        <v>58</v>
      </c>
      <c r="I230" s="40" t="s">
        <v>59</v>
      </c>
      <c r="J230" s="40">
        <f>VLOOKUP(I230,[1]Vendors!$A:$B,2,FALSE)</f>
        <v>1720</v>
      </c>
      <c r="K230" s="40" t="s">
        <v>149</v>
      </c>
      <c r="M230" s="49">
        <v>2080.08</v>
      </c>
    </row>
    <row r="231" spans="1:13" x14ac:dyDescent="0.35">
      <c r="A231" s="40" t="str">
        <f t="shared" si="3"/>
        <v>JULYREV-38130</v>
      </c>
      <c r="B231" s="40">
        <v>115</v>
      </c>
      <c r="C231" s="40" t="s">
        <v>17</v>
      </c>
      <c r="D231" s="40">
        <v>950</v>
      </c>
      <c r="F231" s="40" t="e">
        <v>#VALUE!</v>
      </c>
      <c r="G231" s="45">
        <v>45839</v>
      </c>
      <c r="H231" s="50">
        <v>38130</v>
      </c>
      <c r="I231" s="40" t="s">
        <v>60</v>
      </c>
      <c r="J231" s="40">
        <f>VLOOKUP(I231,[1]Vendors!$A:$B,2,FALSE)</f>
        <v>3377</v>
      </c>
      <c r="K231" s="40" t="s">
        <v>149</v>
      </c>
      <c r="L231" s="49">
        <v>221.95</v>
      </c>
    </row>
    <row r="232" spans="1:13" x14ac:dyDescent="0.35">
      <c r="A232" s="40" t="str">
        <f t="shared" si="3"/>
        <v>JULYREV-38130</v>
      </c>
      <c r="B232" s="40">
        <v>115.5</v>
      </c>
      <c r="D232" s="40">
        <v>975</v>
      </c>
      <c r="E232" s="40" t="s">
        <v>151</v>
      </c>
      <c r="F232" s="40">
        <v>975</v>
      </c>
      <c r="G232" s="45">
        <v>45839</v>
      </c>
      <c r="H232" s="50">
        <v>38130</v>
      </c>
      <c r="I232" s="40" t="s">
        <v>60</v>
      </c>
      <c r="J232" s="40">
        <f>VLOOKUP(I232,[1]Vendors!$A:$B,2,FALSE)</f>
        <v>3377</v>
      </c>
      <c r="K232" s="40" t="s">
        <v>149</v>
      </c>
      <c r="M232" s="49">
        <v>221.95</v>
      </c>
    </row>
    <row r="233" spans="1:13" x14ac:dyDescent="0.35">
      <c r="A233" s="40" t="str">
        <f t="shared" si="3"/>
        <v>JULYREV-38187</v>
      </c>
      <c r="B233" s="40">
        <v>116</v>
      </c>
      <c r="C233" s="40" t="s">
        <v>17</v>
      </c>
      <c r="D233" s="40">
        <v>950</v>
      </c>
      <c r="F233" s="40" t="e">
        <v>#VALUE!</v>
      </c>
      <c r="G233" s="45">
        <v>45846</v>
      </c>
      <c r="H233" s="50">
        <v>38187</v>
      </c>
      <c r="I233" s="40" t="s">
        <v>70</v>
      </c>
      <c r="J233" s="40">
        <f>VLOOKUP(I233,[1]Vendors!$A:$B,2,FALSE)</f>
        <v>3412</v>
      </c>
      <c r="K233" s="40" t="s">
        <v>149</v>
      </c>
      <c r="L233" s="49">
        <v>872.8</v>
      </c>
    </row>
    <row r="234" spans="1:13" x14ac:dyDescent="0.35">
      <c r="A234" s="40" t="str">
        <f t="shared" si="3"/>
        <v>JULYREV-38187</v>
      </c>
      <c r="B234" s="40">
        <v>116.5</v>
      </c>
      <c r="D234" s="40">
        <v>975</v>
      </c>
      <c r="E234" s="40" t="s">
        <v>151</v>
      </c>
      <c r="F234" s="40">
        <v>975</v>
      </c>
      <c r="G234" s="45">
        <v>45846</v>
      </c>
      <c r="H234" s="50">
        <v>38187</v>
      </c>
      <c r="I234" s="40" t="s">
        <v>70</v>
      </c>
      <c r="J234" s="40">
        <f>VLOOKUP(I234,[1]Vendors!$A:$B,2,FALSE)</f>
        <v>3412</v>
      </c>
      <c r="K234" s="40" t="s">
        <v>149</v>
      </c>
      <c r="M234" s="49">
        <v>872.8</v>
      </c>
    </row>
    <row r="235" spans="1:13" x14ac:dyDescent="0.35">
      <c r="A235" s="40" t="str">
        <f t="shared" si="3"/>
        <v>JULYREV-38196</v>
      </c>
      <c r="B235" s="40">
        <v>117</v>
      </c>
      <c r="C235" s="40" t="s">
        <v>17</v>
      </c>
      <c r="D235" s="40">
        <v>950</v>
      </c>
      <c r="F235" s="40" t="e">
        <v>#VALUE!</v>
      </c>
      <c r="G235" s="45">
        <v>45846</v>
      </c>
      <c r="H235" s="50">
        <v>38196</v>
      </c>
      <c r="I235" s="40" t="s">
        <v>70</v>
      </c>
      <c r="J235" s="40">
        <f>VLOOKUP(I235,[1]Vendors!$A:$B,2,FALSE)</f>
        <v>3412</v>
      </c>
      <c r="K235" s="40" t="s">
        <v>149</v>
      </c>
      <c r="L235" s="49">
        <v>1896.1</v>
      </c>
    </row>
    <row r="236" spans="1:13" x14ac:dyDescent="0.35">
      <c r="A236" s="40" t="str">
        <f t="shared" si="3"/>
        <v>JULYREV-38196</v>
      </c>
      <c r="B236" s="40">
        <v>117.5</v>
      </c>
      <c r="D236" s="40">
        <v>975</v>
      </c>
      <c r="E236" s="40" t="s">
        <v>151</v>
      </c>
      <c r="F236" s="40">
        <v>975</v>
      </c>
      <c r="G236" s="45">
        <v>45846</v>
      </c>
      <c r="H236" s="50">
        <v>38196</v>
      </c>
      <c r="I236" s="40" t="s">
        <v>70</v>
      </c>
      <c r="J236" s="40">
        <f>VLOOKUP(I236,[1]Vendors!$A:$B,2,FALSE)</f>
        <v>3412</v>
      </c>
      <c r="K236" s="40" t="s">
        <v>149</v>
      </c>
      <c r="M236" s="49">
        <v>1896.1</v>
      </c>
    </row>
    <row r="237" spans="1:13" x14ac:dyDescent="0.35">
      <c r="A237" s="40" t="str">
        <f t="shared" si="3"/>
        <v>JULYREV-38396</v>
      </c>
      <c r="B237" s="40">
        <v>118</v>
      </c>
      <c r="C237" s="40" t="s">
        <v>17</v>
      </c>
      <c r="D237" s="40">
        <v>950</v>
      </c>
      <c r="F237" s="40" t="e">
        <v>#VALUE!</v>
      </c>
      <c r="G237" s="45">
        <v>45846</v>
      </c>
      <c r="H237" s="50">
        <v>38396</v>
      </c>
      <c r="I237" s="40" t="s">
        <v>66</v>
      </c>
      <c r="J237" s="40">
        <f>VLOOKUP(I237,[1]Vendors!$A:$B,2,FALSE)</f>
        <v>1548</v>
      </c>
      <c r="K237" s="40" t="s">
        <v>149</v>
      </c>
      <c r="L237" s="49">
        <v>102.17</v>
      </c>
    </row>
    <row r="238" spans="1:13" x14ac:dyDescent="0.35">
      <c r="A238" s="40" t="str">
        <f t="shared" si="3"/>
        <v>JULYREV-38396</v>
      </c>
      <c r="B238" s="40">
        <v>118.5</v>
      </c>
      <c r="D238" s="40">
        <v>975</v>
      </c>
      <c r="E238" s="40" t="s">
        <v>151</v>
      </c>
      <c r="F238" s="40">
        <v>975</v>
      </c>
      <c r="G238" s="45">
        <v>45846</v>
      </c>
      <c r="H238" s="50">
        <v>38396</v>
      </c>
      <c r="I238" s="40" t="s">
        <v>66</v>
      </c>
      <c r="J238" s="40">
        <f>VLOOKUP(I238,[1]Vendors!$A:$B,2,FALSE)</f>
        <v>1548</v>
      </c>
      <c r="K238" s="40" t="s">
        <v>149</v>
      </c>
      <c r="M238" s="49">
        <v>102.17</v>
      </c>
    </row>
    <row r="239" spans="1:13" x14ac:dyDescent="0.35">
      <c r="A239" s="40" t="str">
        <f t="shared" si="3"/>
        <v>JULYREV-36580/2</v>
      </c>
      <c r="B239" s="40">
        <v>119</v>
      </c>
      <c r="C239" s="40" t="s">
        <v>17</v>
      </c>
      <c r="D239" s="40">
        <v>950</v>
      </c>
      <c r="F239" s="40" t="e">
        <v>#VALUE!</v>
      </c>
      <c r="G239" s="45">
        <v>45852</v>
      </c>
      <c r="H239" s="50" t="s">
        <v>93</v>
      </c>
      <c r="I239" s="40" t="s">
        <v>91</v>
      </c>
      <c r="J239" s="40">
        <f>VLOOKUP(I239,[1]Vendors!$A:$B,2,FALSE)</f>
        <v>649</v>
      </c>
      <c r="K239" s="40" t="s">
        <v>149</v>
      </c>
      <c r="L239" s="49">
        <v>2369.63</v>
      </c>
    </row>
    <row r="240" spans="1:13" x14ac:dyDescent="0.35">
      <c r="A240" s="40" t="str">
        <f t="shared" si="3"/>
        <v>JULYREV-36580/2</v>
      </c>
      <c r="B240" s="40">
        <v>119.5</v>
      </c>
      <c r="D240" s="40">
        <v>975</v>
      </c>
      <c r="E240" s="40" t="s">
        <v>151</v>
      </c>
      <c r="F240" s="40">
        <v>975</v>
      </c>
      <c r="G240" s="45">
        <v>45852</v>
      </c>
      <c r="H240" s="50" t="s">
        <v>93</v>
      </c>
      <c r="I240" s="40" t="s">
        <v>91</v>
      </c>
      <c r="J240" s="40">
        <f>VLOOKUP(I240,[1]Vendors!$A:$B,2,FALSE)</f>
        <v>649</v>
      </c>
      <c r="K240" s="40" t="s">
        <v>149</v>
      </c>
      <c r="M240" s="49">
        <v>2369.63</v>
      </c>
    </row>
    <row r="241" spans="1:13" x14ac:dyDescent="0.35">
      <c r="A241" s="40" t="str">
        <f t="shared" si="3"/>
        <v>JULYREV-36582/2</v>
      </c>
      <c r="B241" s="40">
        <v>120</v>
      </c>
      <c r="C241" s="40" t="s">
        <v>17</v>
      </c>
      <c r="D241" s="40">
        <v>950</v>
      </c>
      <c r="F241" s="40" t="e">
        <v>#VALUE!</v>
      </c>
      <c r="G241" s="45">
        <v>45852</v>
      </c>
      <c r="H241" s="50" t="s">
        <v>94</v>
      </c>
      <c r="I241" s="40" t="s">
        <v>91</v>
      </c>
      <c r="J241" s="40">
        <f>VLOOKUP(I241,[1]Vendors!$A:$B,2,FALSE)</f>
        <v>649</v>
      </c>
      <c r="K241" s="40" t="s">
        <v>149</v>
      </c>
      <c r="L241" s="49">
        <v>4586.59</v>
      </c>
    </row>
    <row r="242" spans="1:13" x14ac:dyDescent="0.35">
      <c r="A242" s="40" t="str">
        <f t="shared" si="3"/>
        <v>JULYREV-36582/2</v>
      </c>
      <c r="B242" s="40">
        <v>120.5</v>
      </c>
      <c r="D242" s="40">
        <v>975</v>
      </c>
      <c r="E242" s="40" t="s">
        <v>151</v>
      </c>
      <c r="F242" s="40">
        <v>975</v>
      </c>
      <c r="G242" s="45">
        <v>45852</v>
      </c>
      <c r="H242" s="50" t="s">
        <v>94</v>
      </c>
      <c r="I242" s="40" t="s">
        <v>91</v>
      </c>
      <c r="J242" s="40">
        <f>VLOOKUP(I242,[1]Vendors!$A:$B,2,FALSE)</f>
        <v>649</v>
      </c>
      <c r="K242" s="40" t="s">
        <v>149</v>
      </c>
      <c r="M242" s="49">
        <v>4586.59</v>
      </c>
    </row>
    <row r="243" spans="1:13" x14ac:dyDescent="0.35">
      <c r="A243" s="40" t="str">
        <f t="shared" si="3"/>
        <v>JULYREV-38213/6</v>
      </c>
      <c r="B243" s="40">
        <v>121</v>
      </c>
      <c r="C243" s="40" t="s">
        <v>17</v>
      </c>
      <c r="D243" s="40">
        <v>950</v>
      </c>
      <c r="F243" s="40" t="e">
        <v>#VALUE!</v>
      </c>
      <c r="G243" s="45">
        <v>45856</v>
      </c>
      <c r="H243" s="50" t="s">
        <v>99</v>
      </c>
      <c r="I243" s="40" t="s">
        <v>64</v>
      </c>
      <c r="J243" s="40">
        <f>VLOOKUP(I243,[1]Vendors!$A:$B,2,FALSE)</f>
        <v>3338</v>
      </c>
      <c r="K243" s="40" t="s">
        <v>149</v>
      </c>
      <c r="L243" s="49">
        <v>47554.7</v>
      </c>
    </row>
    <row r="244" spans="1:13" x14ac:dyDescent="0.35">
      <c r="A244" s="40" t="str">
        <f t="shared" si="3"/>
        <v>JULYREV-38213/6</v>
      </c>
      <c r="B244" s="40">
        <v>121.5</v>
      </c>
      <c r="D244" s="40">
        <v>975</v>
      </c>
      <c r="E244" s="40" t="s">
        <v>151</v>
      </c>
      <c r="F244" s="40">
        <v>975</v>
      </c>
      <c r="G244" s="45">
        <v>45856</v>
      </c>
      <c r="H244" s="50" t="s">
        <v>99</v>
      </c>
      <c r="I244" s="40" t="s">
        <v>64</v>
      </c>
      <c r="J244" s="40">
        <f>VLOOKUP(I244,[1]Vendors!$A:$B,2,FALSE)</f>
        <v>3338</v>
      </c>
      <c r="K244" s="40" t="s">
        <v>149</v>
      </c>
      <c r="M244" s="49">
        <v>47554.7</v>
      </c>
    </row>
    <row r="245" spans="1:13" x14ac:dyDescent="0.35">
      <c r="A245" s="40" t="str">
        <f t="shared" si="3"/>
        <v>JULYREV-38301/3</v>
      </c>
      <c r="B245" s="40">
        <v>122</v>
      </c>
      <c r="C245" s="40" t="s">
        <v>17</v>
      </c>
      <c r="D245" s="40">
        <v>950</v>
      </c>
      <c r="F245" s="40" t="e">
        <v>#VALUE!</v>
      </c>
      <c r="G245" s="45">
        <v>45863</v>
      </c>
      <c r="H245" s="50" t="s">
        <v>104</v>
      </c>
      <c r="I245" s="47" t="s">
        <v>1196</v>
      </c>
      <c r="J245" s="40">
        <f>VLOOKUP(I245,[1]Vendors!$A:$B,2,FALSE)</f>
        <v>1558</v>
      </c>
      <c r="K245" s="40" t="s">
        <v>149</v>
      </c>
      <c r="L245" s="49">
        <v>4629.84</v>
      </c>
    </row>
    <row r="246" spans="1:13" x14ac:dyDescent="0.35">
      <c r="A246" s="40" t="str">
        <f t="shared" si="3"/>
        <v>JULYREV-38301/3</v>
      </c>
      <c r="B246" s="40">
        <v>122.5</v>
      </c>
      <c r="D246" s="40">
        <v>975</v>
      </c>
      <c r="E246" s="40" t="s">
        <v>151</v>
      </c>
      <c r="F246" s="40">
        <v>975</v>
      </c>
      <c r="G246" s="45">
        <v>45863</v>
      </c>
      <c r="H246" s="50" t="s">
        <v>104</v>
      </c>
      <c r="I246" s="47" t="s">
        <v>1196</v>
      </c>
      <c r="J246" s="40">
        <f>VLOOKUP(I246,[1]Vendors!$A:$B,2,FALSE)</f>
        <v>1558</v>
      </c>
      <c r="K246" s="40" t="s">
        <v>149</v>
      </c>
      <c r="M246" s="49">
        <v>4629.84</v>
      </c>
    </row>
    <row r="247" spans="1:13" x14ac:dyDescent="0.35">
      <c r="A247" s="40" t="str">
        <f t="shared" si="3"/>
        <v>JULYREV-38304/2</v>
      </c>
      <c r="B247" s="40">
        <v>123</v>
      </c>
      <c r="C247" s="40" t="s">
        <v>17</v>
      </c>
      <c r="D247" s="40">
        <v>950</v>
      </c>
      <c r="F247" s="40" t="e">
        <v>#VALUE!</v>
      </c>
      <c r="G247" s="45">
        <v>45863</v>
      </c>
      <c r="H247" s="50" t="s">
        <v>106</v>
      </c>
      <c r="I247" s="47" t="s">
        <v>1196</v>
      </c>
      <c r="J247" s="40">
        <f>VLOOKUP(I247,[1]Vendors!$A:$B,2,FALSE)</f>
        <v>1558</v>
      </c>
      <c r="K247" s="40" t="s">
        <v>149</v>
      </c>
      <c r="L247" s="49">
        <v>523.51</v>
      </c>
    </row>
    <row r="248" spans="1:13" x14ac:dyDescent="0.35">
      <c r="A248" s="40" t="str">
        <f t="shared" si="3"/>
        <v>JULYREV-38304/2</v>
      </c>
      <c r="B248" s="40">
        <v>123.5</v>
      </c>
      <c r="D248" s="40">
        <v>975</v>
      </c>
      <c r="E248" s="40" t="s">
        <v>151</v>
      </c>
      <c r="F248" s="40">
        <v>975</v>
      </c>
      <c r="G248" s="45">
        <v>45863</v>
      </c>
      <c r="H248" s="50" t="s">
        <v>106</v>
      </c>
      <c r="I248" s="47" t="s">
        <v>1196</v>
      </c>
      <c r="J248" s="40">
        <f>VLOOKUP(I248,[1]Vendors!$A:$B,2,FALSE)</f>
        <v>1558</v>
      </c>
      <c r="K248" s="40" t="s">
        <v>149</v>
      </c>
      <c r="M248" s="49">
        <v>523.51</v>
      </c>
    </row>
    <row r="249" spans="1:13" x14ac:dyDescent="0.35">
      <c r="A249" s="40" t="str">
        <f t="shared" si="3"/>
        <v>JULYREV-38332</v>
      </c>
      <c r="B249" s="40">
        <v>124</v>
      </c>
      <c r="C249" s="40" t="s">
        <v>17</v>
      </c>
      <c r="D249" s="40">
        <v>950</v>
      </c>
      <c r="F249" s="40" t="e">
        <v>#VALUE!</v>
      </c>
      <c r="G249" s="45">
        <v>45863</v>
      </c>
      <c r="H249" s="50">
        <v>38332</v>
      </c>
      <c r="I249" s="40" t="s">
        <v>107</v>
      </c>
      <c r="J249" s="40">
        <f>VLOOKUP(I249,[1]Vendors!$A:$B,2,FALSE)</f>
        <v>2466</v>
      </c>
      <c r="K249" s="40" t="s">
        <v>149</v>
      </c>
      <c r="L249" s="49">
        <v>1408.92</v>
      </c>
    </row>
    <row r="250" spans="1:13" x14ac:dyDescent="0.35">
      <c r="A250" s="40" t="str">
        <f t="shared" si="3"/>
        <v>JULYREV-38332</v>
      </c>
      <c r="B250" s="40">
        <v>124.5</v>
      </c>
      <c r="D250" s="40">
        <v>975</v>
      </c>
      <c r="E250" s="40" t="s">
        <v>151</v>
      </c>
      <c r="F250" s="40">
        <v>975</v>
      </c>
      <c r="G250" s="45">
        <v>45863</v>
      </c>
      <c r="H250" s="50">
        <v>38332</v>
      </c>
      <c r="I250" s="40" t="s">
        <v>107</v>
      </c>
      <c r="J250" s="40">
        <f>VLOOKUP(I250,[1]Vendors!$A:$B,2,FALSE)</f>
        <v>2466</v>
      </c>
      <c r="K250" s="40" t="s">
        <v>149</v>
      </c>
      <c r="M250" s="49">
        <v>1408.92</v>
      </c>
    </row>
    <row r="251" spans="1:13" x14ac:dyDescent="0.35">
      <c r="A251" s="40" t="str">
        <f t="shared" si="3"/>
        <v>JULYREV-36570</v>
      </c>
      <c r="B251" s="40">
        <v>125</v>
      </c>
      <c r="C251" s="40" t="s">
        <v>17</v>
      </c>
      <c r="D251" s="40">
        <v>950</v>
      </c>
      <c r="F251" s="40" t="e">
        <v>#VALUE!</v>
      </c>
      <c r="G251" s="45">
        <v>45868</v>
      </c>
      <c r="H251" s="50">
        <v>36570</v>
      </c>
      <c r="I251" s="40" t="s">
        <v>91</v>
      </c>
      <c r="J251" s="40">
        <f>VLOOKUP(I251,[1]Vendors!$A:$B,2,FALSE)</f>
        <v>649</v>
      </c>
      <c r="K251" s="40" t="s">
        <v>149</v>
      </c>
      <c r="L251" s="49">
        <v>3205.43</v>
      </c>
    </row>
    <row r="252" spans="1:13" x14ac:dyDescent="0.35">
      <c r="A252" s="40" t="str">
        <f t="shared" si="3"/>
        <v>JULYREV-36570</v>
      </c>
      <c r="B252" s="40">
        <v>125.5</v>
      </c>
      <c r="D252" s="40">
        <v>975</v>
      </c>
      <c r="E252" s="40" t="s">
        <v>151</v>
      </c>
      <c r="F252" s="40">
        <v>975</v>
      </c>
      <c r="G252" s="45">
        <v>45868</v>
      </c>
      <c r="H252" s="50">
        <v>36570</v>
      </c>
      <c r="I252" s="40" t="s">
        <v>91</v>
      </c>
      <c r="J252" s="40">
        <f>VLOOKUP(I252,[1]Vendors!$A:$B,2,FALSE)</f>
        <v>649</v>
      </c>
      <c r="K252" s="40" t="s">
        <v>149</v>
      </c>
      <c r="M252" s="49">
        <v>3205.43</v>
      </c>
    </row>
    <row r="253" spans="1:13" x14ac:dyDescent="0.35">
      <c r="A253" s="40" t="str">
        <f t="shared" si="3"/>
        <v>JULYREV-36581</v>
      </c>
      <c r="B253" s="40">
        <v>126</v>
      </c>
      <c r="C253" s="40" t="s">
        <v>17</v>
      </c>
      <c r="D253" s="40">
        <v>950</v>
      </c>
      <c r="F253" s="40" t="e">
        <v>#VALUE!</v>
      </c>
      <c r="G253" s="45">
        <v>45868</v>
      </c>
      <c r="H253" s="50">
        <v>36581</v>
      </c>
      <c r="I253" s="40" t="s">
        <v>91</v>
      </c>
      <c r="J253" s="40">
        <f>VLOOKUP(I253,[1]Vendors!$A:$B,2,FALSE)</f>
        <v>649</v>
      </c>
      <c r="K253" s="40" t="s">
        <v>149</v>
      </c>
      <c r="L253" s="49">
        <v>305.43</v>
      </c>
    </row>
    <row r="254" spans="1:13" x14ac:dyDescent="0.35">
      <c r="A254" s="40" t="str">
        <f t="shared" si="3"/>
        <v>JULYREV-36581</v>
      </c>
      <c r="B254" s="40">
        <v>126.5</v>
      </c>
      <c r="D254" s="40">
        <v>975</v>
      </c>
      <c r="E254" s="40" t="s">
        <v>151</v>
      </c>
      <c r="F254" s="40">
        <v>975</v>
      </c>
      <c r="G254" s="45">
        <v>45868</v>
      </c>
      <c r="H254" s="50">
        <v>36581</v>
      </c>
      <c r="I254" s="40" t="s">
        <v>91</v>
      </c>
      <c r="J254" s="40">
        <f>VLOOKUP(I254,[1]Vendors!$A:$B,2,FALSE)</f>
        <v>649</v>
      </c>
      <c r="K254" s="40" t="s">
        <v>149</v>
      </c>
      <c r="M254" s="49">
        <v>305.43</v>
      </c>
    </row>
    <row r="255" spans="1:13" x14ac:dyDescent="0.35">
      <c r="A255" s="40" t="str">
        <f t="shared" si="3"/>
        <v>JULYREV-38235/5</v>
      </c>
      <c r="B255" s="40">
        <v>127</v>
      </c>
      <c r="C255" s="40" t="s">
        <v>17</v>
      </c>
      <c r="D255" s="40">
        <v>950</v>
      </c>
      <c r="F255" s="40" t="e">
        <v>#VALUE!</v>
      </c>
      <c r="G255" s="45">
        <v>45868</v>
      </c>
      <c r="H255" s="50" t="s">
        <v>123</v>
      </c>
      <c r="I255" s="40" t="s">
        <v>64</v>
      </c>
      <c r="J255" s="40">
        <f>VLOOKUP(I255,[1]Vendors!$A:$B,2,FALSE)</f>
        <v>3338</v>
      </c>
      <c r="K255" s="40" t="s">
        <v>149</v>
      </c>
      <c r="L255" s="49">
        <v>12630.12</v>
      </c>
    </row>
    <row r="256" spans="1:13" x14ac:dyDescent="0.35">
      <c r="A256" s="40" t="str">
        <f t="shared" si="3"/>
        <v>JULYREV-38235/5</v>
      </c>
      <c r="B256" s="40">
        <v>127.5</v>
      </c>
      <c r="D256" s="40">
        <v>975</v>
      </c>
      <c r="E256" s="40" t="s">
        <v>151</v>
      </c>
      <c r="F256" s="40">
        <v>975</v>
      </c>
      <c r="G256" s="45">
        <v>45868</v>
      </c>
      <c r="H256" s="50" t="s">
        <v>123</v>
      </c>
      <c r="I256" s="40" t="s">
        <v>64</v>
      </c>
      <c r="J256" s="40">
        <f>VLOOKUP(I256,[1]Vendors!$A:$B,2,FALSE)</f>
        <v>3338</v>
      </c>
      <c r="K256" s="40" t="s">
        <v>149</v>
      </c>
      <c r="M256" s="49">
        <v>12630.12</v>
      </c>
    </row>
    <row r="257" spans="1:13" x14ac:dyDescent="0.35">
      <c r="A257" s="40" t="str">
        <f t="shared" si="3"/>
        <v>JULYREV-35801</v>
      </c>
      <c r="B257" s="40">
        <v>128</v>
      </c>
      <c r="C257" s="40" t="s">
        <v>17</v>
      </c>
      <c r="D257" s="40">
        <v>950</v>
      </c>
      <c r="F257" s="40" t="e">
        <v>#VALUE!</v>
      </c>
      <c r="G257" s="45">
        <v>45869</v>
      </c>
      <c r="H257" s="50">
        <v>35801</v>
      </c>
      <c r="I257" s="40" t="s">
        <v>55</v>
      </c>
      <c r="J257" s="40">
        <f>VLOOKUP(I257,[1]Vendors!$A:$B,2,FALSE)</f>
        <v>3335</v>
      </c>
      <c r="K257" s="40" t="s">
        <v>149</v>
      </c>
      <c r="L257" s="49">
        <v>9350</v>
      </c>
    </row>
    <row r="258" spans="1:13" x14ac:dyDescent="0.35">
      <c r="A258" s="40" t="str">
        <f t="shared" si="3"/>
        <v>JULYREV-35801</v>
      </c>
      <c r="B258" s="40">
        <v>128.5</v>
      </c>
      <c r="D258" s="40">
        <v>975</v>
      </c>
      <c r="E258" s="40" t="s">
        <v>151</v>
      </c>
      <c r="F258" s="40">
        <v>975</v>
      </c>
      <c r="G258" s="45">
        <v>45869</v>
      </c>
      <c r="H258" s="50">
        <v>35801</v>
      </c>
      <c r="I258" s="40" t="s">
        <v>55</v>
      </c>
      <c r="J258" s="40">
        <f>VLOOKUP(I258,[1]Vendors!$A:$B,2,FALSE)</f>
        <v>3335</v>
      </c>
      <c r="K258" s="40" t="s">
        <v>149</v>
      </c>
      <c r="M258" s="49">
        <v>9350</v>
      </c>
    </row>
    <row r="259" spans="1:13" x14ac:dyDescent="0.35">
      <c r="A259" s="40" t="str">
        <f t="shared" si="3"/>
        <v>JULYREV-35805</v>
      </c>
      <c r="B259" s="40">
        <v>129</v>
      </c>
      <c r="C259" s="40" t="s">
        <v>17</v>
      </c>
      <c r="D259" s="40">
        <v>950</v>
      </c>
      <c r="F259" s="40" t="e">
        <v>#VALUE!</v>
      </c>
      <c r="G259" s="45">
        <v>45869</v>
      </c>
      <c r="H259" s="50">
        <v>35805</v>
      </c>
      <c r="I259" s="40" t="s">
        <v>55</v>
      </c>
      <c r="J259" s="40">
        <f>VLOOKUP(I259,[1]Vendors!$A:$B,2,FALSE)</f>
        <v>3335</v>
      </c>
      <c r="K259" s="40" t="s">
        <v>149</v>
      </c>
      <c r="L259" s="49">
        <v>14435.92</v>
      </c>
    </row>
    <row r="260" spans="1:13" x14ac:dyDescent="0.35">
      <c r="A260" s="40" t="str">
        <f t="shared" ref="A260:A282" si="4">CONCATENATE("JULYREV","-",H260)</f>
        <v>JULYREV-35805</v>
      </c>
      <c r="B260" s="40">
        <v>129.5</v>
      </c>
      <c r="D260" s="40">
        <v>975</v>
      </c>
      <c r="E260" s="40" t="s">
        <v>151</v>
      </c>
      <c r="F260" s="40">
        <v>975</v>
      </c>
      <c r="G260" s="45">
        <v>45869</v>
      </c>
      <c r="H260" s="50">
        <v>35805</v>
      </c>
      <c r="I260" s="40" t="s">
        <v>55</v>
      </c>
      <c r="J260" s="40">
        <f>VLOOKUP(I260,[1]Vendors!$A:$B,2,FALSE)</f>
        <v>3335</v>
      </c>
      <c r="K260" s="40" t="s">
        <v>149</v>
      </c>
      <c r="M260" s="49">
        <v>14435.92</v>
      </c>
    </row>
    <row r="261" spans="1:13" x14ac:dyDescent="0.35">
      <c r="A261" s="40" t="str">
        <f t="shared" si="4"/>
        <v>JULYREV-36729</v>
      </c>
      <c r="B261" s="40">
        <v>130</v>
      </c>
      <c r="C261" s="40" t="s">
        <v>17</v>
      </c>
      <c r="D261" s="40">
        <v>950</v>
      </c>
      <c r="F261" s="40" t="e">
        <v>#VALUE!</v>
      </c>
      <c r="G261" s="45">
        <v>45869</v>
      </c>
      <c r="H261" s="50">
        <v>36729</v>
      </c>
      <c r="I261" s="40" t="s">
        <v>57</v>
      </c>
      <c r="J261" s="40">
        <f>VLOOKUP(I261,[1]Vendors!$A:$B,2,FALSE)</f>
        <v>3330</v>
      </c>
      <c r="K261" s="40" t="s">
        <v>149</v>
      </c>
      <c r="L261" s="49">
        <v>300.86</v>
      </c>
    </row>
    <row r="262" spans="1:13" x14ac:dyDescent="0.35">
      <c r="A262" s="40" t="str">
        <f t="shared" si="4"/>
        <v>JULYREV-36729</v>
      </c>
      <c r="B262" s="40">
        <v>130.5</v>
      </c>
      <c r="D262" s="40">
        <v>975</v>
      </c>
      <c r="E262" s="40" t="s">
        <v>151</v>
      </c>
      <c r="F262" s="40">
        <v>975</v>
      </c>
      <c r="G262" s="45">
        <v>45869</v>
      </c>
      <c r="H262" s="50">
        <v>36729</v>
      </c>
      <c r="I262" s="40" t="s">
        <v>57</v>
      </c>
      <c r="J262" s="40">
        <f>VLOOKUP(I262,[1]Vendors!$A:$B,2,FALSE)</f>
        <v>3330</v>
      </c>
      <c r="K262" s="40" t="s">
        <v>149</v>
      </c>
      <c r="M262" s="49">
        <v>300.86</v>
      </c>
    </row>
    <row r="263" spans="1:13" x14ac:dyDescent="0.35">
      <c r="A263" s="40" t="str">
        <f t="shared" si="4"/>
        <v>JULYREV-37682</v>
      </c>
      <c r="B263" s="40">
        <v>131</v>
      </c>
      <c r="C263" s="40" t="s">
        <v>17</v>
      </c>
      <c r="D263" s="40">
        <v>950</v>
      </c>
      <c r="F263" s="40" t="e">
        <v>#VALUE!</v>
      </c>
      <c r="G263" s="45">
        <v>45869</v>
      </c>
      <c r="H263" s="50">
        <v>37682</v>
      </c>
      <c r="I263" s="40" t="s">
        <v>75</v>
      </c>
      <c r="J263" s="40">
        <f>VLOOKUP(I263,[1]Vendors!$A:$B,2,FALSE)</f>
        <v>3320</v>
      </c>
      <c r="K263" s="40" t="s">
        <v>149</v>
      </c>
      <c r="L263" s="49">
        <v>4893.4399999999996</v>
      </c>
    </row>
    <row r="264" spans="1:13" x14ac:dyDescent="0.35">
      <c r="A264" s="40" t="str">
        <f t="shared" si="4"/>
        <v>JULYREV-37682</v>
      </c>
      <c r="B264" s="40">
        <v>131.5</v>
      </c>
      <c r="D264" s="40">
        <v>975</v>
      </c>
      <c r="E264" s="40" t="s">
        <v>151</v>
      </c>
      <c r="F264" s="40">
        <v>975</v>
      </c>
      <c r="G264" s="45">
        <v>45869</v>
      </c>
      <c r="H264" s="50">
        <v>37682</v>
      </c>
      <c r="I264" s="40" t="s">
        <v>75</v>
      </c>
      <c r="J264" s="40">
        <f>VLOOKUP(I264,[1]Vendors!$A:$B,2,FALSE)</f>
        <v>3320</v>
      </c>
      <c r="K264" s="40" t="s">
        <v>149</v>
      </c>
      <c r="M264" s="49">
        <v>4893.4399999999996</v>
      </c>
    </row>
    <row r="265" spans="1:13" x14ac:dyDescent="0.35">
      <c r="A265" s="40" t="str">
        <f t="shared" si="4"/>
        <v>JULYREV-38362</v>
      </c>
      <c r="B265" s="40">
        <v>132</v>
      </c>
      <c r="C265" s="40" t="s">
        <v>17</v>
      </c>
      <c r="D265" s="40">
        <v>950</v>
      </c>
      <c r="F265" s="40" t="e">
        <v>#VALUE!</v>
      </c>
      <c r="G265" s="45">
        <v>45869</v>
      </c>
      <c r="H265" s="50">
        <v>38362</v>
      </c>
      <c r="I265" s="40" t="s">
        <v>137</v>
      </c>
      <c r="J265" s="40">
        <f>VLOOKUP(I265,[1]Vendors!$A:$B,2,FALSE)</f>
        <v>3318</v>
      </c>
      <c r="K265" s="40" t="s">
        <v>149</v>
      </c>
      <c r="L265" s="49">
        <v>34212.879999999997</v>
      </c>
    </row>
    <row r="266" spans="1:13" x14ac:dyDescent="0.35">
      <c r="A266" s="40" t="str">
        <f t="shared" si="4"/>
        <v>JULYREV-38362</v>
      </c>
      <c r="B266" s="40">
        <v>132.5</v>
      </c>
      <c r="D266" s="40">
        <v>975</v>
      </c>
      <c r="E266" s="40" t="s">
        <v>151</v>
      </c>
      <c r="F266" s="40">
        <v>975</v>
      </c>
      <c r="G266" s="45">
        <v>45869</v>
      </c>
      <c r="H266" s="50">
        <v>38362</v>
      </c>
      <c r="I266" s="40" t="s">
        <v>137</v>
      </c>
      <c r="J266" s="40">
        <f>VLOOKUP(I266,[1]Vendors!$A:$B,2,FALSE)</f>
        <v>3318</v>
      </c>
      <c r="K266" s="40" t="s">
        <v>149</v>
      </c>
      <c r="M266" s="49">
        <v>34212.879999999997</v>
      </c>
    </row>
    <row r="267" spans="1:13" x14ac:dyDescent="0.35">
      <c r="A267" s="40" t="str">
        <f t="shared" si="4"/>
        <v>JULYREV-38384</v>
      </c>
      <c r="B267" s="40">
        <v>133</v>
      </c>
      <c r="C267" s="40" t="s">
        <v>17</v>
      </c>
      <c r="D267" s="40">
        <v>950</v>
      </c>
      <c r="F267" s="40" t="e">
        <v>#VALUE!</v>
      </c>
      <c r="G267" s="45">
        <v>45869</v>
      </c>
      <c r="H267" s="50">
        <v>38384</v>
      </c>
      <c r="I267" s="40" t="s">
        <v>66</v>
      </c>
      <c r="J267" s="40">
        <f>VLOOKUP(I267,[1]Vendors!$A:$B,2,FALSE)</f>
        <v>1548</v>
      </c>
      <c r="K267" s="40" t="s">
        <v>149</v>
      </c>
      <c r="L267" s="49">
        <v>3921.75</v>
      </c>
    </row>
    <row r="268" spans="1:13" x14ac:dyDescent="0.35">
      <c r="A268" s="40" t="str">
        <f t="shared" si="4"/>
        <v>JULYREV-38384</v>
      </c>
      <c r="B268" s="40">
        <v>133.5</v>
      </c>
      <c r="D268" s="40">
        <v>975</v>
      </c>
      <c r="E268" s="40" t="s">
        <v>151</v>
      </c>
      <c r="F268" s="40">
        <v>975</v>
      </c>
      <c r="G268" s="45">
        <v>45869</v>
      </c>
      <c r="H268" s="50">
        <v>38384</v>
      </c>
      <c r="I268" s="40" t="s">
        <v>66</v>
      </c>
      <c r="J268" s="40">
        <f>VLOOKUP(I268,[1]Vendors!$A:$B,2,FALSE)</f>
        <v>1548</v>
      </c>
      <c r="K268" s="40" t="s">
        <v>149</v>
      </c>
      <c r="M268" s="49">
        <v>3921.75</v>
      </c>
    </row>
    <row r="269" spans="1:13" x14ac:dyDescent="0.35">
      <c r="A269" s="40" t="str">
        <f t="shared" si="4"/>
        <v>JULYREV-38400</v>
      </c>
      <c r="B269" s="40">
        <v>134</v>
      </c>
      <c r="C269" s="40" t="s">
        <v>17</v>
      </c>
      <c r="D269" s="40">
        <v>950</v>
      </c>
      <c r="F269" s="40" t="e">
        <v>#VALUE!</v>
      </c>
      <c r="G269" s="45">
        <v>45869</v>
      </c>
      <c r="H269" s="50">
        <v>38400</v>
      </c>
      <c r="I269" s="40" t="s">
        <v>66</v>
      </c>
      <c r="J269" s="40">
        <f>VLOOKUP(I269,[1]Vendors!$A:$B,2,FALSE)</f>
        <v>1548</v>
      </c>
      <c r="K269" s="40" t="s">
        <v>149</v>
      </c>
      <c r="L269" s="49">
        <v>10904.08</v>
      </c>
    </row>
    <row r="270" spans="1:13" x14ac:dyDescent="0.35">
      <c r="A270" s="40" t="str">
        <f t="shared" si="4"/>
        <v>JULYREV-38400</v>
      </c>
      <c r="B270" s="40">
        <v>134.5</v>
      </c>
      <c r="D270" s="40">
        <v>975</v>
      </c>
      <c r="E270" s="40" t="s">
        <v>151</v>
      </c>
      <c r="F270" s="40">
        <v>975</v>
      </c>
      <c r="G270" s="45">
        <v>45869</v>
      </c>
      <c r="H270" s="50">
        <v>38400</v>
      </c>
      <c r="I270" s="40" t="s">
        <v>66</v>
      </c>
      <c r="J270" s="40">
        <f>VLOOKUP(I270,[1]Vendors!$A:$B,2,FALSE)</f>
        <v>1548</v>
      </c>
      <c r="K270" s="40" t="s">
        <v>149</v>
      </c>
      <c r="M270" s="49">
        <v>10904.08</v>
      </c>
    </row>
    <row r="271" spans="1:13" x14ac:dyDescent="0.35">
      <c r="A271" s="40" t="str">
        <f t="shared" si="4"/>
        <v>JULYREV-38623</v>
      </c>
      <c r="B271" s="40">
        <v>135</v>
      </c>
      <c r="C271" s="40" t="s">
        <v>17</v>
      </c>
      <c r="D271" s="40">
        <v>950</v>
      </c>
      <c r="F271" s="40" t="e">
        <v>#VALUE!</v>
      </c>
      <c r="G271" s="45">
        <v>45869</v>
      </c>
      <c r="H271" s="50">
        <v>38623</v>
      </c>
      <c r="I271" s="40" t="s">
        <v>144</v>
      </c>
      <c r="J271" s="40">
        <f>VLOOKUP(I271,[1]Vendors!$A:$B,2,FALSE)</f>
        <v>1688</v>
      </c>
      <c r="K271" s="40" t="s">
        <v>149</v>
      </c>
      <c r="L271" s="49">
        <v>10400</v>
      </c>
    </row>
    <row r="272" spans="1:13" x14ac:dyDescent="0.35">
      <c r="A272" s="40" t="str">
        <f t="shared" si="4"/>
        <v>JULYREV-38623</v>
      </c>
      <c r="B272" s="40">
        <v>135.5</v>
      </c>
      <c r="D272" s="40">
        <v>975</v>
      </c>
      <c r="E272" s="40" t="s">
        <v>151</v>
      </c>
      <c r="F272" s="40">
        <v>975</v>
      </c>
      <c r="G272" s="45">
        <v>45869</v>
      </c>
      <c r="H272" s="50">
        <v>38623</v>
      </c>
      <c r="I272" s="40" t="s">
        <v>144</v>
      </c>
      <c r="J272" s="40">
        <f>VLOOKUP(I272,[1]Vendors!$A:$B,2,FALSE)</f>
        <v>1688</v>
      </c>
      <c r="K272" s="40" t="s">
        <v>149</v>
      </c>
      <c r="M272" s="49">
        <v>10400</v>
      </c>
    </row>
    <row r="273" spans="1:13" x14ac:dyDescent="0.35">
      <c r="A273" s="40" t="str">
        <f t="shared" si="4"/>
        <v>JULYREV-37579/3</v>
      </c>
      <c r="B273" s="40">
        <v>136</v>
      </c>
      <c r="C273" s="40" t="s">
        <v>17</v>
      </c>
      <c r="D273" s="40">
        <v>950</v>
      </c>
      <c r="F273" s="40" t="e">
        <v>#VALUE!</v>
      </c>
      <c r="G273" s="45">
        <v>45839</v>
      </c>
      <c r="H273" s="50" t="s">
        <v>54</v>
      </c>
      <c r="I273" s="40" t="s">
        <v>55</v>
      </c>
      <c r="J273" s="40">
        <f>VLOOKUP(I273,[1]Vendors!$A:$B,2,FALSE)</f>
        <v>3335</v>
      </c>
      <c r="K273" s="40" t="s">
        <v>146</v>
      </c>
      <c r="L273" s="49">
        <v>33690.51</v>
      </c>
    </row>
    <row r="274" spans="1:13" x14ac:dyDescent="0.35">
      <c r="A274" s="40" t="str">
        <f t="shared" si="4"/>
        <v>JULYREV-37579/3</v>
      </c>
      <c r="B274" s="40">
        <v>136.5</v>
      </c>
      <c r="D274" s="40">
        <v>976</v>
      </c>
      <c r="E274" s="40" t="s">
        <v>150</v>
      </c>
      <c r="F274" s="40">
        <v>976</v>
      </c>
      <c r="G274" s="45">
        <v>45839</v>
      </c>
      <c r="H274" s="50" t="s">
        <v>54</v>
      </c>
      <c r="I274" s="40" t="s">
        <v>55</v>
      </c>
      <c r="J274" s="40">
        <f>VLOOKUP(I274,[1]Vendors!$A:$B,2,FALSE)</f>
        <v>3335</v>
      </c>
      <c r="K274" s="40" t="s">
        <v>146</v>
      </c>
      <c r="M274" s="49">
        <v>33690.51</v>
      </c>
    </row>
    <row r="275" spans="1:13" x14ac:dyDescent="0.35">
      <c r="A275" s="40" t="str">
        <f t="shared" si="4"/>
        <v>JULYREV-36570</v>
      </c>
      <c r="B275" s="40">
        <v>137</v>
      </c>
      <c r="C275" s="40" t="s">
        <v>17</v>
      </c>
      <c r="D275" s="40">
        <v>950</v>
      </c>
      <c r="F275" s="40" t="e">
        <v>#VALUE!</v>
      </c>
      <c r="G275" s="45">
        <v>45868</v>
      </c>
      <c r="H275" s="50">
        <v>36570</v>
      </c>
      <c r="I275" s="40" t="s">
        <v>91</v>
      </c>
      <c r="J275" s="40">
        <f>VLOOKUP(I275,[1]Vendors!$A:$B,2,FALSE)</f>
        <v>649</v>
      </c>
      <c r="K275" s="40" t="s">
        <v>146</v>
      </c>
      <c r="L275" s="49">
        <v>16950</v>
      </c>
    </row>
    <row r="276" spans="1:13" x14ac:dyDescent="0.35">
      <c r="A276" s="40" t="str">
        <f t="shared" si="4"/>
        <v>JULYREV-36570</v>
      </c>
      <c r="B276" s="40">
        <v>137.5</v>
      </c>
      <c r="D276" s="40">
        <v>976</v>
      </c>
      <c r="E276" s="40" t="s">
        <v>150</v>
      </c>
      <c r="F276" s="40">
        <v>976</v>
      </c>
      <c r="G276" s="45">
        <v>45868</v>
      </c>
      <c r="H276" s="50">
        <v>36570</v>
      </c>
      <c r="I276" s="40" t="s">
        <v>91</v>
      </c>
      <c r="J276" s="40">
        <f>VLOOKUP(I276,[1]Vendors!$A:$B,2,FALSE)</f>
        <v>649</v>
      </c>
      <c r="K276" s="40" t="s">
        <v>146</v>
      </c>
      <c r="M276" s="49">
        <v>16950</v>
      </c>
    </row>
    <row r="277" spans="1:13" x14ac:dyDescent="0.35">
      <c r="A277" s="40" t="str">
        <f t="shared" si="4"/>
        <v>JULYREV-36581</v>
      </c>
      <c r="B277" s="40">
        <v>138</v>
      </c>
      <c r="C277" s="40" t="s">
        <v>17</v>
      </c>
      <c r="D277" s="40">
        <v>950</v>
      </c>
      <c r="F277" s="40" t="e">
        <v>#VALUE!</v>
      </c>
      <c r="G277" s="45">
        <v>45868</v>
      </c>
      <c r="H277" s="50">
        <v>36581</v>
      </c>
      <c r="I277" s="40" t="s">
        <v>91</v>
      </c>
      <c r="J277" s="40">
        <f>VLOOKUP(I277,[1]Vendors!$A:$B,2,FALSE)</f>
        <v>649</v>
      </c>
      <c r="K277" s="40" t="s">
        <v>146</v>
      </c>
      <c r="L277" s="49">
        <v>2850</v>
      </c>
    </row>
    <row r="278" spans="1:13" x14ac:dyDescent="0.35">
      <c r="A278" s="40" t="str">
        <f t="shared" si="4"/>
        <v>JULYREV-36581</v>
      </c>
      <c r="B278" s="40">
        <v>138.5</v>
      </c>
      <c r="D278" s="40">
        <v>976</v>
      </c>
      <c r="E278" s="40" t="s">
        <v>150</v>
      </c>
      <c r="F278" s="40">
        <v>976</v>
      </c>
      <c r="G278" s="45">
        <v>45868</v>
      </c>
      <c r="H278" s="50">
        <v>36581</v>
      </c>
      <c r="I278" s="40" t="s">
        <v>91</v>
      </c>
      <c r="J278" s="40">
        <f>VLOOKUP(I278,[1]Vendors!$A:$B,2,FALSE)</f>
        <v>649</v>
      </c>
      <c r="K278" s="40" t="s">
        <v>146</v>
      </c>
      <c r="M278" s="49">
        <v>2850</v>
      </c>
    </row>
    <row r="279" spans="1:13" x14ac:dyDescent="0.35">
      <c r="A279" s="40" t="str">
        <f t="shared" si="4"/>
        <v>JULYREV-35760/7</v>
      </c>
      <c r="B279" s="40">
        <v>139</v>
      </c>
      <c r="C279" s="40" t="s">
        <v>17</v>
      </c>
      <c r="D279" s="40">
        <v>950</v>
      </c>
      <c r="F279" s="40" t="e">
        <v>#VALUE!</v>
      </c>
      <c r="G279" s="45">
        <v>45869</v>
      </c>
      <c r="H279" s="50" t="s">
        <v>147</v>
      </c>
      <c r="I279" s="40" t="s">
        <v>148</v>
      </c>
      <c r="J279" s="40">
        <f>VLOOKUP(I279,[1]Vendors!$A:$B,2,FALSE)</f>
        <v>3358</v>
      </c>
      <c r="K279" s="40" t="s">
        <v>146</v>
      </c>
      <c r="L279" s="49">
        <v>5492.4</v>
      </c>
    </row>
    <row r="280" spans="1:13" x14ac:dyDescent="0.35">
      <c r="A280" s="40" t="str">
        <f t="shared" si="4"/>
        <v>JULYREV-35760/7</v>
      </c>
      <c r="B280" s="40">
        <v>139.5</v>
      </c>
      <c r="D280" s="40">
        <v>976</v>
      </c>
      <c r="E280" s="40" t="s">
        <v>150</v>
      </c>
      <c r="F280" s="40">
        <v>976</v>
      </c>
      <c r="G280" s="45">
        <v>45869</v>
      </c>
      <c r="H280" s="50" t="s">
        <v>147</v>
      </c>
      <c r="I280" s="40" t="s">
        <v>148</v>
      </c>
      <c r="J280" s="40">
        <f>VLOOKUP(I280,[1]Vendors!$A:$B,2,FALSE)</f>
        <v>3358</v>
      </c>
      <c r="K280" s="40" t="s">
        <v>146</v>
      </c>
      <c r="M280" s="49">
        <v>5492.4</v>
      </c>
    </row>
    <row r="281" spans="1:13" x14ac:dyDescent="0.35">
      <c r="A281" s="40" t="str">
        <f t="shared" si="4"/>
        <v>JULYREV-36729</v>
      </c>
      <c r="B281" s="40">
        <v>140</v>
      </c>
      <c r="C281" s="40" t="s">
        <v>17</v>
      </c>
      <c r="D281" s="40">
        <v>950</v>
      </c>
      <c r="F281" s="40" t="e">
        <v>#VALUE!</v>
      </c>
      <c r="G281" s="45">
        <v>45869</v>
      </c>
      <c r="H281" s="50">
        <v>36729</v>
      </c>
      <c r="I281" s="40" t="s">
        <v>57</v>
      </c>
      <c r="J281" s="40">
        <f>VLOOKUP(I281,[1]Vendors!$A:$B,2,FALSE)</f>
        <v>3330</v>
      </c>
      <c r="K281" s="40" t="s">
        <v>146</v>
      </c>
      <c r="L281" s="49">
        <v>8600</v>
      </c>
    </row>
    <row r="282" spans="1:13" x14ac:dyDescent="0.35">
      <c r="A282" s="40" t="str">
        <f t="shared" si="4"/>
        <v>JULYREV-36729</v>
      </c>
      <c r="B282" s="40">
        <v>140.5</v>
      </c>
      <c r="D282" s="40">
        <v>976</v>
      </c>
      <c r="E282" s="40" t="s">
        <v>150</v>
      </c>
      <c r="F282" s="40">
        <v>976</v>
      </c>
      <c r="G282" s="45">
        <v>45869</v>
      </c>
      <c r="H282" s="50">
        <v>36729</v>
      </c>
      <c r="I282" s="40" t="s">
        <v>57</v>
      </c>
      <c r="J282" s="40">
        <f>VLOOKUP(I282,[1]Vendors!$A:$B,2,FALSE)</f>
        <v>3330</v>
      </c>
      <c r="K282" s="40" t="s">
        <v>146</v>
      </c>
      <c r="M282" s="49">
        <v>8600</v>
      </c>
    </row>
  </sheetData>
  <hyperlinks>
    <hyperlink ref="C3" r:id="rId1" display="https://9607261.app.netsuite.com/app/reporting/reportrunner.nl?fromreport=320&amp;regtx,tranline,kacct,x,alltranline5,IN,x,x=950&amp;cr=293" xr:uid="{8173AB28-F7C3-4D23-85F7-4947D2E6B4E3}"/>
    <hyperlink ref="C5" r:id="rId2" display="https://9607261.app.netsuite.com/app/reporting/reportrunner.nl?fromreport=320&amp;regtx,tranline,kacct,x,alltranline5,IN,x,x=950&amp;cr=293" xr:uid="{66129B20-F185-4E3B-A289-05DD7E9A1FDB}"/>
    <hyperlink ref="C7" r:id="rId3" display="https://9607261.app.netsuite.com/app/reporting/reportrunner.nl?fromreport=320&amp;regtx,tranline,kacct,x,alltranline5,IN,x,x=950&amp;cr=293" xr:uid="{0487FE02-FC0B-4412-AD33-0FB2B9BBDA48}"/>
    <hyperlink ref="C9" r:id="rId4" display="https://9607261.app.netsuite.com/app/reporting/reportrunner.nl?fromreport=320&amp;regtx,tranline,kacct,x,alltranline5,IN,x,x=950&amp;cr=293" xr:uid="{2EF7D826-4D80-44E9-84F9-A49410FD1EC9}"/>
    <hyperlink ref="C11" r:id="rId5" display="https://9607261.app.netsuite.com/app/reporting/reportrunner.nl?fromreport=320&amp;regtx,tranline,kacct,x,alltranline5,IN,x,x=950&amp;cr=293" xr:uid="{F02C44DD-7158-4C5E-AB71-DF9A285435FD}"/>
    <hyperlink ref="C13" r:id="rId6" display="https://9607261.app.netsuite.com/app/reporting/reportrunner.nl?fromreport=320&amp;regtx,tranline,kacct,x,alltranline5,IN,x,x=950&amp;cr=293" xr:uid="{CA476977-3814-43A4-9D71-1283EAFD59B5}"/>
    <hyperlink ref="C15" r:id="rId7" display="https://9607261.app.netsuite.com/app/reporting/reportrunner.nl?fromreport=320&amp;regtx,tranline,kacct,x,alltranline5,IN,x,x=950&amp;cr=293" xr:uid="{49D66BB0-8A32-4F79-AD33-C6AB26E41129}"/>
    <hyperlink ref="C17" r:id="rId8" display="https://9607261.app.netsuite.com/app/reporting/reportrunner.nl?fromreport=320&amp;regtx,tranline,kacct,x,alltranline5,IN,x,x=950&amp;cr=293" xr:uid="{BD7EE233-E0CF-4F4D-AA08-580E8C34FB70}"/>
    <hyperlink ref="C19" r:id="rId9" display="https://9607261.app.netsuite.com/app/reporting/reportrunner.nl?fromreport=320&amp;regtx,tranline,kacct,x,alltranline5,IN,x,x=950&amp;cr=293" xr:uid="{E2D508DC-3332-4686-9847-485F907189D6}"/>
    <hyperlink ref="C21" r:id="rId10" display="https://9607261.app.netsuite.com/app/reporting/reportrunner.nl?fromreport=320&amp;regtx,tranline,kacct,x,alltranline5,IN,x,x=950&amp;cr=293" xr:uid="{6FFE64F9-30D8-4042-AC66-71B7005C6461}"/>
    <hyperlink ref="C23" r:id="rId11" display="https://9607261.app.netsuite.com/app/reporting/reportrunner.nl?fromreport=320&amp;regtx,tranline,kacct,x,alltranline5,IN,x,x=950&amp;cr=293" xr:uid="{2FAF725B-5F9C-45D4-9A5C-63F880788614}"/>
    <hyperlink ref="C25" r:id="rId12" display="https://9607261.app.netsuite.com/app/reporting/reportrunner.nl?fromreport=320&amp;regtx,tranline,kacct,x,alltranline5,IN,x,x=950&amp;cr=293" xr:uid="{7AB9C3D4-5F1F-4135-B351-83B2ACDD3F5C}"/>
    <hyperlink ref="C27" r:id="rId13" display="https://9607261.app.netsuite.com/app/reporting/reportrunner.nl?fromreport=320&amp;regtx,tranline,kacct,x,alltranline5,IN,x,x=950&amp;cr=293" xr:uid="{B6C8B54D-350A-4D38-95F2-51556769DE2A}"/>
    <hyperlink ref="C29" r:id="rId14" display="https://9607261.app.netsuite.com/app/reporting/reportrunner.nl?fromreport=320&amp;regtx,tranline,kacct,x,alltranline5,IN,x,x=950&amp;cr=293" xr:uid="{973C0E74-D31F-4973-B265-C9CD774042DA}"/>
    <hyperlink ref="C31" r:id="rId15" display="https://9607261.app.netsuite.com/app/reporting/reportrunner.nl?fromreport=320&amp;regtx,tranline,kacct,x,alltranline5,IN,x,x=950&amp;cr=293" xr:uid="{9CD3C46F-ABE6-4039-9C91-A41A282B8460}"/>
    <hyperlink ref="C33" r:id="rId16" display="https://9607261.app.netsuite.com/app/reporting/reportrunner.nl?fromreport=320&amp;regtx,tranline,kacct,x,alltranline5,IN,x,x=950&amp;cr=293" xr:uid="{E92C2BBC-EBF6-4892-8823-594BA9506911}"/>
    <hyperlink ref="C35" r:id="rId17" display="https://9607261.app.netsuite.com/app/reporting/reportrunner.nl?fromreport=320&amp;regtx,tranline,kacct,x,alltranline5,IN,x,x=950&amp;cr=293" xr:uid="{A3A3B598-25D8-43D4-9D66-FD2CAFE4E0AA}"/>
    <hyperlink ref="C37" r:id="rId18" display="https://9607261.app.netsuite.com/app/reporting/reportrunner.nl?fromreport=320&amp;regtx,tranline,kacct,x,alltranline5,IN,x,x=950&amp;cr=293" xr:uid="{4A0CF7D3-D11B-4050-966F-F103A32FEA21}"/>
    <hyperlink ref="C39" r:id="rId19" display="https://9607261.app.netsuite.com/app/reporting/reportrunner.nl?fromreport=320&amp;regtx,tranline,kacct,x,alltranline5,IN,x,x=950&amp;cr=293" xr:uid="{74D7C9AC-A916-4DD7-8343-7E3CA0417CF1}"/>
    <hyperlink ref="C41" r:id="rId20" display="https://9607261.app.netsuite.com/app/reporting/reportrunner.nl?fromreport=320&amp;regtx,tranline,kacct,x,alltranline5,IN,x,x=950&amp;cr=293" xr:uid="{F7B5D18A-F225-4703-8275-716B00C33811}"/>
    <hyperlink ref="C43" r:id="rId21" display="https://9607261.app.netsuite.com/app/reporting/reportrunner.nl?fromreport=320&amp;regtx,tranline,kacct,x,alltranline5,IN,x,x=950&amp;cr=293" xr:uid="{19F3AC0F-AD6E-44CD-8219-ED41BE4CEAE5}"/>
    <hyperlink ref="C45" r:id="rId22" display="https://9607261.app.netsuite.com/app/reporting/reportrunner.nl?fromreport=320&amp;regtx,tranline,kacct,x,alltranline5,IN,x,x=950&amp;cr=293" xr:uid="{35A8D301-5DA4-4350-949F-CADE12C90C33}"/>
    <hyperlink ref="C47" r:id="rId23" display="https://9607261.app.netsuite.com/app/reporting/reportrunner.nl?fromreport=320&amp;regtx,tranline,kacct,x,alltranline5,IN,x,x=950&amp;cr=293" xr:uid="{8FC7B428-F4D2-411F-BF67-E0491D251369}"/>
    <hyperlink ref="C49" r:id="rId24" display="https://9607261.app.netsuite.com/app/reporting/reportrunner.nl?fromreport=320&amp;regtx,tranline,kacct,x,alltranline5,IN,x,x=950&amp;cr=293" xr:uid="{64B54C0C-AECA-4E78-BA3D-18748B6A5AD7}"/>
    <hyperlink ref="C51" r:id="rId25" display="https://9607261.app.netsuite.com/app/reporting/reportrunner.nl?fromreport=320&amp;regtx,tranline,kacct,x,alltranline5,IN,x,x=950&amp;cr=293" xr:uid="{CEFE2749-8F0F-426B-87CA-9A04637DB769}"/>
    <hyperlink ref="C53" r:id="rId26" display="https://9607261.app.netsuite.com/app/reporting/reportrunner.nl?fromreport=320&amp;regtx,tranline,kacct,x,alltranline5,IN,x,x=950&amp;cr=293" xr:uid="{5A422B04-9A92-40C2-9B8E-922091CA549B}"/>
    <hyperlink ref="C55" r:id="rId27" display="https://9607261.app.netsuite.com/app/reporting/reportrunner.nl?fromreport=320&amp;regtx,tranline,kacct,x,alltranline5,IN,x,x=950&amp;cr=293" xr:uid="{E8A6840A-C024-410A-926F-3033E5E041F0}"/>
    <hyperlink ref="C57" r:id="rId28" display="https://9607261.app.netsuite.com/app/reporting/reportrunner.nl?fromreport=320&amp;regtx,tranline,kacct,x,alltranline5,IN,x,x=950&amp;cr=293" xr:uid="{3A799BA7-CBFE-4AA0-8CBA-CC83C09867AA}"/>
    <hyperlink ref="C59" r:id="rId29" display="https://9607261.app.netsuite.com/app/reporting/reportrunner.nl?fromreport=320&amp;regtx,tranline,kacct,x,alltranline5,IN,x,x=950&amp;cr=293" xr:uid="{9C816C4B-0D43-4D64-9FA6-8A80391607B2}"/>
    <hyperlink ref="C61" r:id="rId30" display="https://9607261.app.netsuite.com/app/reporting/reportrunner.nl?fromreport=320&amp;regtx,tranline,kacct,x,alltranline5,IN,x,x=950&amp;cr=293" xr:uid="{94285658-3B20-4299-AFD9-9A580F5003E3}"/>
    <hyperlink ref="C63" r:id="rId31" display="https://9607261.app.netsuite.com/app/reporting/reportrunner.nl?fromreport=320&amp;regtx,tranline,kacct,x,alltranline5,IN,x,x=950&amp;cr=293" xr:uid="{EF0F265C-89D1-4C8E-A677-E243E249EB8E}"/>
    <hyperlink ref="C65" r:id="rId32" display="https://9607261.app.netsuite.com/app/reporting/reportrunner.nl?fromreport=320&amp;regtx,tranline,kacct,x,alltranline5,IN,x,x=950&amp;cr=293" xr:uid="{189057E6-2657-4975-9185-8D4D2B81EBF8}"/>
    <hyperlink ref="C67" r:id="rId33" display="https://9607261.app.netsuite.com/app/reporting/reportrunner.nl?fromreport=320&amp;regtx,tranline,kacct,x,alltranline5,IN,x,x=950&amp;cr=293" xr:uid="{1119E2B4-5007-4E50-8FAE-751EC4CDD5E1}"/>
    <hyperlink ref="C69" r:id="rId34" display="https://9607261.app.netsuite.com/app/reporting/reportrunner.nl?fromreport=320&amp;regtx,tranline,kacct,x,alltranline5,IN,x,x=950&amp;cr=293" xr:uid="{2C1AE81F-4B60-4485-90A3-5643CEE49B92}"/>
    <hyperlink ref="C71" r:id="rId35" display="https://9607261.app.netsuite.com/app/reporting/reportrunner.nl?fromreport=320&amp;regtx,tranline,kacct,x,alltranline5,IN,x,x=950&amp;cr=293" xr:uid="{D87F18AC-072E-42C6-8029-ADF544084819}"/>
    <hyperlink ref="C73" r:id="rId36" display="https://9607261.app.netsuite.com/app/reporting/reportrunner.nl?fromreport=320&amp;regtx,tranline,kacct,x,alltranline5,IN,x,x=950&amp;cr=293" xr:uid="{ABB30188-6C6B-4E4A-8090-01B1574B3247}"/>
    <hyperlink ref="C75" r:id="rId37" display="https://9607261.app.netsuite.com/app/reporting/reportrunner.nl?fromreport=320&amp;regtx,tranline,kacct,x,alltranline5,IN,x,x=950&amp;cr=293" xr:uid="{EFD2A780-7AC2-478C-868D-581F79A36007}"/>
    <hyperlink ref="C77" r:id="rId38" display="https://9607261.app.netsuite.com/app/reporting/reportrunner.nl?fromreport=320&amp;regtx,tranline,kacct,x,alltranline5,IN,x,x=950&amp;cr=293" xr:uid="{DE5D6CDD-A357-4114-BC93-4B2D3AEE4FCA}"/>
    <hyperlink ref="C79" r:id="rId39" display="https://9607261.app.netsuite.com/app/reporting/reportrunner.nl?fromreport=320&amp;regtx,tranline,kacct,x,alltranline5,IN,x,x=950&amp;cr=293" xr:uid="{32179F77-86D5-48E9-A927-E0B33D3073E3}"/>
    <hyperlink ref="C81" r:id="rId40" display="https://9607261.app.netsuite.com/app/reporting/reportrunner.nl?fromreport=320&amp;regtx,tranline,kacct,x,alltranline5,IN,x,x=950&amp;cr=293" xr:uid="{3C3AF168-CA3A-4BFB-9AA1-289627A6DA34}"/>
    <hyperlink ref="C83" r:id="rId41" display="https://9607261.app.netsuite.com/app/reporting/reportrunner.nl?fromreport=320&amp;regtx,tranline,kacct,x,alltranline5,IN,x,x=950&amp;cr=293" xr:uid="{AA089AB6-0DB1-401F-9AA9-E4BAB51EA674}"/>
    <hyperlink ref="C85" r:id="rId42" display="https://9607261.app.netsuite.com/app/reporting/reportrunner.nl?fromreport=320&amp;regtx,tranline,kacct,x,alltranline5,IN,x,x=950&amp;cr=293" xr:uid="{0D2F33E8-3FD8-4AE8-9579-BA2485BE9FA3}"/>
    <hyperlink ref="C87" r:id="rId43" display="https://9607261.app.netsuite.com/app/reporting/reportrunner.nl?fromreport=320&amp;regtx,tranline,kacct,x,alltranline5,IN,x,x=950&amp;cr=293" xr:uid="{BEBD73F6-A3F6-43A0-AC7E-1C9AF3A90B0A}"/>
    <hyperlink ref="C89" r:id="rId44" display="https://9607261.app.netsuite.com/app/reporting/reportrunner.nl?fromreport=320&amp;regtx,tranline,kacct,x,alltranline5,IN,x,x=950&amp;cr=293" xr:uid="{0393699B-9BE0-4E94-A0A7-56B85D13384B}"/>
    <hyperlink ref="C91" r:id="rId45" display="https://9607261.app.netsuite.com/app/reporting/reportrunner.nl?fromreport=320&amp;regtx,tranline,kacct,x,alltranline5,IN,x,x=950&amp;cr=293" xr:uid="{8F39BF73-2164-4385-B6DA-86A0AACD2C07}"/>
    <hyperlink ref="C93" r:id="rId46" display="https://9607261.app.netsuite.com/app/reporting/reportrunner.nl?fromreport=320&amp;regtx,tranline,kacct,x,alltranline5,IN,x,x=950&amp;cr=293" xr:uid="{B351D396-E627-40B3-8AEF-8A858454BC5F}"/>
    <hyperlink ref="C95" r:id="rId47" display="https://9607261.app.netsuite.com/app/reporting/reportrunner.nl?fromreport=320&amp;regtx,tranline,kacct,x,alltranline5,IN,x,x=950&amp;cr=293" xr:uid="{0E55DDAB-58B1-423C-8B0A-113F821CC209}"/>
    <hyperlink ref="C97" r:id="rId48" display="https://9607261.app.netsuite.com/app/reporting/reportrunner.nl?fromreport=320&amp;regtx,tranline,kacct,x,alltranline5,IN,x,x=950&amp;cr=293" xr:uid="{66C3F8F2-35E7-424F-A4D3-8E21D6B0A0E2}"/>
    <hyperlink ref="C99" r:id="rId49" display="https://9607261.app.netsuite.com/app/reporting/reportrunner.nl?fromreport=320&amp;regtx,tranline,kacct,x,alltranline5,IN,x,x=950&amp;cr=293" xr:uid="{5D7B1ED3-6B9F-4946-835E-08F5B5316A52}"/>
    <hyperlink ref="C101" r:id="rId50" display="https://9607261.app.netsuite.com/app/reporting/reportrunner.nl?fromreport=320&amp;regtx,tranline,kacct,x,alltranline5,IN,x,x=950&amp;cr=293" xr:uid="{43675780-8BB0-40AE-9097-DA3F2A2E5488}"/>
    <hyperlink ref="C103" r:id="rId51" display="https://9607261.app.netsuite.com/app/reporting/reportrunner.nl?fromreport=320&amp;regtx,tranline,kacct,x,alltranline5,IN,x,x=950&amp;cr=293" xr:uid="{6386C354-3754-4446-BE5B-E6E625C2ABF9}"/>
    <hyperlink ref="C105" r:id="rId52" display="https://9607261.app.netsuite.com/app/reporting/reportrunner.nl?fromreport=320&amp;regtx,tranline,kacct,x,alltranline5,IN,x,x=950&amp;cr=293" xr:uid="{EA154DE7-572A-43CF-8642-3E1E39579DAA}"/>
    <hyperlink ref="C107" r:id="rId53" display="https://9607261.app.netsuite.com/app/reporting/reportrunner.nl?fromreport=320&amp;regtx,tranline,kacct,x,alltranline5,IN,x,x=950&amp;cr=293" xr:uid="{B80BF9E0-B403-419D-A979-CC6B8F34FC9D}"/>
    <hyperlink ref="C109" r:id="rId54" display="https://9607261.app.netsuite.com/app/reporting/reportrunner.nl?fromreport=320&amp;regtx,tranline,kacct,x,alltranline5,IN,x,x=950&amp;cr=293" xr:uid="{B89A41E9-D2A5-43E5-8F35-1188841C134B}"/>
    <hyperlink ref="C111" r:id="rId55" display="https://9607261.app.netsuite.com/app/reporting/reportrunner.nl?fromreport=320&amp;regtx,tranline,kacct,x,alltranline5,IN,x,x=950&amp;cr=293" xr:uid="{3A030177-7E2D-4778-9125-D8A69DB0E09C}"/>
    <hyperlink ref="C113" r:id="rId56" display="https://9607261.app.netsuite.com/app/reporting/reportrunner.nl?fromreport=320&amp;regtx,tranline,kacct,x,alltranline5,IN,x,x=950&amp;cr=293" xr:uid="{2372A5A2-97C2-462D-8530-9CD8EC3BAB5D}"/>
    <hyperlink ref="C115" r:id="rId57" display="https://9607261.app.netsuite.com/app/reporting/reportrunner.nl?fromreport=320&amp;regtx,tranline,kacct,x,alltranline5,IN,x,x=950&amp;cr=293" xr:uid="{9A88FF95-F822-4793-A0D2-6DA32DF29F42}"/>
    <hyperlink ref="C117" r:id="rId58" display="https://9607261.app.netsuite.com/app/reporting/reportrunner.nl?fromreport=320&amp;regtx,tranline,kacct,x,alltranline5,IN,x,x=950&amp;cr=293" xr:uid="{40A4CC23-7B49-4FE8-8838-0B4B2CD61EEF}"/>
    <hyperlink ref="C119" r:id="rId59" display="https://9607261.app.netsuite.com/app/reporting/reportrunner.nl?fromreport=320&amp;regtx,tranline,kacct,x,alltranline5,IN,x,x=950&amp;cr=293" xr:uid="{32BACC3E-7886-4A44-9DB5-CF377281CA87}"/>
    <hyperlink ref="C121" r:id="rId60" display="https://9607261.app.netsuite.com/app/reporting/reportrunner.nl?fromreport=320&amp;regtx,tranline,kacct,x,alltranline5,IN,x,x=950&amp;cr=293" xr:uid="{3BE9737A-D11A-4D14-A082-6DDFE8E031FD}"/>
    <hyperlink ref="C123" r:id="rId61" display="https://9607261.app.netsuite.com/app/reporting/reportrunner.nl?fromreport=320&amp;regtx,tranline,kacct,x,alltranline5,IN,x,x=950&amp;cr=293" xr:uid="{80BD3CE9-B261-418F-806E-528EF2B71874}"/>
    <hyperlink ref="C125" r:id="rId62" display="https://9607261.app.netsuite.com/app/reporting/reportrunner.nl?fromreport=320&amp;regtx,tranline,kacct,x,alltranline5,IN,x,x=950&amp;cr=293" xr:uid="{E7CC0D69-A94A-4462-85DA-C7D5ED1A7609}"/>
    <hyperlink ref="C127" r:id="rId63" display="https://9607261.app.netsuite.com/app/reporting/reportrunner.nl?fromreport=320&amp;regtx,tranline,kacct,x,alltranline5,IN,x,x=950&amp;cr=293" xr:uid="{B3BA95BD-3452-4121-9334-F0D2DBEAD653}"/>
    <hyperlink ref="C129" r:id="rId64" display="https://9607261.app.netsuite.com/app/reporting/reportrunner.nl?fromreport=320&amp;regtx,tranline,kacct,x,alltranline5,IN,x,x=950&amp;cr=293" xr:uid="{EEDD040D-1D29-4A10-9BA6-463459531C33}"/>
    <hyperlink ref="C131" r:id="rId65" display="https://9607261.app.netsuite.com/app/reporting/reportrunner.nl?fromreport=320&amp;regtx,tranline,kacct,x,alltranline5,IN,x,x=950&amp;cr=293" xr:uid="{D64D5EBE-B51C-4ACE-87A4-6C7B508D4D9F}"/>
    <hyperlink ref="C133" r:id="rId66" display="https://9607261.app.netsuite.com/app/reporting/reportrunner.nl?fromreport=320&amp;regtx,tranline,kacct,x,alltranline5,IN,x,x=950&amp;cr=293" xr:uid="{C8FF5BC7-F11B-4F71-BAB1-E491BF48AE36}"/>
    <hyperlink ref="C135" r:id="rId67" display="https://9607261.app.netsuite.com/app/reporting/reportrunner.nl?fromreport=320&amp;regtx,tranline,kacct,x,alltranline5,IN,x,x=950&amp;cr=293" xr:uid="{A61FCA2C-4D27-4752-AFD0-752CD153FE30}"/>
    <hyperlink ref="C137" r:id="rId68" display="https://9607261.app.netsuite.com/app/reporting/reportrunner.nl?fromreport=320&amp;regtx,tranline,kacct,x,alltranline5,IN,x,x=950&amp;cr=293" xr:uid="{4A6989C0-08D9-46F4-BCAC-207304C2C886}"/>
    <hyperlink ref="C139" r:id="rId69" display="https://9607261.app.netsuite.com/app/reporting/reportrunner.nl?fromreport=320&amp;regtx,tranline,kacct,x,alltranline5,IN,x,x=950&amp;cr=293" xr:uid="{260068FB-E8F8-41E0-A073-E9D544445FDB}"/>
    <hyperlink ref="C141" r:id="rId70" display="https://9607261.app.netsuite.com/app/reporting/reportrunner.nl?fromreport=320&amp;regtx,tranline,kacct,x,alltranline5,IN,x,x=950&amp;cr=293" xr:uid="{D1E92396-F008-46C2-AF06-20469307678F}"/>
    <hyperlink ref="C143" r:id="rId71" display="https://9607261.app.netsuite.com/app/reporting/reportrunner.nl?fromreport=320&amp;regtx,tranline,kacct,x,alltranline5,IN,x,x=950&amp;cr=293" xr:uid="{0B75E50A-EC20-4260-9D7A-3FF290A020D6}"/>
    <hyperlink ref="C145" r:id="rId72" display="https://9607261.app.netsuite.com/app/reporting/reportrunner.nl?fromreport=320&amp;regtx,tranline,kacct,x,alltranline5,IN,x,x=950&amp;cr=293" xr:uid="{598D1AB2-1349-420E-870E-848EA195C3DD}"/>
    <hyperlink ref="C147" r:id="rId73" display="https://9607261.app.netsuite.com/app/reporting/reportrunner.nl?fromreport=320&amp;regtx,tranline,kacct,x,alltranline5,IN,x,x=950&amp;cr=293" xr:uid="{43CA8F84-A342-4EF2-A105-8EE5BDFF3A2B}"/>
    <hyperlink ref="C149" r:id="rId74" display="https://9607261.app.netsuite.com/app/reporting/reportrunner.nl?fromreport=320&amp;regtx,tranline,kacct,x,alltranline5,IN,x,x=950&amp;cr=293" xr:uid="{73942451-71D4-47F2-B9F6-D4AEC7FF2F6E}"/>
    <hyperlink ref="C151" r:id="rId75" display="https://9607261.app.netsuite.com/app/reporting/reportrunner.nl?fromreport=320&amp;regtx,tranline,kacct,x,alltranline5,IN,x,x=950&amp;cr=293" xr:uid="{63B4B671-9395-46ED-B018-A06AEA033F70}"/>
    <hyperlink ref="C153" r:id="rId76" display="https://9607261.app.netsuite.com/app/reporting/reportrunner.nl?fromreport=320&amp;regtx,tranline,kacct,x,alltranline5,IN,x,x=950&amp;cr=293" xr:uid="{5C87DA72-EA21-419D-B187-F4CD4C68FE62}"/>
    <hyperlink ref="C155" r:id="rId77" display="https://9607261.app.netsuite.com/app/reporting/reportrunner.nl?fromreport=320&amp;regtx,tranline,kacct,x,alltranline5,IN,x,x=950&amp;cr=293" xr:uid="{4C3948E3-6368-4132-9EF9-9F03E19AD707}"/>
    <hyperlink ref="C157" r:id="rId78" display="https://9607261.app.netsuite.com/app/reporting/reportrunner.nl?fromreport=320&amp;regtx,tranline,kacct,x,alltranline5,IN,x,x=950&amp;cr=293" xr:uid="{AD8C7561-107C-4614-9D15-9E022B3FF29C}"/>
    <hyperlink ref="C159" r:id="rId79" display="https://9607261.app.netsuite.com/app/reporting/reportrunner.nl?fromreport=320&amp;regtx,tranline,kacct,x,alltranline5,IN,x,x=950&amp;cr=293" xr:uid="{63D447AC-0123-48D3-877B-94FA6686ED3B}"/>
    <hyperlink ref="C161" r:id="rId80" display="https://9607261.app.netsuite.com/app/reporting/reportrunner.nl?fromreport=320&amp;regtx,tranline,kacct,x,alltranline5,IN,x,x=950&amp;cr=293" xr:uid="{4CCF34D1-E8BA-44CC-A470-EC854170BED0}"/>
    <hyperlink ref="C163" r:id="rId81" display="https://9607261.app.netsuite.com/app/reporting/reportrunner.nl?fromreport=320&amp;regtx,tranline,kacct,x,alltranline5,IN,x,x=950&amp;cr=293" xr:uid="{D61ECE56-B461-429D-A88D-A9DC96C161DB}"/>
    <hyperlink ref="C165" r:id="rId82" display="https://9607261.app.netsuite.com/app/reporting/reportrunner.nl?fromreport=320&amp;regtx,tranline,kacct,x,alltranline5,IN,x,x=950&amp;cr=293" xr:uid="{4B01D169-6F8E-4B1A-8FDD-214F75E846D3}"/>
    <hyperlink ref="C167" r:id="rId83" display="https://9607261.app.netsuite.com/app/reporting/reportrunner.nl?fromreport=320&amp;regtx,tranline,kacct,x,alltranline5,IN,x,x=950&amp;cr=293" xr:uid="{A42CE0EA-D957-42E9-B668-FDA6970BA51B}"/>
    <hyperlink ref="C169" r:id="rId84" display="https://9607261.app.netsuite.com/app/reporting/reportrunner.nl?fromreport=320&amp;regtx,tranline,kacct,x,alltranline5,IN,x,x=950&amp;cr=293" xr:uid="{D3B50AF6-26A7-4D5D-AEF7-D2CE6140CE66}"/>
    <hyperlink ref="C171" r:id="rId85" display="https://9607261.app.netsuite.com/app/reporting/reportrunner.nl?fromreport=320&amp;regtx,tranline,kacct,x,alltranline5,IN,x,x=950&amp;cr=293" xr:uid="{0F667394-B847-4013-A78F-63C04DEEAE91}"/>
    <hyperlink ref="C173" r:id="rId86" display="https://9607261.app.netsuite.com/app/reporting/reportrunner.nl?fromreport=320&amp;regtx,tranline,kacct,x,alltranline5,IN,x,x=950&amp;cr=293" xr:uid="{CC972207-391C-43D7-B7C0-611429ADF154}"/>
    <hyperlink ref="C175" r:id="rId87" display="https://9607261.app.netsuite.com/app/reporting/reportrunner.nl?fromreport=320&amp;regtx,tranline,kacct,x,alltranline5,IN,x,x=950&amp;cr=293" xr:uid="{5038D62E-DCF8-4DB4-A475-08616DABA103}"/>
    <hyperlink ref="C177" r:id="rId88" display="https://9607261.app.netsuite.com/app/reporting/reportrunner.nl?fromreport=320&amp;regtx,tranline,kacct,x,alltranline5,IN,x,x=950&amp;cr=293" xr:uid="{25C195DD-9EF5-472E-8EE0-178F69CBF1BE}"/>
    <hyperlink ref="C179" r:id="rId89" display="https://9607261.app.netsuite.com/app/reporting/reportrunner.nl?fromreport=320&amp;regtx,tranline,kacct,x,alltranline5,IN,x,x=950&amp;cr=293" xr:uid="{698348B6-F99C-4529-823D-B1A60EC0A4FF}"/>
    <hyperlink ref="C181" r:id="rId90" display="https://9607261.app.netsuite.com/app/reporting/reportrunner.nl?fromreport=320&amp;regtx,tranline,kacct,x,alltranline5,IN,x,x=950&amp;cr=293" xr:uid="{EA3A6FEE-447F-4A91-A406-C347B4920CB2}"/>
    <hyperlink ref="C183" r:id="rId91" display="https://9607261.app.netsuite.com/app/reporting/reportrunner.nl?fromreport=320&amp;regtx,tranline,kacct,x,alltranline5,IN,x,x=950&amp;cr=293" xr:uid="{8DBBDDE3-3F0D-4AD8-AAAB-8102DDC0BDCE}"/>
    <hyperlink ref="C185" r:id="rId92" display="https://9607261.app.netsuite.com/app/reporting/reportrunner.nl?fromreport=320&amp;regtx,tranline,kacct,x,alltranline5,IN,x,x=950&amp;cr=293" xr:uid="{514D4E6B-ED47-411A-A3D5-72E41D3967D3}"/>
    <hyperlink ref="C187" r:id="rId93" display="https://9607261.app.netsuite.com/app/reporting/reportrunner.nl?fromreport=320&amp;regtx,tranline,kacct,x,alltranline5,IN,x,x=950&amp;cr=293" xr:uid="{21A70FCD-5932-4D5D-80F0-D66A8989F832}"/>
    <hyperlink ref="C189" r:id="rId94" display="https://9607261.app.netsuite.com/app/reporting/reportrunner.nl?fromreport=320&amp;regtx,tranline,kacct,x,alltranline5,IN,x,x=950&amp;cr=293" xr:uid="{2DA53FBA-5AFE-4B09-82F4-125A3FFBF3B2}"/>
    <hyperlink ref="C191" r:id="rId95" display="https://9607261.app.netsuite.com/app/reporting/reportrunner.nl?fromreport=320&amp;regtx,tranline,kacct,x,alltranline5,IN,x,x=950&amp;cr=293" xr:uid="{7F100E5B-6A4A-402E-AF5C-61B998D8A795}"/>
    <hyperlink ref="C193" r:id="rId96" display="https://9607261.app.netsuite.com/app/reporting/reportrunner.nl?fromreport=320&amp;regtx,tranline,kacct,x,alltranline5,IN,x,x=950&amp;cr=293" xr:uid="{D9BA73E5-F22D-4994-B447-99C5F767A44A}"/>
    <hyperlink ref="C195" r:id="rId97" display="https://9607261.app.netsuite.com/app/reporting/reportrunner.nl?fromreport=320&amp;regtx,tranline,kacct,x,alltranline5,IN,x,x=950&amp;cr=293" xr:uid="{34C2A26C-151A-48B3-B323-A5FDFE557A7D}"/>
    <hyperlink ref="C197" r:id="rId98" display="https://9607261.app.netsuite.com/app/reporting/reportrunner.nl?fromreport=320&amp;regtx,tranline,kacct,x,alltranline5,IN,x,x=950&amp;cr=293" xr:uid="{E5A51EE4-2D81-4A15-A2C6-15E9308C21AC}"/>
    <hyperlink ref="C199" r:id="rId99" display="https://9607261.app.netsuite.com/app/reporting/reportrunner.nl?fromreport=320&amp;regtx,tranline,kacct,x,alltranline5,IN,x,x=950&amp;cr=293" xr:uid="{2589DDE5-0D86-4C62-B82B-47B7540E3F85}"/>
    <hyperlink ref="C201" r:id="rId100" display="https://9607261.app.netsuite.com/app/reporting/reportrunner.nl?fromreport=320&amp;regtx,tranline,kacct,x,alltranline5,IN,x,x=950&amp;cr=293" xr:uid="{45A76BFD-DFD1-4B8B-8CE9-4B60F894362E}"/>
    <hyperlink ref="C203" r:id="rId101" display="https://9607261.app.netsuite.com/app/reporting/reportrunner.nl?fromreport=320&amp;regtx,tranline,kacct,x,alltranline5,IN,x,x=950&amp;cr=293" xr:uid="{92377116-261F-412E-A2B0-CD325FBF86C1}"/>
    <hyperlink ref="C205" r:id="rId102" display="https://9607261.app.netsuite.com/app/reporting/reportrunner.nl?fromreport=320&amp;regtx,tranline,kacct,x,alltranline5,IN,x,x=950&amp;cr=293" xr:uid="{494F9134-6B98-4865-AC1F-56867F1CC33B}"/>
    <hyperlink ref="C207" r:id="rId103" display="https://9607261.app.netsuite.com/app/reporting/reportrunner.nl?fromreport=320&amp;regtx,tranline,kacct,x,alltranline5,IN,x,x=950&amp;cr=293" xr:uid="{8FFF7F9D-60D3-4D14-87B0-24EEBCC63C06}"/>
    <hyperlink ref="C209" r:id="rId104" display="https://9607261.app.netsuite.com/app/reporting/reportrunner.nl?fromreport=320&amp;regtx,tranline,kacct,x,alltranline5,IN,x,x=950&amp;cr=293" xr:uid="{25E2E172-6137-4386-8CA0-088B902D7B6B}"/>
    <hyperlink ref="C211" r:id="rId105" display="https://9607261.app.netsuite.com/app/reporting/reportrunner.nl?fromreport=320&amp;regtx,tranline,kacct,x,alltranline5,IN,x,x=950&amp;cr=293" xr:uid="{F0D5051C-60CF-4806-8FBC-4E7CD693F72B}"/>
    <hyperlink ref="C109:C113" r:id="rId106" display="https://9607261.app.netsuite.com/app/reporting/reportrunner.nl?fromreport=320&amp;regtx,tranline,kacct,x,alltranline5,IN,x,x=950&amp;cr=293" xr:uid="{8A94CDED-A5A4-4219-BDEC-4A5BE053C0AD}"/>
    <hyperlink ref="C225" r:id="rId107" display="https://9607261.app.netsuite.com/app/reporting/reportrunner.nl?fromreport=320&amp;regtx,tranline,kacct,x,alltranline5,IN,x,x=950&amp;cr=293" xr:uid="{2EAF46D5-2395-44A1-9EF0-5E6A762E7571}"/>
    <hyperlink ref="C223" r:id="rId108" display="https://9607261.app.netsuite.com/app/reporting/reportrunner.nl?fromreport=320&amp;regtx,tranline,kacct,x,alltranline5,IN,x,x=950&amp;cr=293" xr:uid="{91C92A7A-1012-4FC7-850F-7B48CAAEE768}"/>
    <hyperlink ref="C227" r:id="rId109" display="https://9607261.app.netsuite.com/app/reporting/reportrunner.nl?fromreport=320&amp;regtx,tranline,kacct,x,alltranline5,IN,x,x=950&amp;cr=293" xr:uid="{74AC4E60-4B3A-45CE-9FC1-3B266D9ABC9B}"/>
    <hyperlink ref="C229" r:id="rId110" display="https://9607261.app.netsuite.com/app/reporting/reportrunner.nl?fromreport=320&amp;regtx,tranline,kacct,x,alltranline5,IN,x,x=950&amp;cr=293" xr:uid="{1DC47B89-DF5A-4C2C-8702-E22DB92A02E1}"/>
    <hyperlink ref="C231" r:id="rId111" display="https://9607261.app.netsuite.com/app/reporting/reportrunner.nl?fromreport=320&amp;regtx,tranline,kacct,x,alltranline5,IN,x,x=950&amp;cr=293" xr:uid="{E6A54B9B-C98D-441A-B931-3A4702AE1EB0}"/>
    <hyperlink ref="C233" r:id="rId112" display="https://9607261.app.netsuite.com/app/reporting/reportrunner.nl?fromreport=320&amp;regtx,tranline,kacct,x,alltranline5,IN,x,x=950&amp;cr=293" xr:uid="{816746BA-C5A7-43B1-94E7-259A94261D7B}"/>
    <hyperlink ref="C235" r:id="rId113" display="https://9607261.app.netsuite.com/app/reporting/reportrunner.nl?fromreport=320&amp;regtx,tranline,kacct,x,alltranline5,IN,x,x=950&amp;cr=293" xr:uid="{606DF8E5-8989-4483-A309-9FF9282FAB68}"/>
    <hyperlink ref="C237" r:id="rId114" display="https://9607261.app.netsuite.com/app/reporting/reportrunner.nl?fromreport=320&amp;regtx,tranline,kacct,x,alltranline5,IN,x,x=950&amp;cr=293" xr:uid="{66D88CD6-077F-47B5-BBF1-7D3E5C4DA498}"/>
    <hyperlink ref="C239" r:id="rId115" display="https://9607261.app.netsuite.com/app/reporting/reportrunner.nl?fromreport=320&amp;regtx,tranline,kacct,x,alltranline5,IN,x,x=950&amp;cr=293" xr:uid="{E53F6256-EDCB-4B6D-9D31-B34CB45D76D4}"/>
    <hyperlink ref="C241" r:id="rId116" display="https://9607261.app.netsuite.com/app/reporting/reportrunner.nl?fromreport=320&amp;regtx,tranline,kacct,x,alltranline5,IN,x,x=950&amp;cr=293" xr:uid="{EB12EFAD-0DD6-4015-ADCD-28DBD12B7534}"/>
    <hyperlink ref="C243" r:id="rId117" display="https://9607261.app.netsuite.com/app/reporting/reportrunner.nl?fromreport=320&amp;regtx,tranline,kacct,x,alltranline5,IN,x,x=950&amp;cr=293" xr:uid="{C0227F39-19FE-408A-8D58-891FB9B6F095}"/>
    <hyperlink ref="C245" r:id="rId118" display="https://9607261.app.netsuite.com/app/reporting/reportrunner.nl?fromreport=320&amp;regtx,tranline,kacct,x,alltranline5,IN,x,x=950&amp;cr=293" xr:uid="{6125A3C3-93CB-4E2D-8A6C-88CEBF3786CB}"/>
    <hyperlink ref="C247" r:id="rId119" display="https://9607261.app.netsuite.com/app/reporting/reportrunner.nl?fromreport=320&amp;regtx,tranline,kacct,x,alltranline5,IN,x,x=950&amp;cr=293" xr:uid="{63BD000B-36C9-46B7-8BAF-9B3EA0D99A4A}"/>
    <hyperlink ref="C249" r:id="rId120" display="https://9607261.app.netsuite.com/app/reporting/reportrunner.nl?fromreport=320&amp;regtx,tranline,kacct,x,alltranline5,IN,x,x=950&amp;cr=293" xr:uid="{D7E52CD5-0187-47F5-8EA7-CBB083C31E68}"/>
    <hyperlink ref="C251" r:id="rId121" display="https://9607261.app.netsuite.com/app/reporting/reportrunner.nl?fromreport=320&amp;regtx,tranline,kacct,x,alltranline5,IN,x,x=950&amp;cr=293" xr:uid="{8ED51ED4-14F3-49D8-A22B-E8947F48673B}"/>
    <hyperlink ref="C253" r:id="rId122" display="https://9607261.app.netsuite.com/app/reporting/reportrunner.nl?fromreport=320&amp;regtx,tranline,kacct,x,alltranline5,IN,x,x=950&amp;cr=293" xr:uid="{0198C32E-00DE-4EBD-8610-4BEA24AAD965}"/>
    <hyperlink ref="C255" r:id="rId123" display="https://9607261.app.netsuite.com/app/reporting/reportrunner.nl?fromreport=320&amp;regtx,tranline,kacct,x,alltranline5,IN,x,x=950&amp;cr=293" xr:uid="{3AF026C5-76C5-4267-AECB-962906AB15EC}"/>
    <hyperlink ref="C257" r:id="rId124" display="https://9607261.app.netsuite.com/app/reporting/reportrunner.nl?fromreport=320&amp;regtx,tranline,kacct,x,alltranline5,IN,x,x=950&amp;cr=293" xr:uid="{C5481DFC-0311-468D-BDA2-ECAFA892A915}"/>
    <hyperlink ref="C259" r:id="rId125" display="https://9607261.app.netsuite.com/app/reporting/reportrunner.nl?fromreport=320&amp;regtx,tranline,kacct,x,alltranline5,IN,x,x=950&amp;cr=293" xr:uid="{B0E430AD-A0B6-452F-8649-F9BB0D7135ED}"/>
    <hyperlink ref="C261" r:id="rId126" display="https://9607261.app.netsuite.com/app/reporting/reportrunner.nl?fromreport=320&amp;regtx,tranline,kacct,x,alltranline5,IN,x,x=950&amp;cr=293" xr:uid="{5CD03B6E-9DC3-4732-B657-43573666F9B5}"/>
    <hyperlink ref="C263" r:id="rId127" display="https://9607261.app.netsuite.com/app/reporting/reportrunner.nl?fromreport=320&amp;regtx,tranline,kacct,x,alltranline5,IN,x,x=950&amp;cr=293" xr:uid="{E9C06DF9-CEBE-44B0-8B04-0973B2CFD619}"/>
    <hyperlink ref="C265" r:id="rId128" display="https://9607261.app.netsuite.com/app/reporting/reportrunner.nl?fromreport=320&amp;regtx,tranline,kacct,x,alltranline5,IN,x,x=950&amp;cr=293" xr:uid="{0BC83158-D233-4904-9D96-CB2E6A2AA054}"/>
    <hyperlink ref="C267" r:id="rId129" display="https://9607261.app.netsuite.com/app/reporting/reportrunner.nl?fromreport=320&amp;regtx,tranline,kacct,x,alltranline5,IN,x,x=950&amp;cr=293" xr:uid="{093DA53B-9DF2-4D2A-BB41-CD14DDDDF204}"/>
    <hyperlink ref="C269" r:id="rId130" display="https://9607261.app.netsuite.com/app/reporting/reportrunner.nl?fromreport=320&amp;regtx,tranline,kacct,x,alltranline5,IN,x,x=950&amp;cr=293" xr:uid="{F1DEFEFA-9939-420B-803A-7B9F0D847237}"/>
    <hyperlink ref="C271" r:id="rId131" display="https://9607261.app.netsuite.com/app/reporting/reportrunner.nl?fromreport=320&amp;regtx,tranline,kacct,x,alltranline5,IN,x,x=950&amp;cr=293" xr:uid="{26F4321C-034E-434F-89C1-3C90C4712DC5}"/>
    <hyperlink ref="C273" r:id="rId132" display="https://9607261.app.netsuite.com/app/reporting/reportrunner.nl?fromreport=320&amp;regtx,tranline,kacct,x,alltranline5,IN,x,x=950&amp;cr=293" xr:uid="{8DB246C8-C3BE-4AC3-A365-2824CE9CBA97}"/>
    <hyperlink ref="C275" r:id="rId133" display="https://9607261.app.netsuite.com/app/reporting/reportrunner.nl?fromreport=320&amp;regtx,tranline,kacct,x,alltranline5,IN,x,x=950&amp;cr=293" xr:uid="{F2A2B9CE-C521-417B-85CB-E25811441657}"/>
    <hyperlink ref="C277" r:id="rId134" display="https://9607261.app.netsuite.com/app/reporting/reportrunner.nl?fromreport=320&amp;regtx,tranline,kacct,x,alltranline5,IN,x,x=950&amp;cr=293" xr:uid="{4CB5BA03-30CC-43A1-9F5D-630F66869416}"/>
    <hyperlink ref="C279" r:id="rId135" display="https://9607261.app.netsuite.com/app/reporting/reportrunner.nl?fromreport=320&amp;regtx,tranline,kacct,x,alltranline5,IN,x,x=950&amp;cr=293" xr:uid="{865B396D-E031-45E3-BFE8-5FC7B8560AC5}"/>
    <hyperlink ref="C281" r:id="rId136" display="https://9607261.app.netsuite.com/app/reporting/reportrunner.nl?fromreport=320&amp;regtx,tranline,kacct,x,alltranline5,IN,x,x=950&amp;cr=293" xr:uid="{E12D4FFC-BF59-4FE7-AE5C-FC88C3E108C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49A5-599C-43F6-8DC0-FB0DA87ECB5A}">
  <dimension ref="A1:M71"/>
  <sheetViews>
    <sheetView topLeftCell="F24" workbookViewId="0">
      <selection activeCell="L1" sqref="L1:L1048576"/>
    </sheetView>
  </sheetViews>
  <sheetFormatPr defaultRowHeight="14.5" x14ac:dyDescent="0.35"/>
  <cols>
    <col min="1" max="1" width="42.26953125" bestFit="1" customWidth="1"/>
    <col min="2" max="2" width="15.26953125" bestFit="1" customWidth="1"/>
    <col min="3" max="3" width="5.81640625" bestFit="1" customWidth="1"/>
    <col min="4" max="4" width="31.26953125" bestFit="1" customWidth="1"/>
    <col min="5" max="5" width="9.81640625" bestFit="1" customWidth="1"/>
    <col min="6" max="6" width="27.7265625" bestFit="1" customWidth="1"/>
    <col min="7" max="7" width="10.453125" style="52" bestFit="1" customWidth="1"/>
    <col min="8" max="8" width="7.6328125" bestFit="1" customWidth="1"/>
    <col min="9" max="9" width="43.7265625" bestFit="1" customWidth="1"/>
    <col min="10" max="10" width="14.90625" bestFit="1" customWidth="1"/>
    <col min="11" max="11" width="26.1796875" bestFit="1" customWidth="1"/>
    <col min="12" max="12" width="9.1796875" bestFit="1" customWidth="1"/>
    <col min="13" max="13" width="9.7265625" bestFit="1" customWidth="1"/>
  </cols>
  <sheetData>
    <row r="1" spans="1:13" x14ac:dyDescent="0.35">
      <c r="A1" t="s">
        <v>1199</v>
      </c>
      <c r="B1" t="s">
        <v>1198</v>
      </c>
      <c r="C1" t="s">
        <v>1193</v>
      </c>
      <c r="D1" t="s">
        <v>1</v>
      </c>
      <c r="E1" t="s">
        <v>1197</v>
      </c>
      <c r="F1" t="s">
        <v>2</v>
      </c>
      <c r="G1" s="52" t="s">
        <v>3</v>
      </c>
      <c r="H1" t="s">
        <v>4</v>
      </c>
      <c r="I1" t="s">
        <v>5</v>
      </c>
      <c r="J1" t="s">
        <v>1194</v>
      </c>
      <c r="K1" t="s">
        <v>6</v>
      </c>
      <c r="L1" t="s">
        <v>1200</v>
      </c>
      <c r="M1" t="s">
        <v>1201</v>
      </c>
    </row>
    <row r="2" spans="1:13" x14ac:dyDescent="0.35">
      <c r="A2" t="s">
        <v>1202</v>
      </c>
      <c r="B2" t="s">
        <v>1203</v>
      </c>
      <c r="C2">
        <v>90</v>
      </c>
      <c r="D2" t="s">
        <v>17</v>
      </c>
      <c r="E2">
        <v>950</v>
      </c>
      <c r="G2" s="52" t="s">
        <v>1204</v>
      </c>
      <c r="H2">
        <v>37369</v>
      </c>
      <c r="I2" t="s">
        <v>132</v>
      </c>
      <c r="J2">
        <v>3510</v>
      </c>
      <c r="K2" t="s">
        <v>19</v>
      </c>
      <c r="L2">
        <v>527.91999999999996</v>
      </c>
    </row>
    <row r="3" spans="1:13" x14ac:dyDescent="0.35">
      <c r="B3" t="s">
        <v>1203</v>
      </c>
      <c r="C3">
        <v>90.5</v>
      </c>
      <c r="E3">
        <v>972</v>
      </c>
      <c r="F3" t="s">
        <v>22</v>
      </c>
      <c r="G3" s="52" t="s">
        <v>1204</v>
      </c>
      <c r="H3">
        <v>37369</v>
      </c>
      <c r="I3" t="s">
        <v>132</v>
      </c>
      <c r="J3">
        <v>3510</v>
      </c>
      <c r="K3" t="s">
        <v>19</v>
      </c>
      <c r="M3">
        <v>527.91999999999996</v>
      </c>
    </row>
    <row r="4" spans="1:13" x14ac:dyDescent="0.35">
      <c r="A4" t="s">
        <v>1205</v>
      </c>
      <c r="B4" t="s">
        <v>1206</v>
      </c>
      <c r="C4">
        <v>106</v>
      </c>
      <c r="D4" t="s">
        <v>17</v>
      </c>
      <c r="E4">
        <v>950</v>
      </c>
      <c r="G4" s="52">
        <v>45664</v>
      </c>
      <c r="H4" t="s">
        <v>54</v>
      </c>
      <c r="I4" t="s">
        <v>55</v>
      </c>
      <c r="J4">
        <v>3335</v>
      </c>
      <c r="K4" t="s">
        <v>146</v>
      </c>
      <c r="L4">
        <v>33690.51</v>
      </c>
    </row>
    <row r="5" spans="1:13" x14ac:dyDescent="0.35">
      <c r="B5" t="s">
        <v>1206</v>
      </c>
      <c r="C5">
        <v>106.5</v>
      </c>
      <c r="E5">
        <v>976</v>
      </c>
      <c r="F5" t="s">
        <v>150</v>
      </c>
      <c r="G5" s="52">
        <v>45664</v>
      </c>
      <c r="H5" t="s">
        <v>54</v>
      </c>
      <c r="I5" t="s">
        <v>55</v>
      </c>
      <c r="J5">
        <v>3335</v>
      </c>
      <c r="K5" t="s">
        <v>146</v>
      </c>
      <c r="M5">
        <v>33690.51</v>
      </c>
    </row>
    <row r="6" spans="1:13" x14ac:dyDescent="0.35">
      <c r="A6" t="s">
        <v>1205</v>
      </c>
      <c r="B6" t="s">
        <v>1207</v>
      </c>
      <c r="C6">
        <v>107</v>
      </c>
      <c r="D6" t="s">
        <v>17</v>
      </c>
      <c r="E6">
        <v>950</v>
      </c>
      <c r="G6" s="52" t="s">
        <v>1208</v>
      </c>
      <c r="H6">
        <v>36570</v>
      </c>
      <c r="I6" t="s">
        <v>91</v>
      </c>
      <c r="J6">
        <v>649</v>
      </c>
      <c r="K6" t="s">
        <v>19</v>
      </c>
      <c r="L6">
        <v>16950</v>
      </c>
    </row>
    <row r="7" spans="1:13" x14ac:dyDescent="0.35">
      <c r="B7" t="s">
        <v>1207</v>
      </c>
      <c r="C7">
        <v>107.5</v>
      </c>
      <c r="E7">
        <v>976</v>
      </c>
      <c r="F7" t="s">
        <v>150</v>
      </c>
      <c r="G7" s="52" t="s">
        <v>1208</v>
      </c>
      <c r="H7">
        <v>36570</v>
      </c>
      <c r="I7" t="s">
        <v>91</v>
      </c>
      <c r="J7">
        <v>649</v>
      </c>
      <c r="K7" t="s">
        <v>19</v>
      </c>
      <c r="M7">
        <v>16950</v>
      </c>
    </row>
    <row r="8" spans="1:13" x14ac:dyDescent="0.35">
      <c r="A8" t="s">
        <v>1205</v>
      </c>
      <c r="B8" t="s">
        <v>1209</v>
      </c>
      <c r="C8">
        <v>108</v>
      </c>
      <c r="D8" t="s">
        <v>17</v>
      </c>
      <c r="E8">
        <v>950</v>
      </c>
      <c r="G8" s="52" t="s">
        <v>1208</v>
      </c>
      <c r="H8">
        <v>36581</v>
      </c>
      <c r="I8" t="s">
        <v>91</v>
      </c>
      <c r="J8">
        <v>649</v>
      </c>
      <c r="K8" t="s">
        <v>19</v>
      </c>
      <c r="L8">
        <v>2850</v>
      </c>
    </row>
    <row r="9" spans="1:13" x14ac:dyDescent="0.35">
      <c r="B9" t="s">
        <v>1209</v>
      </c>
      <c r="C9">
        <v>108.5</v>
      </c>
      <c r="E9">
        <v>976</v>
      </c>
      <c r="F9" t="s">
        <v>150</v>
      </c>
      <c r="G9" s="52" t="s">
        <v>1208</v>
      </c>
      <c r="H9">
        <v>36581</v>
      </c>
      <c r="I9" t="s">
        <v>91</v>
      </c>
      <c r="J9">
        <v>649</v>
      </c>
      <c r="K9" t="s">
        <v>19</v>
      </c>
      <c r="M9">
        <v>2850</v>
      </c>
    </row>
    <row r="10" spans="1:13" x14ac:dyDescent="0.35">
      <c r="A10" t="s">
        <v>1205</v>
      </c>
      <c r="B10" t="s">
        <v>1210</v>
      </c>
      <c r="C10">
        <v>110</v>
      </c>
      <c r="D10" t="s">
        <v>17</v>
      </c>
      <c r="E10">
        <v>950</v>
      </c>
      <c r="G10" s="52" t="s">
        <v>1204</v>
      </c>
      <c r="H10">
        <v>36729</v>
      </c>
      <c r="I10" t="s">
        <v>57</v>
      </c>
      <c r="J10">
        <v>3330</v>
      </c>
      <c r="K10" t="s">
        <v>19</v>
      </c>
      <c r="L10">
        <v>8600</v>
      </c>
    </row>
    <row r="11" spans="1:13" x14ac:dyDescent="0.35">
      <c r="B11" t="s">
        <v>1210</v>
      </c>
      <c r="C11">
        <v>110.5</v>
      </c>
      <c r="E11">
        <v>976</v>
      </c>
      <c r="F11" t="s">
        <v>150</v>
      </c>
      <c r="G11" s="52" t="s">
        <v>1204</v>
      </c>
      <c r="H11">
        <v>36729</v>
      </c>
      <c r="I11" t="s">
        <v>57</v>
      </c>
      <c r="J11">
        <v>3330</v>
      </c>
      <c r="K11" t="s">
        <v>19</v>
      </c>
      <c r="M11">
        <v>8600</v>
      </c>
    </row>
    <row r="12" spans="1:13" x14ac:dyDescent="0.35">
      <c r="A12" t="s">
        <v>1205</v>
      </c>
      <c r="B12" t="s">
        <v>1211</v>
      </c>
      <c r="C12">
        <v>111</v>
      </c>
      <c r="D12" t="s">
        <v>17</v>
      </c>
      <c r="E12">
        <v>950</v>
      </c>
      <c r="G12" s="52">
        <v>45664</v>
      </c>
      <c r="H12">
        <v>33555</v>
      </c>
      <c r="I12" t="s">
        <v>1195</v>
      </c>
      <c r="J12">
        <v>2328</v>
      </c>
      <c r="K12" t="s">
        <v>149</v>
      </c>
      <c r="L12">
        <v>3894.22</v>
      </c>
    </row>
    <row r="13" spans="1:13" x14ac:dyDescent="0.35">
      <c r="B13" t="s">
        <v>1211</v>
      </c>
      <c r="C13">
        <v>111.5</v>
      </c>
      <c r="E13">
        <v>975</v>
      </c>
      <c r="F13" t="s">
        <v>151</v>
      </c>
      <c r="G13" s="52">
        <v>45664</v>
      </c>
      <c r="H13">
        <v>33555</v>
      </c>
      <c r="I13" t="s">
        <v>1195</v>
      </c>
      <c r="J13">
        <v>2328</v>
      </c>
      <c r="K13" t="s">
        <v>149</v>
      </c>
      <c r="M13">
        <v>3894.22</v>
      </c>
    </row>
    <row r="14" spans="1:13" x14ac:dyDescent="0.35">
      <c r="A14" t="s">
        <v>1205</v>
      </c>
      <c r="B14" t="s">
        <v>1212</v>
      </c>
      <c r="C14">
        <v>112</v>
      </c>
      <c r="D14" t="s">
        <v>17</v>
      </c>
      <c r="E14">
        <v>950</v>
      </c>
      <c r="G14" s="52">
        <v>45664</v>
      </c>
      <c r="H14">
        <v>35518</v>
      </c>
      <c r="I14" t="s">
        <v>49</v>
      </c>
      <c r="J14">
        <v>2761</v>
      </c>
      <c r="K14" t="s">
        <v>149</v>
      </c>
      <c r="L14">
        <v>3631.49</v>
      </c>
    </row>
    <row r="15" spans="1:13" x14ac:dyDescent="0.35">
      <c r="B15" t="s">
        <v>1212</v>
      </c>
      <c r="C15">
        <v>112.5</v>
      </c>
      <c r="E15">
        <v>975</v>
      </c>
      <c r="F15" t="s">
        <v>151</v>
      </c>
      <c r="G15" s="52">
        <v>45664</v>
      </c>
      <c r="H15">
        <v>35518</v>
      </c>
      <c r="I15" t="s">
        <v>49</v>
      </c>
      <c r="J15">
        <v>2761</v>
      </c>
      <c r="K15" t="s">
        <v>149</v>
      </c>
      <c r="M15">
        <v>3631.49</v>
      </c>
    </row>
    <row r="16" spans="1:13" x14ac:dyDescent="0.35">
      <c r="A16" t="s">
        <v>1205</v>
      </c>
      <c r="B16" t="s">
        <v>1213</v>
      </c>
      <c r="C16">
        <v>113</v>
      </c>
      <c r="D16" t="s">
        <v>17</v>
      </c>
      <c r="E16">
        <v>950</v>
      </c>
      <c r="G16" s="52">
        <v>45664</v>
      </c>
      <c r="H16">
        <v>36221</v>
      </c>
      <c r="I16" t="s">
        <v>52</v>
      </c>
      <c r="J16">
        <v>3323</v>
      </c>
      <c r="K16" t="s">
        <v>149</v>
      </c>
      <c r="L16">
        <v>0</v>
      </c>
    </row>
    <row r="17" spans="1:13" x14ac:dyDescent="0.35">
      <c r="B17" t="s">
        <v>1213</v>
      </c>
      <c r="C17">
        <v>113.5</v>
      </c>
      <c r="E17">
        <v>975</v>
      </c>
      <c r="F17" t="s">
        <v>151</v>
      </c>
      <c r="G17" s="52">
        <v>45664</v>
      </c>
      <c r="H17">
        <v>36221</v>
      </c>
      <c r="I17" t="s">
        <v>52</v>
      </c>
      <c r="J17">
        <v>3323</v>
      </c>
      <c r="K17" t="s">
        <v>149</v>
      </c>
      <c r="M17">
        <v>0</v>
      </c>
    </row>
    <row r="18" spans="1:13" x14ac:dyDescent="0.35">
      <c r="A18" t="s">
        <v>1205</v>
      </c>
      <c r="B18" t="s">
        <v>1214</v>
      </c>
      <c r="C18">
        <v>114</v>
      </c>
      <c r="D18" t="s">
        <v>17</v>
      </c>
      <c r="E18">
        <v>950</v>
      </c>
      <c r="G18" s="52">
        <v>45664</v>
      </c>
      <c r="H18" t="s">
        <v>58</v>
      </c>
      <c r="I18" t="s">
        <v>59</v>
      </c>
      <c r="J18">
        <v>1720</v>
      </c>
      <c r="K18" t="s">
        <v>149</v>
      </c>
      <c r="L18">
        <v>2080.08</v>
      </c>
    </row>
    <row r="19" spans="1:13" x14ac:dyDescent="0.35">
      <c r="B19" t="s">
        <v>1214</v>
      </c>
      <c r="C19">
        <v>114.5</v>
      </c>
      <c r="E19">
        <v>975</v>
      </c>
      <c r="F19" t="s">
        <v>151</v>
      </c>
      <c r="G19" s="52">
        <v>45664</v>
      </c>
      <c r="H19" t="s">
        <v>58</v>
      </c>
      <c r="I19" t="s">
        <v>59</v>
      </c>
      <c r="J19">
        <v>1720</v>
      </c>
      <c r="K19" t="s">
        <v>149</v>
      </c>
      <c r="M19">
        <v>2080.08</v>
      </c>
    </row>
    <row r="20" spans="1:13" x14ac:dyDescent="0.35">
      <c r="A20" t="s">
        <v>1205</v>
      </c>
      <c r="B20" t="s">
        <v>1215</v>
      </c>
      <c r="C20">
        <v>115</v>
      </c>
      <c r="D20" t="s">
        <v>17</v>
      </c>
      <c r="E20">
        <v>950</v>
      </c>
      <c r="G20" s="52">
        <v>45664</v>
      </c>
      <c r="H20">
        <v>38130</v>
      </c>
      <c r="I20" t="s">
        <v>60</v>
      </c>
      <c r="J20">
        <v>3377</v>
      </c>
      <c r="K20" t="s">
        <v>149</v>
      </c>
      <c r="L20">
        <v>221.95</v>
      </c>
    </row>
    <row r="21" spans="1:13" x14ac:dyDescent="0.35">
      <c r="B21" t="s">
        <v>1215</v>
      </c>
      <c r="C21">
        <v>115.5</v>
      </c>
      <c r="E21">
        <v>975</v>
      </c>
      <c r="F21" t="s">
        <v>151</v>
      </c>
      <c r="G21" s="52">
        <v>45664</v>
      </c>
      <c r="H21">
        <v>38130</v>
      </c>
      <c r="I21" t="s">
        <v>60</v>
      </c>
      <c r="J21">
        <v>3377</v>
      </c>
      <c r="K21" t="s">
        <v>149</v>
      </c>
      <c r="M21">
        <v>221.95</v>
      </c>
    </row>
    <row r="22" spans="1:13" x14ac:dyDescent="0.35">
      <c r="A22" t="s">
        <v>1205</v>
      </c>
      <c r="B22" t="s">
        <v>1216</v>
      </c>
      <c r="C22">
        <v>116</v>
      </c>
      <c r="D22" t="s">
        <v>17</v>
      </c>
      <c r="E22">
        <v>950</v>
      </c>
      <c r="G22" s="52">
        <v>45876</v>
      </c>
      <c r="H22">
        <v>38187</v>
      </c>
      <c r="I22" t="s">
        <v>70</v>
      </c>
      <c r="J22">
        <v>3412</v>
      </c>
      <c r="K22" t="s">
        <v>149</v>
      </c>
      <c r="L22">
        <v>872.8</v>
      </c>
    </row>
    <row r="23" spans="1:13" x14ac:dyDescent="0.35">
      <c r="B23" t="s">
        <v>1216</v>
      </c>
      <c r="C23">
        <v>116.5</v>
      </c>
      <c r="E23">
        <v>975</v>
      </c>
      <c r="F23" t="s">
        <v>151</v>
      </c>
      <c r="G23" s="52">
        <v>45876</v>
      </c>
      <c r="H23">
        <v>38187</v>
      </c>
      <c r="I23" t="s">
        <v>70</v>
      </c>
      <c r="J23">
        <v>3412</v>
      </c>
      <c r="K23" t="s">
        <v>149</v>
      </c>
      <c r="M23">
        <v>872.8</v>
      </c>
    </row>
    <row r="24" spans="1:13" x14ac:dyDescent="0.35">
      <c r="A24" t="s">
        <v>1205</v>
      </c>
      <c r="B24" t="s">
        <v>1217</v>
      </c>
      <c r="C24">
        <v>117</v>
      </c>
      <c r="D24" t="s">
        <v>17</v>
      </c>
      <c r="E24">
        <v>950</v>
      </c>
      <c r="G24" s="52">
        <v>45876</v>
      </c>
      <c r="H24">
        <v>38196</v>
      </c>
      <c r="I24" t="s">
        <v>70</v>
      </c>
      <c r="J24">
        <v>3412</v>
      </c>
      <c r="K24" t="s">
        <v>149</v>
      </c>
      <c r="L24">
        <v>1896.1</v>
      </c>
    </row>
    <row r="25" spans="1:13" x14ac:dyDescent="0.35">
      <c r="B25" t="s">
        <v>1217</v>
      </c>
      <c r="C25">
        <v>117.5</v>
      </c>
      <c r="E25">
        <v>975</v>
      </c>
      <c r="F25" t="s">
        <v>151</v>
      </c>
      <c r="G25" s="52">
        <v>45876</v>
      </c>
      <c r="H25">
        <v>38196</v>
      </c>
      <c r="I25" t="s">
        <v>70</v>
      </c>
      <c r="J25">
        <v>3412</v>
      </c>
      <c r="K25" t="s">
        <v>149</v>
      </c>
      <c r="M25">
        <v>1896.1</v>
      </c>
    </row>
    <row r="26" spans="1:13" x14ac:dyDescent="0.35">
      <c r="A26" t="s">
        <v>1205</v>
      </c>
      <c r="B26" t="s">
        <v>1218</v>
      </c>
      <c r="C26">
        <v>118</v>
      </c>
      <c r="D26" t="s">
        <v>17</v>
      </c>
      <c r="E26">
        <v>950</v>
      </c>
      <c r="G26" s="52">
        <v>45876</v>
      </c>
      <c r="H26">
        <v>38396</v>
      </c>
      <c r="I26" t="s">
        <v>66</v>
      </c>
      <c r="J26">
        <v>1548</v>
      </c>
      <c r="K26" t="s">
        <v>149</v>
      </c>
      <c r="L26">
        <v>102.17</v>
      </c>
    </row>
    <row r="27" spans="1:13" x14ac:dyDescent="0.35">
      <c r="B27" t="s">
        <v>1218</v>
      </c>
      <c r="C27">
        <v>118.5</v>
      </c>
      <c r="E27">
        <v>975</v>
      </c>
      <c r="F27" t="s">
        <v>151</v>
      </c>
      <c r="G27" s="52">
        <v>45876</v>
      </c>
      <c r="H27">
        <v>38396</v>
      </c>
      <c r="I27" t="s">
        <v>66</v>
      </c>
      <c r="J27">
        <v>1548</v>
      </c>
      <c r="K27" t="s">
        <v>149</v>
      </c>
      <c r="M27">
        <v>102.17</v>
      </c>
    </row>
    <row r="28" spans="1:13" x14ac:dyDescent="0.35">
      <c r="A28" t="s">
        <v>1205</v>
      </c>
      <c r="B28" t="s">
        <v>1219</v>
      </c>
      <c r="C28">
        <v>119</v>
      </c>
      <c r="D28" t="s">
        <v>17</v>
      </c>
      <c r="E28">
        <v>950</v>
      </c>
      <c r="G28" s="52" t="s">
        <v>1220</v>
      </c>
      <c r="H28" t="s">
        <v>93</v>
      </c>
      <c r="I28" t="s">
        <v>91</v>
      </c>
      <c r="J28">
        <v>649</v>
      </c>
      <c r="K28" t="s">
        <v>149</v>
      </c>
      <c r="L28">
        <v>2369.63</v>
      </c>
    </row>
    <row r="29" spans="1:13" x14ac:dyDescent="0.35">
      <c r="B29" t="s">
        <v>1219</v>
      </c>
      <c r="C29">
        <v>119.5</v>
      </c>
      <c r="E29">
        <v>975</v>
      </c>
      <c r="F29" t="s">
        <v>151</v>
      </c>
      <c r="G29" s="52" t="s">
        <v>1220</v>
      </c>
      <c r="H29" t="s">
        <v>93</v>
      </c>
      <c r="I29" t="s">
        <v>91</v>
      </c>
      <c r="J29">
        <v>649</v>
      </c>
      <c r="K29" t="s">
        <v>149</v>
      </c>
      <c r="M29">
        <v>2369.63</v>
      </c>
    </row>
    <row r="30" spans="1:13" x14ac:dyDescent="0.35">
      <c r="A30" t="s">
        <v>1205</v>
      </c>
      <c r="B30" t="s">
        <v>1221</v>
      </c>
      <c r="C30">
        <v>120</v>
      </c>
      <c r="D30" t="s">
        <v>17</v>
      </c>
      <c r="E30">
        <v>950</v>
      </c>
      <c r="G30" s="52" t="s">
        <v>1220</v>
      </c>
      <c r="H30" t="s">
        <v>94</v>
      </c>
      <c r="I30" t="s">
        <v>91</v>
      </c>
      <c r="J30">
        <v>649</v>
      </c>
      <c r="K30" t="s">
        <v>149</v>
      </c>
      <c r="L30">
        <v>4586.59</v>
      </c>
    </row>
    <row r="31" spans="1:13" x14ac:dyDescent="0.35">
      <c r="B31" t="s">
        <v>1221</v>
      </c>
      <c r="C31">
        <v>120.5</v>
      </c>
      <c r="E31">
        <v>975</v>
      </c>
      <c r="F31" t="s">
        <v>151</v>
      </c>
      <c r="G31" s="52" t="s">
        <v>1220</v>
      </c>
      <c r="H31" t="s">
        <v>94</v>
      </c>
      <c r="I31" t="s">
        <v>91</v>
      </c>
      <c r="J31">
        <v>649</v>
      </c>
      <c r="K31" t="s">
        <v>149</v>
      </c>
      <c r="M31">
        <v>4586.59</v>
      </c>
    </row>
    <row r="32" spans="1:13" x14ac:dyDescent="0.35">
      <c r="A32" t="s">
        <v>1205</v>
      </c>
      <c r="B32" t="s">
        <v>1222</v>
      </c>
      <c r="C32">
        <v>121</v>
      </c>
      <c r="D32" t="s">
        <v>17</v>
      </c>
      <c r="E32">
        <v>950</v>
      </c>
      <c r="G32" s="52" t="s">
        <v>1223</v>
      </c>
      <c r="H32" t="s">
        <v>99</v>
      </c>
      <c r="I32" t="s">
        <v>64</v>
      </c>
      <c r="J32">
        <v>3338</v>
      </c>
      <c r="K32" t="s">
        <v>149</v>
      </c>
      <c r="L32">
        <v>47554.7</v>
      </c>
    </row>
    <row r="33" spans="1:13" x14ac:dyDescent="0.35">
      <c r="B33" t="s">
        <v>1222</v>
      </c>
      <c r="C33">
        <v>121.5</v>
      </c>
      <c r="E33">
        <v>975</v>
      </c>
      <c r="F33" t="s">
        <v>151</v>
      </c>
      <c r="G33" s="52" t="s">
        <v>1223</v>
      </c>
      <c r="H33" t="s">
        <v>99</v>
      </c>
      <c r="I33" t="s">
        <v>64</v>
      </c>
      <c r="J33">
        <v>3338</v>
      </c>
      <c r="K33" t="s">
        <v>149</v>
      </c>
      <c r="M33">
        <v>47554.7</v>
      </c>
    </row>
    <row r="34" spans="1:13" x14ac:dyDescent="0.35">
      <c r="A34" t="s">
        <v>1205</v>
      </c>
      <c r="B34" t="s">
        <v>1224</v>
      </c>
      <c r="C34">
        <v>122</v>
      </c>
      <c r="D34" t="s">
        <v>17</v>
      </c>
      <c r="E34">
        <v>950</v>
      </c>
      <c r="G34" s="52" t="s">
        <v>1225</v>
      </c>
      <c r="H34" t="s">
        <v>104</v>
      </c>
      <c r="I34" t="s">
        <v>1196</v>
      </c>
      <c r="J34">
        <v>1558</v>
      </c>
      <c r="K34" t="s">
        <v>149</v>
      </c>
      <c r="L34">
        <v>4629.84</v>
      </c>
    </row>
    <row r="35" spans="1:13" x14ac:dyDescent="0.35">
      <c r="B35" t="s">
        <v>1224</v>
      </c>
      <c r="C35">
        <v>122.5</v>
      </c>
      <c r="E35">
        <v>975</v>
      </c>
      <c r="F35" t="s">
        <v>151</v>
      </c>
      <c r="G35" s="52" t="s">
        <v>1225</v>
      </c>
      <c r="H35" t="s">
        <v>104</v>
      </c>
      <c r="I35" t="s">
        <v>1196</v>
      </c>
      <c r="J35">
        <v>1558</v>
      </c>
      <c r="K35" t="s">
        <v>149</v>
      </c>
      <c r="M35">
        <v>4629.84</v>
      </c>
    </row>
    <row r="36" spans="1:13" x14ac:dyDescent="0.35">
      <c r="A36" t="s">
        <v>1205</v>
      </c>
      <c r="B36" t="s">
        <v>1226</v>
      </c>
      <c r="C36">
        <v>123</v>
      </c>
      <c r="D36" t="s">
        <v>17</v>
      </c>
      <c r="E36">
        <v>950</v>
      </c>
      <c r="G36" s="52" t="s">
        <v>1225</v>
      </c>
      <c r="H36" t="s">
        <v>106</v>
      </c>
      <c r="I36" t="s">
        <v>1196</v>
      </c>
      <c r="J36">
        <v>1558</v>
      </c>
      <c r="K36" t="s">
        <v>149</v>
      </c>
      <c r="L36">
        <v>523.51</v>
      </c>
    </row>
    <row r="37" spans="1:13" x14ac:dyDescent="0.35">
      <c r="B37" t="s">
        <v>1226</v>
      </c>
      <c r="C37">
        <v>123.5</v>
      </c>
      <c r="E37">
        <v>975</v>
      </c>
      <c r="F37" t="s">
        <v>151</v>
      </c>
      <c r="G37" s="52" t="s">
        <v>1225</v>
      </c>
      <c r="H37" t="s">
        <v>106</v>
      </c>
      <c r="I37" t="s">
        <v>1196</v>
      </c>
      <c r="J37">
        <v>1558</v>
      </c>
      <c r="K37" t="s">
        <v>149</v>
      </c>
      <c r="M37">
        <v>523.51</v>
      </c>
    </row>
    <row r="38" spans="1:13" x14ac:dyDescent="0.35">
      <c r="A38" t="s">
        <v>1205</v>
      </c>
      <c r="B38" t="s">
        <v>1227</v>
      </c>
      <c r="C38">
        <v>124</v>
      </c>
      <c r="D38" t="s">
        <v>17</v>
      </c>
      <c r="E38">
        <v>950</v>
      </c>
      <c r="G38" s="52" t="s">
        <v>1225</v>
      </c>
      <c r="H38">
        <v>38332</v>
      </c>
      <c r="I38" t="s">
        <v>107</v>
      </c>
      <c r="J38">
        <v>2466</v>
      </c>
      <c r="K38" t="s">
        <v>149</v>
      </c>
      <c r="L38">
        <v>1408.92</v>
      </c>
    </row>
    <row r="39" spans="1:13" x14ac:dyDescent="0.35">
      <c r="B39" t="s">
        <v>1227</v>
      </c>
      <c r="C39">
        <v>124.5</v>
      </c>
      <c r="E39">
        <v>975</v>
      </c>
      <c r="F39" t="s">
        <v>151</v>
      </c>
      <c r="G39" s="52" t="s">
        <v>1225</v>
      </c>
      <c r="H39">
        <v>38332</v>
      </c>
      <c r="I39" t="s">
        <v>107</v>
      </c>
      <c r="J39">
        <v>2466</v>
      </c>
      <c r="K39" t="s">
        <v>149</v>
      </c>
      <c r="M39">
        <v>1408.92</v>
      </c>
    </row>
    <row r="40" spans="1:13" x14ac:dyDescent="0.35">
      <c r="A40" t="s">
        <v>1205</v>
      </c>
      <c r="B40" t="s">
        <v>1207</v>
      </c>
      <c r="C40">
        <v>125</v>
      </c>
      <c r="D40" t="s">
        <v>17</v>
      </c>
      <c r="E40">
        <v>950</v>
      </c>
      <c r="G40" s="52" t="s">
        <v>1208</v>
      </c>
      <c r="H40">
        <v>36570</v>
      </c>
      <c r="I40" t="s">
        <v>91</v>
      </c>
      <c r="J40">
        <v>649</v>
      </c>
      <c r="K40" t="s">
        <v>149</v>
      </c>
      <c r="L40">
        <v>3205.43</v>
      </c>
    </row>
    <row r="41" spans="1:13" x14ac:dyDescent="0.35">
      <c r="B41" t="s">
        <v>1207</v>
      </c>
      <c r="C41">
        <v>125.5</v>
      </c>
      <c r="E41">
        <v>975</v>
      </c>
      <c r="F41" t="s">
        <v>151</v>
      </c>
      <c r="G41" s="52" t="s">
        <v>1208</v>
      </c>
      <c r="H41">
        <v>36570</v>
      </c>
      <c r="I41" t="s">
        <v>91</v>
      </c>
      <c r="J41">
        <v>649</v>
      </c>
      <c r="K41" t="s">
        <v>149</v>
      </c>
      <c r="M41">
        <v>3205.43</v>
      </c>
    </row>
    <row r="42" spans="1:13" x14ac:dyDescent="0.35">
      <c r="A42" t="s">
        <v>1205</v>
      </c>
      <c r="B42" t="s">
        <v>1209</v>
      </c>
      <c r="C42">
        <v>126</v>
      </c>
      <c r="D42" t="s">
        <v>17</v>
      </c>
      <c r="E42">
        <v>950</v>
      </c>
      <c r="G42" s="52" t="s">
        <v>1208</v>
      </c>
      <c r="H42">
        <v>36581</v>
      </c>
      <c r="I42" t="s">
        <v>91</v>
      </c>
      <c r="J42">
        <v>649</v>
      </c>
      <c r="K42" t="s">
        <v>149</v>
      </c>
      <c r="L42">
        <v>305.43</v>
      </c>
    </row>
    <row r="43" spans="1:13" x14ac:dyDescent="0.35">
      <c r="B43" t="s">
        <v>1209</v>
      </c>
      <c r="C43">
        <v>126.5</v>
      </c>
      <c r="E43">
        <v>975</v>
      </c>
      <c r="F43" t="s">
        <v>151</v>
      </c>
      <c r="G43" s="52" t="s">
        <v>1208</v>
      </c>
      <c r="H43">
        <v>36581</v>
      </c>
      <c r="I43" t="s">
        <v>91</v>
      </c>
      <c r="J43">
        <v>649</v>
      </c>
      <c r="K43" t="s">
        <v>149</v>
      </c>
      <c r="M43">
        <v>305.43</v>
      </c>
    </row>
    <row r="44" spans="1:13" x14ac:dyDescent="0.35">
      <c r="A44" t="s">
        <v>1205</v>
      </c>
      <c r="B44" t="s">
        <v>1228</v>
      </c>
      <c r="C44">
        <v>127</v>
      </c>
      <c r="D44" t="s">
        <v>17</v>
      </c>
      <c r="E44">
        <v>950</v>
      </c>
      <c r="G44" s="52" t="s">
        <v>1208</v>
      </c>
      <c r="H44" t="s">
        <v>123</v>
      </c>
      <c r="I44" t="s">
        <v>64</v>
      </c>
      <c r="J44">
        <v>3338</v>
      </c>
      <c r="K44" t="s">
        <v>149</v>
      </c>
      <c r="L44">
        <v>12630.12</v>
      </c>
    </row>
    <row r="45" spans="1:13" x14ac:dyDescent="0.35">
      <c r="B45" t="s">
        <v>1228</v>
      </c>
      <c r="C45">
        <v>127.5</v>
      </c>
      <c r="E45">
        <v>975</v>
      </c>
      <c r="F45" t="s">
        <v>151</v>
      </c>
      <c r="G45" s="52" t="s">
        <v>1208</v>
      </c>
      <c r="H45" t="s">
        <v>123</v>
      </c>
      <c r="I45" t="s">
        <v>64</v>
      </c>
      <c r="J45">
        <v>3338</v>
      </c>
      <c r="K45" t="s">
        <v>149</v>
      </c>
      <c r="M45">
        <v>12630.12</v>
      </c>
    </row>
    <row r="46" spans="1:13" x14ac:dyDescent="0.35">
      <c r="A46" t="s">
        <v>1205</v>
      </c>
      <c r="B46" t="s">
        <v>1229</v>
      </c>
      <c r="C46">
        <v>128</v>
      </c>
      <c r="D46" t="s">
        <v>17</v>
      </c>
      <c r="E46">
        <v>950</v>
      </c>
      <c r="G46" s="52" t="s">
        <v>1204</v>
      </c>
      <c r="H46">
        <v>35801</v>
      </c>
      <c r="I46" t="s">
        <v>55</v>
      </c>
      <c r="J46">
        <v>3335</v>
      </c>
      <c r="K46" t="s">
        <v>149</v>
      </c>
      <c r="L46">
        <v>9350</v>
      </c>
    </row>
    <row r="47" spans="1:13" x14ac:dyDescent="0.35">
      <c r="B47" t="s">
        <v>1229</v>
      </c>
      <c r="C47">
        <v>128.5</v>
      </c>
      <c r="E47">
        <v>975</v>
      </c>
      <c r="F47" t="s">
        <v>151</v>
      </c>
      <c r="G47" s="52" t="s">
        <v>1204</v>
      </c>
      <c r="H47">
        <v>35801</v>
      </c>
      <c r="I47" t="s">
        <v>55</v>
      </c>
      <c r="J47">
        <v>3335</v>
      </c>
      <c r="K47" t="s">
        <v>149</v>
      </c>
      <c r="M47">
        <v>9350</v>
      </c>
    </row>
    <row r="48" spans="1:13" x14ac:dyDescent="0.35">
      <c r="A48" t="s">
        <v>1205</v>
      </c>
      <c r="B48" t="s">
        <v>1230</v>
      </c>
      <c r="C48">
        <v>129</v>
      </c>
      <c r="D48" t="s">
        <v>17</v>
      </c>
      <c r="E48">
        <v>950</v>
      </c>
      <c r="G48" s="52" t="s">
        <v>1204</v>
      </c>
      <c r="H48">
        <v>35805</v>
      </c>
      <c r="I48" t="s">
        <v>55</v>
      </c>
      <c r="J48">
        <v>3335</v>
      </c>
      <c r="K48" t="s">
        <v>149</v>
      </c>
      <c r="L48">
        <v>14435.92</v>
      </c>
    </row>
    <row r="49" spans="1:13" x14ac:dyDescent="0.35">
      <c r="B49" t="s">
        <v>1230</v>
      </c>
      <c r="C49">
        <v>129.5</v>
      </c>
      <c r="E49">
        <v>975</v>
      </c>
      <c r="F49" t="s">
        <v>151</v>
      </c>
      <c r="G49" s="52" t="s">
        <v>1204</v>
      </c>
      <c r="H49">
        <v>35805</v>
      </c>
      <c r="I49" t="s">
        <v>55</v>
      </c>
      <c r="J49">
        <v>3335</v>
      </c>
      <c r="K49" t="s">
        <v>149</v>
      </c>
      <c r="M49">
        <v>14435.92</v>
      </c>
    </row>
    <row r="50" spans="1:13" x14ac:dyDescent="0.35">
      <c r="A50" t="s">
        <v>1205</v>
      </c>
      <c r="B50" t="s">
        <v>1210</v>
      </c>
      <c r="C50">
        <v>130</v>
      </c>
      <c r="D50" t="s">
        <v>17</v>
      </c>
      <c r="E50">
        <v>950</v>
      </c>
      <c r="G50" s="52" t="s">
        <v>1204</v>
      </c>
      <c r="H50">
        <v>36729</v>
      </c>
      <c r="I50" t="s">
        <v>57</v>
      </c>
      <c r="J50">
        <v>3330</v>
      </c>
      <c r="K50" t="s">
        <v>149</v>
      </c>
      <c r="L50">
        <v>300.86</v>
      </c>
    </row>
    <row r="51" spans="1:13" x14ac:dyDescent="0.35">
      <c r="B51" t="s">
        <v>1210</v>
      </c>
      <c r="C51">
        <v>130.5</v>
      </c>
      <c r="E51">
        <v>975</v>
      </c>
      <c r="F51" t="s">
        <v>151</v>
      </c>
      <c r="G51" s="52" t="s">
        <v>1204</v>
      </c>
      <c r="H51">
        <v>36729</v>
      </c>
      <c r="I51" t="s">
        <v>57</v>
      </c>
      <c r="J51">
        <v>3330</v>
      </c>
      <c r="K51" t="s">
        <v>149</v>
      </c>
      <c r="M51">
        <v>300.86</v>
      </c>
    </row>
    <row r="52" spans="1:13" x14ac:dyDescent="0.35">
      <c r="A52" t="s">
        <v>1205</v>
      </c>
      <c r="B52" t="s">
        <v>1231</v>
      </c>
      <c r="C52">
        <v>131</v>
      </c>
      <c r="D52" t="s">
        <v>17</v>
      </c>
      <c r="E52">
        <v>950</v>
      </c>
      <c r="G52" s="52" t="s">
        <v>1204</v>
      </c>
      <c r="H52">
        <v>37682</v>
      </c>
      <c r="I52" t="s">
        <v>75</v>
      </c>
      <c r="J52">
        <v>3320</v>
      </c>
      <c r="K52" t="s">
        <v>149</v>
      </c>
      <c r="L52">
        <v>4893.4399999999996</v>
      </c>
    </row>
    <row r="53" spans="1:13" x14ac:dyDescent="0.35">
      <c r="B53" t="s">
        <v>1231</v>
      </c>
      <c r="C53">
        <v>131.5</v>
      </c>
      <c r="E53">
        <v>975</v>
      </c>
      <c r="F53" t="s">
        <v>151</v>
      </c>
      <c r="G53" s="52" t="s">
        <v>1204</v>
      </c>
      <c r="H53">
        <v>37682</v>
      </c>
      <c r="I53" t="s">
        <v>75</v>
      </c>
      <c r="J53">
        <v>3320</v>
      </c>
      <c r="K53" t="s">
        <v>149</v>
      </c>
      <c r="M53">
        <v>4893.4399999999996</v>
      </c>
    </row>
    <row r="54" spans="1:13" x14ac:dyDescent="0.35">
      <c r="A54" t="s">
        <v>1205</v>
      </c>
      <c r="B54" t="s">
        <v>1232</v>
      </c>
      <c r="C54">
        <v>132</v>
      </c>
      <c r="D54" t="s">
        <v>17</v>
      </c>
      <c r="E54">
        <v>950</v>
      </c>
      <c r="G54" s="52" t="s">
        <v>1204</v>
      </c>
      <c r="H54">
        <v>38362</v>
      </c>
      <c r="I54" t="s">
        <v>137</v>
      </c>
      <c r="J54">
        <v>3318</v>
      </c>
      <c r="K54" t="s">
        <v>149</v>
      </c>
      <c r="L54">
        <v>34212.879999999997</v>
      </c>
    </row>
    <row r="55" spans="1:13" x14ac:dyDescent="0.35">
      <c r="B55" t="s">
        <v>1232</v>
      </c>
      <c r="C55">
        <v>132.5</v>
      </c>
      <c r="E55">
        <v>975</v>
      </c>
      <c r="F55" t="s">
        <v>151</v>
      </c>
      <c r="G55" s="52" t="s">
        <v>1204</v>
      </c>
      <c r="H55">
        <v>38362</v>
      </c>
      <c r="I55" t="s">
        <v>137</v>
      </c>
      <c r="J55">
        <v>3318</v>
      </c>
      <c r="K55" t="s">
        <v>149</v>
      </c>
      <c r="M55">
        <v>34212.879999999997</v>
      </c>
    </row>
    <row r="56" spans="1:13" x14ac:dyDescent="0.35">
      <c r="A56" t="s">
        <v>1205</v>
      </c>
      <c r="B56" t="s">
        <v>1233</v>
      </c>
      <c r="C56">
        <v>133</v>
      </c>
      <c r="D56" t="s">
        <v>17</v>
      </c>
      <c r="E56">
        <v>950</v>
      </c>
      <c r="G56" s="52" t="s">
        <v>1204</v>
      </c>
      <c r="H56">
        <v>38384</v>
      </c>
      <c r="I56" t="s">
        <v>66</v>
      </c>
      <c r="J56">
        <v>1548</v>
      </c>
      <c r="K56" t="s">
        <v>149</v>
      </c>
      <c r="L56">
        <v>3921.75</v>
      </c>
    </row>
    <row r="57" spans="1:13" x14ac:dyDescent="0.35">
      <c r="B57" t="s">
        <v>1233</v>
      </c>
      <c r="C57">
        <v>133.5</v>
      </c>
      <c r="E57">
        <v>975</v>
      </c>
      <c r="F57" t="s">
        <v>151</v>
      </c>
      <c r="G57" s="52" t="s">
        <v>1204</v>
      </c>
      <c r="H57">
        <v>38384</v>
      </c>
      <c r="I57" t="s">
        <v>66</v>
      </c>
      <c r="J57">
        <v>1548</v>
      </c>
      <c r="K57" t="s">
        <v>149</v>
      </c>
      <c r="M57">
        <v>3921.75</v>
      </c>
    </row>
    <row r="58" spans="1:13" x14ac:dyDescent="0.35">
      <c r="A58" t="s">
        <v>1205</v>
      </c>
      <c r="B58" t="s">
        <v>1234</v>
      </c>
      <c r="C58">
        <v>134</v>
      </c>
      <c r="D58" t="s">
        <v>17</v>
      </c>
      <c r="E58">
        <v>950</v>
      </c>
      <c r="G58" s="52" t="s">
        <v>1204</v>
      </c>
      <c r="H58">
        <v>38400</v>
      </c>
      <c r="I58" t="s">
        <v>66</v>
      </c>
      <c r="J58">
        <v>1548</v>
      </c>
      <c r="K58" t="s">
        <v>149</v>
      </c>
      <c r="L58">
        <v>10904.08</v>
      </c>
    </row>
    <row r="59" spans="1:13" x14ac:dyDescent="0.35">
      <c r="B59" t="s">
        <v>1234</v>
      </c>
      <c r="C59">
        <v>134.5</v>
      </c>
      <c r="E59">
        <v>975</v>
      </c>
      <c r="F59" t="s">
        <v>151</v>
      </c>
      <c r="G59" s="52" t="s">
        <v>1204</v>
      </c>
      <c r="H59">
        <v>38400</v>
      </c>
      <c r="I59" t="s">
        <v>66</v>
      </c>
      <c r="J59">
        <v>1548</v>
      </c>
      <c r="K59" t="s">
        <v>149</v>
      </c>
      <c r="M59">
        <v>10904.08</v>
      </c>
    </row>
    <row r="60" spans="1:13" x14ac:dyDescent="0.35">
      <c r="A60" t="s">
        <v>1205</v>
      </c>
      <c r="B60" t="s">
        <v>1235</v>
      </c>
      <c r="C60">
        <v>135</v>
      </c>
      <c r="D60" t="s">
        <v>17</v>
      </c>
      <c r="E60">
        <v>950</v>
      </c>
      <c r="G60" s="52" t="s">
        <v>1204</v>
      </c>
      <c r="H60">
        <v>38623</v>
      </c>
      <c r="I60" t="s">
        <v>144</v>
      </c>
      <c r="J60">
        <v>1688</v>
      </c>
      <c r="K60" t="s">
        <v>149</v>
      </c>
      <c r="L60">
        <v>10400</v>
      </c>
    </row>
    <row r="61" spans="1:13" x14ac:dyDescent="0.35">
      <c r="B61" t="s">
        <v>1235</v>
      </c>
      <c r="C61">
        <v>135.5</v>
      </c>
      <c r="E61">
        <v>975</v>
      </c>
      <c r="F61" t="s">
        <v>151</v>
      </c>
      <c r="G61" s="52" t="s">
        <v>1204</v>
      </c>
      <c r="H61">
        <v>38623</v>
      </c>
      <c r="I61" t="s">
        <v>144</v>
      </c>
      <c r="J61">
        <v>1688</v>
      </c>
      <c r="K61" t="s">
        <v>149</v>
      </c>
      <c r="M61">
        <v>10400</v>
      </c>
    </row>
    <row r="62" spans="1:13" x14ac:dyDescent="0.35">
      <c r="A62" t="s">
        <v>1205</v>
      </c>
      <c r="B62" t="s">
        <v>1206</v>
      </c>
      <c r="C62">
        <v>136</v>
      </c>
      <c r="D62" t="s">
        <v>17</v>
      </c>
      <c r="E62">
        <v>950</v>
      </c>
      <c r="G62" s="52">
        <v>45664</v>
      </c>
      <c r="H62" t="s">
        <v>54</v>
      </c>
      <c r="I62" t="s">
        <v>55</v>
      </c>
      <c r="J62">
        <v>3335</v>
      </c>
      <c r="K62" t="s">
        <v>146</v>
      </c>
      <c r="L62">
        <v>33690.51</v>
      </c>
    </row>
    <row r="63" spans="1:13" x14ac:dyDescent="0.35">
      <c r="B63" t="s">
        <v>1206</v>
      </c>
      <c r="C63">
        <v>136.5</v>
      </c>
      <c r="E63">
        <v>976</v>
      </c>
      <c r="F63" t="s">
        <v>150</v>
      </c>
      <c r="G63" s="52">
        <v>45664</v>
      </c>
      <c r="H63" t="s">
        <v>54</v>
      </c>
      <c r="I63" t="s">
        <v>55</v>
      </c>
      <c r="J63">
        <v>3335</v>
      </c>
      <c r="K63" t="s">
        <v>146</v>
      </c>
      <c r="M63">
        <v>33690.51</v>
      </c>
    </row>
    <row r="64" spans="1:13" x14ac:dyDescent="0.35">
      <c r="A64" t="s">
        <v>1205</v>
      </c>
      <c r="B64" t="s">
        <v>1207</v>
      </c>
      <c r="C64">
        <v>137</v>
      </c>
      <c r="D64" t="s">
        <v>17</v>
      </c>
      <c r="E64">
        <v>950</v>
      </c>
      <c r="G64" s="52" t="s">
        <v>1208</v>
      </c>
      <c r="H64">
        <v>36570</v>
      </c>
      <c r="I64" t="s">
        <v>91</v>
      </c>
      <c r="J64">
        <v>649</v>
      </c>
      <c r="K64" t="s">
        <v>146</v>
      </c>
      <c r="L64">
        <v>16950</v>
      </c>
    </row>
    <row r="65" spans="1:13" x14ac:dyDescent="0.35">
      <c r="B65" t="s">
        <v>1207</v>
      </c>
      <c r="C65">
        <v>137.5</v>
      </c>
      <c r="E65">
        <v>976</v>
      </c>
      <c r="F65" t="s">
        <v>150</v>
      </c>
      <c r="G65" s="52" t="s">
        <v>1208</v>
      </c>
      <c r="H65">
        <v>36570</v>
      </c>
      <c r="I65" t="s">
        <v>91</v>
      </c>
      <c r="J65">
        <v>649</v>
      </c>
      <c r="K65" t="s">
        <v>146</v>
      </c>
      <c r="M65">
        <v>16950</v>
      </c>
    </row>
    <row r="66" spans="1:13" x14ac:dyDescent="0.35">
      <c r="A66" t="s">
        <v>1205</v>
      </c>
      <c r="B66" t="s">
        <v>1209</v>
      </c>
      <c r="C66">
        <v>138</v>
      </c>
      <c r="D66" t="s">
        <v>17</v>
      </c>
      <c r="E66">
        <v>950</v>
      </c>
      <c r="G66" s="52" t="s">
        <v>1208</v>
      </c>
      <c r="H66">
        <v>36581</v>
      </c>
      <c r="I66" t="s">
        <v>91</v>
      </c>
      <c r="J66">
        <v>649</v>
      </c>
      <c r="K66" t="s">
        <v>146</v>
      </c>
      <c r="L66">
        <v>2850</v>
      </c>
    </row>
    <row r="67" spans="1:13" x14ac:dyDescent="0.35">
      <c r="B67" t="s">
        <v>1209</v>
      </c>
      <c r="C67">
        <v>138.5</v>
      </c>
      <c r="E67">
        <v>976</v>
      </c>
      <c r="F67" t="s">
        <v>150</v>
      </c>
      <c r="G67" s="52" t="s">
        <v>1208</v>
      </c>
      <c r="H67">
        <v>36581</v>
      </c>
      <c r="I67" t="s">
        <v>91</v>
      </c>
      <c r="J67">
        <v>649</v>
      </c>
      <c r="K67" t="s">
        <v>146</v>
      </c>
      <c r="M67">
        <v>2850</v>
      </c>
    </row>
    <row r="68" spans="1:13" x14ac:dyDescent="0.35">
      <c r="A68" t="s">
        <v>1205</v>
      </c>
      <c r="B68" t="s">
        <v>1236</v>
      </c>
      <c r="C68">
        <v>139</v>
      </c>
      <c r="D68" t="s">
        <v>17</v>
      </c>
      <c r="E68">
        <v>950</v>
      </c>
      <c r="G68" s="52" t="s">
        <v>1204</v>
      </c>
      <c r="H68" t="s">
        <v>147</v>
      </c>
      <c r="I68" t="s">
        <v>148</v>
      </c>
      <c r="J68">
        <v>3358</v>
      </c>
      <c r="K68" t="s">
        <v>146</v>
      </c>
      <c r="L68">
        <v>5492.4</v>
      </c>
    </row>
    <row r="69" spans="1:13" x14ac:dyDescent="0.35">
      <c r="B69" t="s">
        <v>1236</v>
      </c>
      <c r="C69">
        <v>139.5</v>
      </c>
      <c r="E69">
        <v>976</v>
      </c>
      <c r="F69" t="s">
        <v>150</v>
      </c>
      <c r="G69" s="52" t="s">
        <v>1204</v>
      </c>
      <c r="H69" t="s">
        <v>147</v>
      </c>
      <c r="I69" t="s">
        <v>148</v>
      </c>
      <c r="J69">
        <v>3358</v>
      </c>
      <c r="K69" t="s">
        <v>146</v>
      </c>
      <c r="M69">
        <v>5492.4</v>
      </c>
    </row>
    <row r="70" spans="1:13" x14ac:dyDescent="0.35">
      <c r="A70" t="s">
        <v>1205</v>
      </c>
      <c r="B70" t="s">
        <v>1210</v>
      </c>
      <c r="C70">
        <v>140</v>
      </c>
      <c r="D70" t="s">
        <v>17</v>
      </c>
      <c r="E70">
        <v>950</v>
      </c>
      <c r="G70" s="52" t="s">
        <v>1204</v>
      </c>
      <c r="H70">
        <v>36729</v>
      </c>
      <c r="I70" t="s">
        <v>57</v>
      </c>
      <c r="J70">
        <v>3330</v>
      </c>
      <c r="K70" t="s">
        <v>146</v>
      </c>
      <c r="L70">
        <v>8600</v>
      </c>
    </row>
    <row r="71" spans="1:13" x14ac:dyDescent="0.35">
      <c r="B71" t="s">
        <v>1210</v>
      </c>
      <c r="C71">
        <v>140.5</v>
      </c>
      <c r="E71">
        <v>976</v>
      </c>
      <c r="F71" t="s">
        <v>150</v>
      </c>
      <c r="G71" s="52" t="s">
        <v>1204</v>
      </c>
      <c r="H71">
        <v>36729</v>
      </c>
      <c r="I71" t="s">
        <v>57</v>
      </c>
      <c r="J71">
        <v>3330</v>
      </c>
      <c r="K71" t="s">
        <v>146</v>
      </c>
      <c r="M71">
        <v>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July Revenue Modified- original</vt:lpstr>
      <vt:lpstr>Aug Revenue Modified</vt:lpstr>
      <vt:lpstr>Aug Revenue working file</vt:lpstr>
      <vt:lpstr>July Revenue `</vt:lpstr>
      <vt:lpstr>FAILED JULY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2026-03-10T11:54:21Z</dcterms:created>
  <dcterms:modified xsi:type="dcterms:W3CDTF">2026-03-14T15:33:08Z</dcterms:modified>
</cp:coreProperties>
</file>