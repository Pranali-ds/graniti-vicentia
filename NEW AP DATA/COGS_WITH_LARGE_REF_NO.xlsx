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NEW AP DATA\"/>
    </mc:Choice>
  </mc:AlternateContent>
  <xr:revisionPtr revIDLastSave="0" documentId="13_ncr:1_{33152279-FE8A-4B26-AE97-BFFFB5E4D8B5}" xr6:coauthVersionLast="47" xr6:coauthVersionMax="47" xr10:uidLastSave="{00000000-0000-0000-0000-000000000000}"/>
  <bookViews>
    <workbookView xWindow="-110" yWindow="-110" windowWidth="19420" windowHeight="10300" xr2:uid="{5D525819-415E-45AE-AAB6-45F0CE4AA8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<sst xmlns="http://schemas.openxmlformats.org/spreadsheetml/2006/main" count="187" uniqueCount="87">
  <si>
    <t>External ID</t>
  </si>
  <si>
    <t>Item</t>
  </si>
  <si>
    <t>Item ID</t>
  </si>
  <si>
    <t>Party Name</t>
  </si>
  <si>
    <t>Vendor ID</t>
  </si>
  <si>
    <t>Invoice #</t>
  </si>
  <si>
    <t>length</t>
  </si>
  <si>
    <t>Invoice Date</t>
  </si>
  <si>
    <t>New date</t>
  </si>
  <si>
    <t>Balance Due</t>
  </si>
  <si>
    <t>Memo</t>
  </si>
  <si>
    <t>Subsidiary Id</t>
  </si>
  <si>
    <t>Subsidiary</t>
  </si>
  <si>
    <t>Account</t>
  </si>
  <si>
    <t xml:space="preserve">BIN </t>
  </si>
  <si>
    <t>BIN ID</t>
  </si>
  <si>
    <t>LOCATION</t>
  </si>
  <si>
    <t>serial/lot number</t>
  </si>
  <si>
    <t>OPENVENBILL42930/ 241115USA-919 / JXLU4315557</t>
  </si>
  <si>
    <t>cogs</t>
  </si>
  <si>
    <t>Beijing Topli Decorative Materials Co., LTD</t>
  </si>
  <si>
    <t>Graniti Vicentia LLC</t>
  </si>
  <si>
    <t>A20001</t>
  </si>
  <si>
    <t>CW-001</t>
  </si>
  <si>
    <t>OPENVENBILL554, 555, 556, 557, 558, 559, 566</t>
  </si>
  <si>
    <t>GIBAM SHOPS SPA</t>
  </si>
  <si>
    <t>OPENVENBILL202, 203, 204, 205, 206, 207, 22</t>
  </si>
  <si>
    <t>OPENVENBILL321, 323, 324, 332, 334, 336, 338</t>
  </si>
  <si>
    <t>OPENVENBILL433, 434, 435, 436, 437, 445, 446, 448, 450,453 , 454</t>
  </si>
  <si>
    <t>$1,67,677.56</t>
  </si>
  <si>
    <t>OPENVENBILLWhitaker 04-29-2024 to 05-05-2024</t>
  </si>
  <si>
    <t>GV Facades LLC</t>
  </si>
  <si>
    <t>OPENVENBILLLQ Memphis Window Treatment 05-27-2024 to 06-02-2024</t>
  </si>
  <si>
    <t>OPENVENBILLThe Eden 05-27-2024 to 06-02-2024</t>
  </si>
  <si>
    <t>OPENVENBILLTribute-Element Carmel IN FF&amp;E 05-27-2024 to 06-02-2024</t>
  </si>
  <si>
    <t>OPENVENBILLWyndham Kingman AZ 05-27-2024 to 06-02-2024</t>
  </si>
  <si>
    <t>OPENVENBILLResidence Inn Fort Smith 08-19-2024 to 08-25-2024</t>
  </si>
  <si>
    <t>OPENVENBILLLas Vegas Trade Show 1074 05-05-2025 to 05-11-2025</t>
  </si>
  <si>
    <t>OPENVENBILLJonathan Ramirez HWY6 05-19-2025 to 05-25-2025</t>
  </si>
  <si>
    <t>OPENVENBILL335 8th St NY 05-26-2025 to 06-01-2025</t>
  </si>
  <si>
    <t>OPENVENBILL1430 Lincoln BLVD L.A 06-23-2025 to 06-29-2025</t>
  </si>
  <si>
    <t>OPENVENBILLHWY6 Fab Shop 06-23-2025 to 06-29-2025</t>
  </si>
  <si>
    <t>OPENVENBILLSahara Las Vegas 06-23-2025 to 06-29-2025</t>
  </si>
  <si>
    <t>OPENVENBILLUrban Atelier Group LLC 06-23-2025 to 06-29-2025</t>
  </si>
  <si>
    <t>OPENVENBILL1374e7d1-71a0-443a-bf70-5277a700ce9a</t>
  </si>
  <si>
    <t>Modular Shower Walls</t>
  </si>
  <si>
    <t>OPENVENBILLb0d91988-30ee-432a-8a79-2bb9d511fec8</t>
  </si>
  <si>
    <t>OPENVENBILLZB202405009USA, ZB202407028USA,ZB202405043USA</t>
  </si>
  <si>
    <t>ZBOM Cabinets Crop.</t>
  </si>
  <si>
    <t>05-27-2024 to 06-02-2024</t>
  </si>
  <si>
    <t>04-29-2024 to 05-05-2024</t>
  </si>
  <si>
    <t>Import SPS data by Invoice in NetSuite---42930/ 241115USA-919 / JXLU4315557</t>
  </si>
  <si>
    <t>Import SPS data by Invoice in NetSuite---554, 555, 556, 557, 558, 559, 566</t>
  </si>
  <si>
    <t>Import SPS data by Invoice in NetSuite---202, 203, 204, 205, 206, 207, 22</t>
  </si>
  <si>
    <t>Import SPS data by Invoice in NetSuite---321, 323, 324, 332, 334, 336, 338</t>
  </si>
  <si>
    <t>Import SPS data by Invoice in NetSuite---433, 434, 435, 436, 437, 445, 446, 448, 450,453 , 454</t>
  </si>
  <si>
    <t>Import SPS data by Invoice in NetSuite---Whitaker 04-29-2024 to 05-05-2024</t>
  </si>
  <si>
    <t>Import SPS data by Invoice in NetSuite---LQ Memphis Window Treatment 05-27-2024 to 06-02-2024</t>
  </si>
  <si>
    <t>Import SPS data by Invoice in NetSuite---The Eden 05-27-2024 to 06-02-2024</t>
  </si>
  <si>
    <t>Import SPS data by Invoice in NetSuite---Tribute-Element Carmel IN FF&amp;E 05-27-2024 to 06-02-2024</t>
  </si>
  <si>
    <t>Import SPS data by Invoice in NetSuite---Wyndham Kingman AZ 05-27-2024 to 06-02-2024</t>
  </si>
  <si>
    <t>Import SPS data by Invoice in NetSuite---Residence Inn Fort Smith 08-19-2024 to 08-25-2024</t>
  </si>
  <si>
    <t>Import SPS data by Invoice in NetSuite---Las Vegas Trade Show 1074 05-05-2025 to 05-11-2025</t>
  </si>
  <si>
    <t>Import SPS data by Invoice in NetSuite---Jonathan Ramirez HWY6 05-19-2025 to 05-25-2025</t>
  </si>
  <si>
    <t>Import SPS data by Invoice in NetSuite---335 8th St NY 05-26-2025 to 06-01-2025</t>
  </si>
  <si>
    <t>Import SPS data by Invoice in NetSuite---1430 Lincoln BLVD L.A 06-23-2025 to 06-29-2025</t>
  </si>
  <si>
    <t>Import SPS data by Invoice in NetSuite---HWY6 Fab Shop 06-23-2025 to 06-29-2025</t>
  </si>
  <si>
    <t>Import SPS data by Invoice in NetSuite---Sahara Las Vegas 06-23-2025 to 06-29-2025</t>
  </si>
  <si>
    <t>Import SPS data by Invoice in NetSuite---Urban Atelier Group LLC 06-23-2025 to 06-29-2025</t>
  </si>
  <si>
    <t>Import SPS data by Invoice in NetSuite---1374e7d1-71a0-443a-bf70-5277a700ce9a</t>
  </si>
  <si>
    <t>Import SPS data by Invoice in NetSuite---b0d91988-30ee-432a-8a79-2bb9d511fec8</t>
  </si>
  <si>
    <t>Import SPS data by Invoice in NetSuite---ZB202405009USA, ZB202407028USA,ZB202405043USA</t>
  </si>
  <si>
    <t>42930/241115USA-919</t>
  </si>
  <si>
    <t>554, 555, 556, 557, 558, 559</t>
  </si>
  <si>
    <t>202, 203, 204, 205, 206, 207</t>
  </si>
  <si>
    <t>321, 323, 324, 332, 334, 336</t>
  </si>
  <si>
    <t>433, 434, 435, 436, 437, 445</t>
  </si>
  <si>
    <t>IN FF&amp;E 05-27-2024 to 06</t>
  </si>
  <si>
    <t>AZ 05-27-2024 to 06-02</t>
  </si>
  <si>
    <t>08-19-2024 to 08-25-2024</t>
  </si>
  <si>
    <t>1074 05-05-2025 to 05-11-2025</t>
  </si>
  <si>
    <t>6 05-19-2025 to 05-25-2025</t>
  </si>
  <si>
    <t xml:space="preserve"> 05-26-2025 to 06-01-2025</t>
  </si>
  <si>
    <t>06-23-2025 to 06-29-2025</t>
  </si>
  <si>
    <t>BILL001_06/30/2025</t>
  </si>
  <si>
    <t>BILL002_06/30/2025</t>
  </si>
  <si>
    <t>ZB202405009USA, ZB202407028USA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</si>
</sst>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/dd\/yyyy"/>
    <numFmt numFmtId="165" formatCode="mm\-dd\-yyyy"/>
    <numFmt numFmtId="166" formatCode="&quot;$&quot;#,##0.00"/>
    <numFmt numFmtId="167" formatCode="m\-d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6" fontId="5" fillId="2" borderId="0" xfId="0" applyNumberFormat="1" applyFont="1" applyFill="1" applyAlignment="1">
      <alignment horizontal="righ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9F27-C70D-4A2E-98F5-A928DDF14E91}">
  <dimension ref="A1:AF22"/>
  <sheetViews>
    <sheetView tabSelected="1" topLeftCell="B1" workbookViewId="0">
      <selection activeCell="A23" sqref="A23:XFD1048576"/>
    </sheetView>
  </sheetViews>
  <sheetFormatPr defaultRowHeight="14.5" x14ac:dyDescent="0.35"/>
  <cols>
    <col min="1" max="1" width="62" bestFit="1" customWidth="1"/>
    <col min="2" max="2" width="4.7265625" bestFit="1" customWidth="1"/>
    <col min="3" max="3" width="7" bestFit="1" customWidth="1"/>
    <col min="4" max="4" width="36.1796875" bestFit="1" customWidth="1"/>
    <col min="5" max="5" width="11.36328125" bestFit="1" customWidth="1"/>
    <col min="6" max="6" width="50.453125" bestFit="1" customWidth="1"/>
    <col min="7" max="7" width="8.36328125" customWidth="1"/>
    <col min="8" max="8" width="7.6328125" bestFit="1" customWidth="1"/>
    <col min="9" max="9" width="13.90625" bestFit="1" customWidth="1"/>
    <col min="10" max="10" width="10.54296875" bestFit="1" customWidth="1"/>
    <col min="11" max="11" width="14.08984375" bestFit="1" customWidth="1"/>
    <col min="12" max="12" width="84.54296875" bestFit="1" customWidth="1"/>
    <col min="13" max="13" width="11.453125" bestFit="1" customWidth="1"/>
    <col min="14" max="14" width="16.7265625" bestFit="1" customWidth="1"/>
    <col min="15" max="15" width="7.6328125" bestFit="1" customWidth="1"/>
    <col min="16" max="16" width="7.36328125" bestFit="1" customWidth="1"/>
    <col min="17" max="17" width="5.54296875" bestFit="1" customWidth="1"/>
    <col min="19" max="19" width="15.54296875" bestFit="1" customWidth="1"/>
  </cols>
  <sheetData>
    <row r="1" spans="1:32" s="14" customFormat="1" ht="15.75" customHeight="1" x14ac:dyDescent="0.35">
      <c r="A1" s="14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  <c r="J1" s="3" t="s">
        <v>8</v>
      </c>
      <c r="K1" s="2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4" t="s">
        <v>14</v>
      </c>
      <c r="Q1" s="4" t="s">
        <v>15</v>
      </c>
      <c r="R1" s="4" t="s">
        <v>16</v>
      </c>
      <c r="S1" s="14" t="s">
        <v>17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35">
      <c r="A2" t="s">
        <v>18</v>
      </c>
      <c r="B2" s="5" t="s">
        <v>19</v>
      </c>
      <c r="C2" s="6">
        <v>40391</v>
      </c>
      <c r="D2" s="6" t="s">
        <v>20</v>
      </c>
      <c r="E2" s="7">
        <v>1233</v>
      </c>
      <c r="F2" s="7" t="s">
        <v>72</v>
      </c>
      <c r="G2" s="7">
        <f>LEN(F2)</f>
        <v>19</v>
      </c>
      <c r="H2">
        <v>34</v>
      </c>
      <c r="I2" s="8">
        <v>45699</v>
      </c>
      <c r="J2" s="9">
        <v>45699</v>
      </c>
      <c r="K2" s="10">
        <v>-2059.4499999999998</v>
      </c>
      <c r="L2" t="s">
        <v>51</v>
      </c>
      <c r="M2">
        <v>3</v>
      </c>
      <c r="N2" t="s">
        <v>21</v>
      </c>
      <c r="O2" t="s">
        <v>22</v>
      </c>
      <c r="P2" t="s">
        <v>23</v>
      </c>
      <c r="Q2">
        <v>17</v>
      </c>
      <c r="R2">
        <v>2</v>
      </c>
      <c r="S2">
        <v>10072</v>
      </c>
    </row>
    <row r="3" spans="1:32" x14ac:dyDescent="0.35">
      <c r="A3" t="s">
        <v>24</v>
      </c>
      <c r="B3" s="5" t="s">
        <v>19</v>
      </c>
      <c r="C3" s="6">
        <v>40391</v>
      </c>
      <c r="D3" s="6" t="s">
        <v>25</v>
      </c>
      <c r="E3" s="7">
        <v>1253</v>
      </c>
      <c r="F3" s="7" t="s">
        <v>73</v>
      </c>
      <c r="G3" s="7">
        <f t="shared" ref="G3:G22" si="0">LEN(F3)</f>
        <v>28</v>
      </c>
      <c r="H3">
        <v>33</v>
      </c>
      <c r="I3" s="11">
        <v>45291</v>
      </c>
      <c r="J3" s="9">
        <v>45291</v>
      </c>
      <c r="K3" s="12">
        <v>48064.52</v>
      </c>
      <c r="L3" t="s">
        <v>52</v>
      </c>
      <c r="M3">
        <v>3</v>
      </c>
      <c r="N3" t="s">
        <v>21</v>
      </c>
      <c r="O3" t="s">
        <v>22</v>
      </c>
      <c r="P3" t="s">
        <v>23</v>
      </c>
      <c r="Q3">
        <v>17</v>
      </c>
      <c r="R3">
        <v>2</v>
      </c>
      <c r="S3">
        <v>10183</v>
      </c>
    </row>
    <row r="4" spans="1:32" x14ac:dyDescent="0.35">
      <c r="A4" t="s">
        <v>26</v>
      </c>
      <c r="B4" s="5" t="s">
        <v>19</v>
      </c>
      <c r="C4" s="6">
        <v>40391</v>
      </c>
      <c r="D4" s="6" t="s">
        <v>25</v>
      </c>
      <c r="E4" s="7">
        <v>1253</v>
      </c>
      <c r="F4" s="7" t="s">
        <v>74</v>
      </c>
      <c r="G4" s="7">
        <f t="shared" si="0"/>
        <v>28</v>
      </c>
      <c r="H4">
        <v>32</v>
      </c>
      <c r="I4" s="8">
        <v>45471</v>
      </c>
      <c r="J4" s="9">
        <v>45471</v>
      </c>
      <c r="K4" s="12">
        <v>6802.52</v>
      </c>
      <c r="L4" t="s">
        <v>53</v>
      </c>
      <c r="M4">
        <v>3</v>
      </c>
      <c r="N4" t="s">
        <v>21</v>
      </c>
      <c r="O4" t="s">
        <v>22</v>
      </c>
      <c r="P4" t="s">
        <v>23</v>
      </c>
      <c r="Q4">
        <v>17</v>
      </c>
      <c r="R4">
        <v>2</v>
      </c>
      <c r="S4">
        <v>10220</v>
      </c>
    </row>
    <row r="5" spans="1:32" x14ac:dyDescent="0.35">
      <c r="A5" t="s">
        <v>27</v>
      </c>
      <c r="B5" s="5" t="s">
        <v>19</v>
      </c>
      <c r="C5" s="6">
        <v>40391</v>
      </c>
      <c r="D5" s="6" t="s">
        <v>25</v>
      </c>
      <c r="E5" s="7">
        <v>1253</v>
      </c>
      <c r="F5" s="7" t="s">
        <v>75</v>
      </c>
      <c r="G5" s="7">
        <f t="shared" si="0"/>
        <v>28</v>
      </c>
      <c r="H5">
        <v>33</v>
      </c>
      <c r="I5" s="8">
        <v>45568</v>
      </c>
      <c r="J5" s="9">
        <v>45568</v>
      </c>
      <c r="K5" s="12">
        <v>91946.63</v>
      </c>
      <c r="L5" t="s">
        <v>54</v>
      </c>
      <c r="M5">
        <v>3</v>
      </c>
      <c r="N5" t="s">
        <v>21</v>
      </c>
      <c r="O5" t="s">
        <v>22</v>
      </c>
      <c r="P5" t="s">
        <v>23</v>
      </c>
      <c r="Q5">
        <v>17</v>
      </c>
      <c r="R5">
        <v>2</v>
      </c>
      <c r="S5">
        <v>10258</v>
      </c>
    </row>
    <row r="6" spans="1:32" x14ac:dyDescent="0.35">
      <c r="A6" t="s">
        <v>28</v>
      </c>
      <c r="B6" s="5" t="s">
        <v>19</v>
      </c>
      <c r="C6" s="6">
        <v>40391</v>
      </c>
      <c r="D6" s="6" t="s">
        <v>25</v>
      </c>
      <c r="E6" s="7">
        <v>1253</v>
      </c>
      <c r="F6" s="7" t="s">
        <v>76</v>
      </c>
      <c r="G6" s="7">
        <f t="shared" si="0"/>
        <v>28</v>
      </c>
      <c r="H6">
        <v>53</v>
      </c>
      <c r="I6" s="11">
        <v>45638</v>
      </c>
      <c r="J6" s="9">
        <v>45638</v>
      </c>
      <c r="K6" s="13" t="s">
        <v>29</v>
      </c>
      <c r="L6" t="s">
        <v>55</v>
      </c>
      <c r="M6">
        <v>3</v>
      </c>
      <c r="N6" t="s">
        <v>21</v>
      </c>
      <c r="O6" t="s">
        <v>22</v>
      </c>
      <c r="P6" t="s">
        <v>23</v>
      </c>
      <c r="Q6">
        <v>17</v>
      </c>
      <c r="R6">
        <v>2</v>
      </c>
      <c r="S6">
        <v>10292</v>
      </c>
    </row>
    <row r="7" spans="1:32" x14ac:dyDescent="0.35">
      <c r="A7" t="s">
        <v>30</v>
      </c>
      <c r="B7" s="5" t="s">
        <v>19</v>
      </c>
      <c r="C7" s="6">
        <v>40391</v>
      </c>
      <c r="D7" s="6" t="s">
        <v>31</v>
      </c>
      <c r="E7" s="7">
        <v>122</v>
      </c>
      <c r="F7" s="7" t="s">
        <v>50</v>
      </c>
      <c r="G7" s="7">
        <f t="shared" si="0"/>
        <v>24</v>
      </c>
      <c r="H7">
        <v>33</v>
      </c>
      <c r="I7" s="8">
        <v>45418</v>
      </c>
      <c r="J7" s="9">
        <v>45418</v>
      </c>
      <c r="K7" s="12">
        <v>2903.02</v>
      </c>
      <c r="L7" t="s">
        <v>56</v>
      </c>
      <c r="M7">
        <v>3</v>
      </c>
      <c r="N7" t="s">
        <v>21</v>
      </c>
      <c r="O7" t="s">
        <v>22</v>
      </c>
      <c r="P7" t="s">
        <v>23</v>
      </c>
      <c r="Q7">
        <v>17</v>
      </c>
      <c r="R7">
        <v>2</v>
      </c>
      <c r="S7">
        <v>10329</v>
      </c>
    </row>
    <row r="8" spans="1:32" x14ac:dyDescent="0.35">
      <c r="A8" t="s">
        <v>32</v>
      </c>
      <c r="B8" s="5" t="s">
        <v>19</v>
      </c>
      <c r="C8" s="6">
        <v>40391</v>
      </c>
      <c r="D8" s="6" t="s">
        <v>31</v>
      </c>
      <c r="E8" s="7">
        <v>122</v>
      </c>
      <c r="F8" s="7" t="s">
        <v>49</v>
      </c>
      <c r="G8" s="7">
        <f t="shared" si="0"/>
        <v>24</v>
      </c>
      <c r="H8">
        <v>52</v>
      </c>
      <c r="I8" s="8">
        <v>45446</v>
      </c>
      <c r="J8" s="9">
        <v>45446</v>
      </c>
      <c r="K8" s="12">
        <v>5204.46</v>
      </c>
      <c r="L8" t="s">
        <v>57</v>
      </c>
      <c r="M8">
        <v>3</v>
      </c>
      <c r="N8" t="s">
        <v>21</v>
      </c>
      <c r="O8" t="s">
        <v>22</v>
      </c>
      <c r="P8" t="s">
        <v>23</v>
      </c>
      <c r="Q8">
        <v>17</v>
      </c>
      <c r="R8">
        <v>2</v>
      </c>
      <c r="S8">
        <v>10331</v>
      </c>
    </row>
    <row r="9" spans="1:32" x14ac:dyDescent="0.35">
      <c r="A9" t="s">
        <v>33</v>
      </c>
      <c r="B9" s="5" t="s">
        <v>19</v>
      </c>
      <c r="C9" s="6">
        <v>40391</v>
      </c>
      <c r="D9" s="6" t="s">
        <v>31</v>
      </c>
      <c r="E9" s="7">
        <v>122</v>
      </c>
      <c r="F9" s="7" t="s">
        <v>49</v>
      </c>
      <c r="G9" s="7">
        <f t="shared" si="0"/>
        <v>24</v>
      </c>
      <c r="H9">
        <v>33</v>
      </c>
      <c r="I9" s="8">
        <v>45446</v>
      </c>
      <c r="J9" s="9">
        <v>45446</v>
      </c>
      <c r="K9" s="12">
        <v>4552.0200000000004</v>
      </c>
      <c r="L9" t="s">
        <v>58</v>
      </c>
      <c r="M9">
        <v>3</v>
      </c>
      <c r="N9" t="s">
        <v>21</v>
      </c>
      <c r="O9" t="s">
        <v>22</v>
      </c>
      <c r="P9" t="s">
        <v>23</v>
      </c>
      <c r="Q9">
        <v>17</v>
      </c>
      <c r="R9">
        <v>2</v>
      </c>
      <c r="S9">
        <v>10332</v>
      </c>
    </row>
    <row r="10" spans="1:32" x14ac:dyDescent="0.35">
      <c r="A10" t="s">
        <v>34</v>
      </c>
      <c r="B10" s="5" t="s">
        <v>19</v>
      </c>
      <c r="C10" s="6">
        <v>40391</v>
      </c>
      <c r="D10" s="6" t="s">
        <v>31</v>
      </c>
      <c r="E10" s="7">
        <v>122</v>
      </c>
      <c r="F10" s="7" t="s">
        <v>77</v>
      </c>
      <c r="G10" s="7">
        <f t="shared" si="0"/>
        <v>24</v>
      </c>
      <c r="H10">
        <v>55</v>
      </c>
      <c r="I10" s="8">
        <v>45446</v>
      </c>
      <c r="J10" s="9">
        <v>45446</v>
      </c>
      <c r="K10" s="12">
        <v>7040</v>
      </c>
      <c r="L10" t="s">
        <v>59</v>
      </c>
      <c r="M10">
        <v>3</v>
      </c>
      <c r="N10" t="s">
        <v>21</v>
      </c>
      <c r="O10" t="s">
        <v>22</v>
      </c>
      <c r="P10" t="s">
        <v>23</v>
      </c>
      <c r="Q10">
        <v>17</v>
      </c>
      <c r="R10">
        <v>2</v>
      </c>
      <c r="S10">
        <v>10333</v>
      </c>
    </row>
    <row r="11" spans="1:32" x14ac:dyDescent="0.35">
      <c r="A11" t="s">
        <v>35</v>
      </c>
      <c r="B11" s="5" t="s">
        <v>19</v>
      </c>
      <c r="C11" s="6">
        <v>40391</v>
      </c>
      <c r="D11" s="6" t="s">
        <v>31</v>
      </c>
      <c r="E11" s="7">
        <v>122</v>
      </c>
      <c r="F11" s="7" t="s">
        <v>78</v>
      </c>
      <c r="G11" s="7">
        <f t="shared" si="0"/>
        <v>22</v>
      </c>
      <c r="H11">
        <v>43</v>
      </c>
      <c r="I11" s="8">
        <v>45446</v>
      </c>
      <c r="J11" s="9">
        <v>45446</v>
      </c>
      <c r="K11" s="12">
        <v>13844.95</v>
      </c>
      <c r="L11" t="s">
        <v>60</v>
      </c>
      <c r="M11">
        <v>3</v>
      </c>
      <c r="N11" t="s">
        <v>21</v>
      </c>
      <c r="O11" t="s">
        <v>22</v>
      </c>
      <c r="P11" t="s">
        <v>23</v>
      </c>
      <c r="Q11">
        <v>17</v>
      </c>
      <c r="R11">
        <v>2</v>
      </c>
      <c r="S11">
        <v>10334</v>
      </c>
    </row>
    <row r="12" spans="1:32" x14ac:dyDescent="0.35">
      <c r="A12" t="s">
        <v>36</v>
      </c>
      <c r="B12" s="5" t="s">
        <v>19</v>
      </c>
      <c r="C12" s="6">
        <v>40391</v>
      </c>
      <c r="D12" s="6" t="s">
        <v>31</v>
      </c>
      <c r="E12" s="7">
        <v>122</v>
      </c>
      <c r="F12" s="7" t="s">
        <v>79</v>
      </c>
      <c r="G12" s="7">
        <f t="shared" si="0"/>
        <v>24</v>
      </c>
      <c r="H12">
        <v>49</v>
      </c>
      <c r="I12" s="8">
        <v>45530</v>
      </c>
      <c r="J12" s="9">
        <v>45530</v>
      </c>
      <c r="K12" s="12">
        <v>2250.7199999999998</v>
      </c>
      <c r="L12" t="s">
        <v>61</v>
      </c>
      <c r="M12">
        <v>3</v>
      </c>
      <c r="N12" t="s">
        <v>21</v>
      </c>
      <c r="O12" t="s">
        <v>22</v>
      </c>
      <c r="P12" t="s">
        <v>23</v>
      </c>
      <c r="Q12">
        <v>17</v>
      </c>
      <c r="R12">
        <v>2</v>
      </c>
      <c r="S12">
        <v>10335</v>
      </c>
    </row>
    <row r="13" spans="1:32" x14ac:dyDescent="0.35">
      <c r="A13" t="s">
        <v>37</v>
      </c>
      <c r="B13" s="5" t="s">
        <v>19</v>
      </c>
      <c r="C13" s="6">
        <v>40391</v>
      </c>
      <c r="D13" s="6" t="s">
        <v>31</v>
      </c>
      <c r="E13" s="7">
        <v>122</v>
      </c>
      <c r="F13" s="7" t="s">
        <v>80</v>
      </c>
      <c r="G13" s="7">
        <f t="shared" si="0"/>
        <v>29</v>
      </c>
      <c r="H13">
        <v>50</v>
      </c>
      <c r="I13" s="8">
        <v>45789</v>
      </c>
      <c r="J13" s="9">
        <v>45789</v>
      </c>
      <c r="K13" s="12">
        <v>4462.72</v>
      </c>
      <c r="L13" t="s">
        <v>62</v>
      </c>
      <c r="M13">
        <v>3</v>
      </c>
      <c r="N13" t="s">
        <v>21</v>
      </c>
      <c r="O13" t="s">
        <v>22</v>
      </c>
      <c r="P13" t="s">
        <v>23</v>
      </c>
      <c r="Q13">
        <v>17</v>
      </c>
      <c r="R13">
        <v>2</v>
      </c>
      <c r="S13">
        <v>10339</v>
      </c>
    </row>
    <row r="14" spans="1:32" x14ac:dyDescent="0.35">
      <c r="A14" t="s">
        <v>38</v>
      </c>
      <c r="B14" s="5" t="s">
        <v>19</v>
      </c>
      <c r="C14" s="6">
        <v>40391</v>
      </c>
      <c r="D14" s="6" t="s">
        <v>31</v>
      </c>
      <c r="E14" s="7">
        <v>122</v>
      </c>
      <c r="F14" s="7" t="s">
        <v>81</v>
      </c>
      <c r="G14" s="7">
        <f t="shared" si="0"/>
        <v>26</v>
      </c>
      <c r="H14">
        <v>46</v>
      </c>
      <c r="I14" s="8">
        <v>45804</v>
      </c>
      <c r="J14" s="9">
        <v>45804</v>
      </c>
      <c r="K14" s="12">
        <v>3517.3</v>
      </c>
      <c r="L14" t="s">
        <v>63</v>
      </c>
      <c r="M14">
        <v>3</v>
      </c>
      <c r="N14" t="s">
        <v>21</v>
      </c>
      <c r="O14" t="s">
        <v>22</v>
      </c>
      <c r="P14" t="s">
        <v>23</v>
      </c>
      <c r="Q14">
        <v>17</v>
      </c>
      <c r="R14">
        <v>2</v>
      </c>
      <c r="S14">
        <v>10340</v>
      </c>
    </row>
    <row r="15" spans="1:32" x14ac:dyDescent="0.35">
      <c r="A15" t="s">
        <v>39</v>
      </c>
      <c r="B15" s="5" t="s">
        <v>19</v>
      </c>
      <c r="C15" s="6">
        <v>40391</v>
      </c>
      <c r="D15" s="6" t="s">
        <v>31</v>
      </c>
      <c r="E15" s="7">
        <v>122</v>
      </c>
      <c r="F15" s="7" t="s">
        <v>82</v>
      </c>
      <c r="G15" s="7">
        <f t="shared" si="0"/>
        <v>25</v>
      </c>
      <c r="H15">
        <v>38</v>
      </c>
      <c r="I15" s="8">
        <v>45810</v>
      </c>
      <c r="J15" s="9">
        <v>45810</v>
      </c>
      <c r="K15" s="12">
        <v>371.5</v>
      </c>
      <c r="L15" t="s">
        <v>64</v>
      </c>
      <c r="M15">
        <v>3</v>
      </c>
      <c r="N15" t="s">
        <v>21</v>
      </c>
      <c r="O15" t="s">
        <v>22</v>
      </c>
      <c r="P15" t="s">
        <v>23</v>
      </c>
      <c r="Q15">
        <v>17</v>
      </c>
      <c r="R15">
        <v>2</v>
      </c>
      <c r="S15">
        <v>10341</v>
      </c>
    </row>
    <row r="16" spans="1:32" x14ac:dyDescent="0.35">
      <c r="A16" t="s">
        <v>40</v>
      </c>
      <c r="B16" s="5" t="s">
        <v>19</v>
      </c>
      <c r="C16" s="6">
        <v>40391</v>
      </c>
      <c r="D16" s="6" t="s">
        <v>31</v>
      </c>
      <c r="E16" s="7">
        <v>122</v>
      </c>
      <c r="F16" s="7" t="s">
        <v>83</v>
      </c>
      <c r="G16" s="7">
        <f t="shared" si="0"/>
        <v>24</v>
      </c>
      <c r="H16">
        <v>46</v>
      </c>
      <c r="I16" s="8">
        <v>45838</v>
      </c>
      <c r="J16" s="9">
        <v>45838</v>
      </c>
      <c r="K16" s="12">
        <v>6990</v>
      </c>
      <c r="L16" t="s">
        <v>65</v>
      </c>
      <c r="M16">
        <v>3</v>
      </c>
      <c r="N16" t="s">
        <v>21</v>
      </c>
      <c r="O16" t="s">
        <v>22</v>
      </c>
      <c r="P16" t="s">
        <v>23</v>
      </c>
      <c r="Q16">
        <v>17</v>
      </c>
      <c r="R16">
        <v>2</v>
      </c>
      <c r="S16">
        <v>10342</v>
      </c>
    </row>
    <row r="17" spans="1:19" x14ac:dyDescent="0.35">
      <c r="A17" t="s">
        <v>41</v>
      </c>
      <c r="B17" s="5" t="s">
        <v>19</v>
      </c>
      <c r="C17" s="6">
        <v>40391</v>
      </c>
      <c r="D17" s="6" t="s">
        <v>31</v>
      </c>
      <c r="E17" s="7">
        <v>122</v>
      </c>
      <c r="F17" s="7" t="s">
        <v>83</v>
      </c>
      <c r="G17" s="7">
        <f t="shared" si="0"/>
        <v>24</v>
      </c>
      <c r="H17">
        <v>38</v>
      </c>
      <c r="I17" s="8">
        <v>45838</v>
      </c>
      <c r="J17" s="9">
        <v>45838</v>
      </c>
      <c r="K17" s="12">
        <v>3654</v>
      </c>
      <c r="L17" t="s">
        <v>66</v>
      </c>
      <c r="M17">
        <v>3</v>
      </c>
      <c r="N17" t="s">
        <v>21</v>
      </c>
      <c r="O17" t="s">
        <v>22</v>
      </c>
      <c r="P17" t="s">
        <v>23</v>
      </c>
      <c r="Q17">
        <v>17</v>
      </c>
      <c r="R17">
        <v>2</v>
      </c>
      <c r="S17">
        <v>10343</v>
      </c>
    </row>
    <row r="18" spans="1:19" x14ac:dyDescent="0.35">
      <c r="A18" t="s">
        <v>42</v>
      </c>
      <c r="B18" s="5" t="s">
        <v>19</v>
      </c>
      <c r="C18" s="6">
        <v>40391</v>
      </c>
      <c r="D18" s="6" t="s">
        <v>31</v>
      </c>
      <c r="E18" s="7">
        <v>122</v>
      </c>
      <c r="F18" s="7" t="s">
        <v>83</v>
      </c>
      <c r="G18" s="7">
        <f t="shared" si="0"/>
        <v>24</v>
      </c>
      <c r="H18">
        <v>41</v>
      </c>
      <c r="I18" s="8">
        <v>45838</v>
      </c>
      <c r="J18" s="9">
        <v>45838</v>
      </c>
      <c r="K18" s="12">
        <v>41155.78</v>
      </c>
      <c r="L18" t="s">
        <v>67</v>
      </c>
      <c r="M18">
        <v>3</v>
      </c>
      <c r="N18" t="s">
        <v>21</v>
      </c>
      <c r="O18" t="s">
        <v>22</v>
      </c>
      <c r="P18" t="s">
        <v>23</v>
      </c>
      <c r="Q18">
        <v>17</v>
      </c>
      <c r="R18">
        <v>2</v>
      </c>
      <c r="S18">
        <v>10344</v>
      </c>
    </row>
    <row r="19" spans="1:19" x14ac:dyDescent="0.35">
      <c r="A19" t="s">
        <v>43</v>
      </c>
      <c r="B19" s="5" t="s">
        <v>19</v>
      </c>
      <c r="C19" s="6">
        <v>40391</v>
      </c>
      <c r="D19" s="6" t="s">
        <v>31</v>
      </c>
      <c r="E19" s="7">
        <v>122</v>
      </c>
      <c r="F19" s="7" t="s">
        <v>83</v>
      </c>
      <c r="G19" s="7">
        <f t="shared" si="0"/>
        <v>24</v>
      </c>
      <c r="H19">
        <v>48</v>
      </c>
      <c r="I19" s="8">
        <v>45838</v>
      </c>
      <c r="J19" s="9">
        <v>45838</v>
      </c>
      <c r="K19" s="12">
        <v>5919.78</v>
      </c>
      <c r="L19" t="s">
        <v>68</v>
      </c>
      <c r="M19">
        <v>3</v>
      </c>
      <c r="N19" t="s">
        <v>21</v>
      </c>
      <c r="O19" t="s">
        <v>22</v>
      </c>
      <c r="P19" t="s">
        <v>23</v>
      </c>
      <c r="Q19">
        <v>17</v>
      </c>
      <c r="R19">
        <v>2</v>
      </c>
      <c r="S19">
        <v>10345</v>
      </c>
    </row>
    <row r="20" spans="1:19" x14ac:dyDescent="0.35">
      <c r="A20" t="s">
        <v>44</v>
      </c>
      <c r="B20" s="5" t="s">
        <v>19</v>
      </c>
      <c r="C20" s="6">
        <v>40391</v>
      </c>
      <c r="D20" s="6" t="s">
        <v>45</v>
      </c>
      <c r="E20" s="7">
        <v>1270</v>
      </c>
      <c r="F20" s="7" t="s">
        <v>84</v>
      </c>
      <c r="G20" s="7">
        <f t="shared" si="0"/>
        <v>18</v>
      </c>
      <c r="H20">
        <v>36</v>
      </c>
      <c r="I20" s="8">
        <v>45838</v>
      </c>
      <c r="J20" s="9">
        <v>45838</v>
      </c>
      <c r="K20" s="12">
        <v>6066.7</v>
      </c>
      <c r="L20" t="s">
        <v>69</v>
      </c>
      <c r="M20">
        <v>3</v>
      </c>
      <c r="N20" t="s">
        <v>21</v>
      </c>
      <c r="O20" t="s">
        <v>22</v>
      </c>
      <c r="P20" t="s">
        <v>23</v>
      </c>
      <c r="Q20">
        <v>17</v>
      </c>
      <c r="R20">
        <v>2</v>
      </c>
      <c r="S20">
        <v>11019</v>
      </c>
    </row>
    <row r="21" spans="1:19" x14ac:dyDescent="0.35">
      <c r="A21" t="s">
        <v>46</v>
      </c>
      <c r="B21" s="5" t="s">
        <v>19</v>
      </c>
      <c r="C21" s="6">
        <v>40391</v>
      </c>
      <c r="D21" s="6" t="s">
        <v>45</v>
      </c>
      <c r="E21" s="7">
        <v>1270</v>
      </c>
      <c r="F21" s="7" t="s">
        <v>85</v>
      </c>
      <c r="G21" s="7">
        <f t="shared" si="0"/>
        <v>18</v>
      </c>
      <c r="H21">
        <v>36</v>
      </c>
      <c r="I21" s="8">
        <v>45838</v>
      </c>
      <c r="J21" s="9">
        <v>45838</v>
      </c>
      <c r="K21" s="12">
        <v>19511.21</v>
      </c>
      <c r="L21" t="s">
        <v>70</v>
      </c>
      <c r="M21">
        <v>3</v>
      </c>
      <c r="N21" t="s">
        <v>21</v>
      </c>
      <c r="O21" t="s">
        <v>22</v>
      </c>
      <c r="P21" t="s">
        <v>23</v>
      </c>
      <c r="Q21">
        <v>17</v>
      </c>
      <c r="R21">
        <v>2</v>
      </c>
      <c r="S21">
        <v>11020</v>
      </c>
    </row>
    <row r="22" spans="1:19" x14ac:dyDescent="0.35">
      <c r="A22" t="s">
        <v>47</v>
      </c>
      <c r="B22" s="5" t="s">
        <v>19</v>
      </c>
      <c r="C22" s="6">
        <v>40391</v>
      </c>
      <c r="D22" s="6" t="s">
        <v>48</v>
      </c>
      <c r="E22" s="7">
        <v>1297</v>
      </c>
      <c r="F22" s="7" t="s">
        <v>86</v>
      </c>
      <c r="G22" s="7">
        <f t="shared" si="0"/>
        <v>30</v>
      </c>
      <c r="H22">
        <v>45</v>
      </c>
      <c r="I22" s="8">
        <v>45566</v>
      </c>
      <c r="J22" s="9">
        <v>45566</v>
      </c>
      <c r="K22" s="12">
        <v>2518.16</v>
      </c>
      <c r="L22" t="s">
        <v>71</v>
      </c>
      <c r="M22">
        <v>3</v>
      </c>
      <c r="N22" t="s">
        <v>21</v>
      </c>
      <c r="O22" t="s">
        <v>22</v>
      </c>
      <c r="P22" t="s">
        <v>23</v>
      </c>
      <c r="Q22">
        <v>17</v>
      </c>
      <c r="R22">
        <v>2</v>
      </c>
      <c r="S22">
        <v>11293</v>
      </c>
    </row>
  </sheetData>
  <phoneticPr fontId="6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2026-02-26T09:34:51Z</dcterms:created>
  <dcterms:modified xsi:type="dcterms:W3CDTF">2026-02-27T07:39:07Z</dcterms:modified>
</cp:coreProperties>
</file>