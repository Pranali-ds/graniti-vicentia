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raniti Vicentia\India TB - JE\"/>
    </mc:Choice>
  </mc:AlternateContent>
  <xr:revisionPtr revIDLastSave="0" documentId="13_ncr:1_{1535AC42-DCCE-4926-B248-3B679F05517F}" xr6:coauthVersionLast="47" xr6:coauthVersionMax="47" xr10:uidLastSave="{00000000-0000-0000-0000-000000000000}"/>
  <bookViews>
    <workbookView xWindow="-110" yWindow="-110" windowWidth="19420" windowHeight="10300" activeTab="3" xr2:uid="{4E6189F8-D460-4080-B028-27AEEE788833}"/>
  </bookViews>
  <sheets>
    <sheet name="Sheet1" sheetId="1" r:id="rId1"/>
    <sheet name="CD-NEW " sheetId="2" r:id="rId2"/>
    <sheet name="Sheet3" sheetId="3" r:id="rId3"/>
    <sheet name="Negative deposits" sheetId="4" r:id="rId4"/>
  </sheets>
  <externalReferences>
    <externalReference r:id="rId5"/>
  </externalReferences>
  <definedNames>
    <definedName name="_xlnm._FilterDatabase" localSheetId="1" hidden="1">'CD-NEW '!$A$1:$O$372</definedName>
    <definedName name="_xlnm._FilterDatabase" localSheetId="0" hidden="1">Sheet1!$A$1:$O$771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4" l="1"/>
  <c r="I372" i="2"/>
  <c r="I371" i="2"/>
  <c r="I370" i="2"/>
  <c r="I369" i="2"/>
  <c r="I368" i="2"/>
  <c r="I367" i="2"/>
  <c r="I366" i="2"/>
  <c r="I365" i="2"/>
  <c r="I364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4" i="2"/>
  <c r="I333" i="2"/>
  <c r="I332" i="2"/>
  <c r="I331" i="2"/>
  <c r="I330" i="2"/>
  <c r="I329" i="2"/>
  <c r="I328" i="2"/>
  <c r="I327" i="2"/>
  <c r="I326" i="2"/>
  <c r="I325" i="2"/>
  <c r="I323" i="2"/>
  <c r="I322" i="2"/>
  <c r="I321" i="2"/>
  <c r="I320" i="2"/>
  <c r="I319" i="2"/>
  <c r="I318" i="2"/>
  <c r="I317" i="2"/>
  <c r="I316" i="2"/>
  <c r="I315" i="2"/>
  <c r="I314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77" i="2"/>
  <c r="I276" i="2"/>
  <c r="I275" i="2"/>
  <c r="I274" i="2"/>
  <c r="I273" i="2"/>
  <c r="I272" i="2"/>
  <c r="I271" i="2"/>
  <c r="I270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771" i="1"/>
  <c r="I769" i="1"/>
  <c r="I767" i="1"/>
  <c r="I765" i="1"/>
  <c r="I763" i="1"/>
  <c r="I761" i="1"/>
  <c r="I759" i="1"/>
  <c r="I757" i="1"/>
  <c r="I755" i="1"/>
  <c r="I741" i="1"/>
  <c r="I739" i="1"/>
  <c r="I737" i="1"/>
  <c r="I735" i="1"/>
  <c r="I733" i="1"/>
  <c r="I731" i="1"/>
  <c r="I729" i="1"/>
  <c r="I727" i="1"/>
  <c r="I725" i="1"/>
  <c r="I723" i="1"/>
  <c r="I721" i="1"/>
  <c r="I719" i="1"/>
  <c r="I717" i="1"/>
  <c r="I715" i="1"/>
  <c r="I713" i="1"/>
  <c r="I711" i="1"/>
  <c r="I709" i="1"/>
  <c r="I707" i="1"/>
  <c r="I705" i="1"/>
  <c r="I703" i="1"/>
  <c r="I701" i="1"/>
  <c r="I699" i="1"/>
  <c r="I695" i="1"/>
  <c r="I693" i="1"/>
  <c r="I691" i="1"/>
  <c r="I689" i="1"/>
  <c r="I687" i="1"/>
  <c r="I685" i="1"/>
  <c r="I683" i="1"/>
  <c r="I681" i="1"/>
  <c r="I679" i="1"/>
  <c r="I677" i="1"/>
  <c r="I673" i="1"/>
  <c r="I671" i="1"/>
  <c r="I669" i="1"/>
  <c r="I667" i="1"/>
  <c r="I665" i="1"/>
  <c r="I663" i="1"/>
  <c r="I661" i="1"/>
  <c r="I659" i="1"/>
  <c r="I657" i="1"/>
  <c r="I655" i="1"/>
  <c r="I649" i="1"/>
  <c r="I647" i="1"/>
  <c r="I645" i="1"/>
  <c r="I643" i="1"/>
  <c r="I641" i="1"/>
  <c r="I639" i="1"/>
  <c r="I637" i="1"/>
  <c r="I635" i="1"/>
  <c r="I633" i="1"/>
  <c r="I631" i="1"/>
  <c r="I629" i="1"/>
  <c r="I627" i="1"/>
  <c r="I625" i="1"/>
  <c r="I623" i="1"/>
  <c r="I621" i="1"/>
  <c r="I619" i="1"/>
  <c r="I617" i="1"/>
  <c r="I615" i="1"/>
  <c r="I613" i="1"/>
  <c r="I611" i="1"/>
  <c r="I609" i="1"/>
  <c r="I607" i="1"/>
  <c r="I605" i="1"/>
  <c r="I603" i="1"/>
  <c r="I601" i="1"/>
  <c r="I599" i="1"/>
  <c r="I597" i="1"/>
  <c r="I595" i="1"/>
  <c r="I593" i="1"/>
  <c r="I591" i="1"/>
  <c r="I589" i="1"/>
  <c r="I581" i="1"/>
  <c r="I579" i="1"/>
  <c r="I577" i="1"/>
  <c r="I575" i="1"/>
  <c r="I573" i="1"/>
  <c r="I571" i="1"/>
  <c r="I569" i="1"/>
  <c r="I567" i="1"/>
  <c r="I563" i="1"/>
  <c r="I561" i="1"/>
  <c r="I559" i="1"/>
  <c r="I557" i="1"/>
  <c r="I555" i="1"/>
  <c r="I553" i="1"/>
  <c r="I551" i="1"/>
  <c r="I549" i="1"/>
  <c r="I547" i="1"/>
  <c r="I545" i="1"/>
  <c r="I543" i="1"/>
  <c r="I541" i="1"/>
  <c r="I539" i="1"/>
  <c r="I537" i="1"/>
  <c r="I535" i="1"/>
  <c r="I533" i="1"/>
  <c r="I531" i="1"/>
  <c r="I529" i="1"/>
  <c r="I527" i="1"/>
  <c r="I525" i="1"/>
  <c r="I523" i="1"/>
  <c r="I521" i="1"/>
  <c r="I519" i="1"/>
  <c r="I517" i="1"/>
  <c r="I515" i="1"/>
  <c r="I513" i="1"/>
  <c r="I511" i="1"/>
  <c r="I509" i="1"/>
  <c r="I507" i="1"/>
  <c r="I505" i="1"/>
  <c r="I503" i="1"/>
  <c r="I501" i="1"/>
  <c r="I499" i="1"/>
  <c r="I497" i="1"/>
  <c r="I495" i="1"/>
  <c r="I493" i="1"/>
  <c r="I491" i="1"/>
  <c r="I489" i="1"/>
  <c r="I487" i="1"/>
  <c r="I485" i="1"/>
  <c r="I483" i="1"/>
  <c r="I481" i="1"/>
  <c r="I479" i="1"/>
  <c r="I477" i="1"/>
  <c r="I475" i="1"/>
  <c r="I473" i="1"/>
  <c r="I471" i="1"/>
  <c r="I469" i="1"/>
  <c r="I467" i="1"/>
  <c r="I465" i="1"/>
  <c r="I463" i="1"/>
  <c r="I461" i="1"/>
  <c r="I459" i="1"/>
  <c r="I457" i="1"/>
  <c r="I455" i="1"/>
  <c r="I453" i="1"/>
  <c r="I451" i="1"/>
  <c r="I449" i="1"/>
  <c r="I447" i="1"/>
  <c r="I445" i="1"/>
  <c r="I443" i="1"/>
  <c r="I441" i="1"/>
  <c r="I439" i="1"/>
  <c r="I437" i="1"/>
  <c r="I435" i="1"/>
  <c r="I433" i="1"/>
  <c r="I431" i="1"/>
  <c r="I429" i="1"/>
  <c r="I427" i="1"/>
  <c r="I425" i="1"/>
  <c r="I423" i="1"/>
  <c r="I421" i="1"/>
  <c r="I419" i="1"/>
  <c r="I417" i="1"/>
  <c r="I413" i="1"/>
  <c r="I411" i="1"/>
  <c r="I409" i="1"/>
  <c r="I407" i="1"/>
  <c r="I405" i="1"/>
  <c r="I403" i="1"/>
  <c r="I401" i="1"/>
  <c r="I399" i="1"/>
  <c r="I397" i="1"/>
  <c r="I395" i="1"/>
  <c r="I393" i="1"/>
  <c r="I391" i="1"/>
  <c r="I389" i="1"/>
  <c r="I387" i="1"/>
  <c r="I385" i="1"/>
  <c r="I383" i="1"/>
  <c r="I381" i="1"/>
  <c r="I379" i="1"/>
  <c r="I377" i="1"/>
  <c r="I375" i="1"/>
  <c r="I373" i="1"/>
  <c r="I371" i="1"/>
  <c r="I369" i="1"/>
  <c r="I367" i="1"/>
  <c r="I365" i="1"/>
  <c r="I363" i="1"/>
  <c r="I357" i="1"/>
  <c r="I355" i="1"/>
  <c r="I353" i="1"/>
  <c r="I351" i="1"/>
  <c r="I349" i="1"/>
  <c r="I347" i="1"/>
  <c r="I345" i="1"/>
  <c r="I343" i="1"/>
  <c r="I341" i="1"/>
  <c r="I339" i="1"/>
  <c r="I337" i="1"/>
  <c r="I335" i="1"/>
  <c r="I333" i="1"/>
  <c r="I331" i="1"/>
  <c r="I329" i="1"/>
  <c r="I327" i="1"/>
  <c r="I325" i="1"/>
  <c r="I323" i="1"/>
  <c r="I321" i="1"/>
  <c r="I319" i="1"/>
  <c r="I317" i="1"/>
  <c r="I315" i="1"/>
  <c r="I313" i="1"/>
  <c r="I311" i="1"/>
  <c r="I309" i="1"/>
  <c r="I307" i="1"/>
  <c r="I305" i="1"/>
  <c r="I303" i="1"/>
  <c r="I301" i="1"/>
  <c r="I299" i="1"/>
  <c r="I297" i="1"/>
  <c r="I295" i="1"/>
  <c r="I293" i="1"/>
  <c r="I291" i="1"/>
  <c r="I289" i="1"/>
  <c r="I287" i="1"/>
  <c r="I285" i="1"/>
  <c r="I283" i="1"/>
  <c r="I281" i="1"/>
  <c r="I279" i="1"/>
  <c r="I277" i="1"/>
  <c r="I275" i="1"/>
  <c r="I273" i="1"/>
  <c r="I271" i="1"/>
  <c r="I269" i="1"/>
  <c r="I267" i="1"/>
  <c r="I265" i="1"/>
  <c r="I263" i="1"/>
  <c r="I261" i="1"/>
  <c r="I259" i="1"/>
  <c r="I257" i="1"/>
  <c r="I255" i="1"/>
  <c r="I253" i="1"/>
  <c r="I251" i="1"/>
  <c r="I249" i="1"/>
  <c r="I247" i="1"/>
  <c r="I245" i="1"/>
  <c r="I243" i="1"/>
  <c r="I241" i="1"/>
  <c r="I239" i="1"/>
  <c r="I237" i="1"/>
  <c r="I235" i="1"/>
  <c r="I233" i="1"/>
  <c r="I231" i="1"/>
  <c r="I229" i="1"/>
  <c r="I227" i="1"/>
  <c r="I225" i="1"/>
  <c r="I223" i="1"/>
  <c r="I221" i="1"/>
  <c r="I219" i="1"/>
  <c r="I217" i="1"/>
  <c r="I215" i="1"/>
  <c r="I213" i="1"/>
  <c r="I211" i="1"/>
  <c r="I209" i="1"/>
  <c r="I207" i="1"/>
  <c r="I205" i="1"/>
  <c r="I203" i="1"/>
  <c r="I201" i="1"/>
  <c r="I199" i="1"/>
  <c r="I197" i="1"/>
  <c r="I195" i="1"/>
  <c r="I193" i="1"/>
  <c r="I191" i="1"/>
  <c r="I189" i="1"/>
  <c r="I187" i="1"/>
  <c r="I185" i="1"/>
  <c r="I183" i="1"/>
  <c r="I181" i="1"/>
  <c r="I177" i="1"/>
  <c r="I175" i="1"/>
  <c r="I173" i="1"/>
  <c r="I171" i="1"/>
  <c r="I169" i="1"/>
  <c r="I167" i="1"/>
  <c r="I165" i="1"/>
  <c r="I163" i="1"/>
  <c r="I161" i="1"/>
  <c r="I159" i="1"/>
  <c r="I157" i="1"/>
  <c r="I155" i="1"/>
  <c r="I153" i="1"/>
  <c r="I151" i="1"/>
  <c r="I149" i="1"/>
  <c r="I147" i="1"/>
  <c r="I145" i="1"/>
  <c r="I143" i="1"/>
  <c r="I141" i="1"/>
  <c r="I139" i="1"/>
  <c r="I137" i="1"/>
  <c r="I135" i="1"/>
  <c r="I133" i="1"/>
  <c r="I131" i="1"/>
  <c r="I129" i="1"/>
  <c r="I127" i="1"/>
  <c r="I125" i="1"/>
  <c r="I123" i="1"/>
  <c r="I121" i="1"/>
  <c r="I119" i="1"/>
  <c r="I117" i="1"/>
  <c r="I115" i="1"/>
  <c r="I113" i="1"/>
  <c r="I111" i="1"/>
  <c r="I109" i="1"/>
  <c r="I107" i="1"/>
  <c r="I105" i="1"/>
  <c r="I103" i="1"/>
  <c r="I101" i="1"/>
  <c r="I99" i="1"/>
  <c r="I97" i="1"/>
  <c r="I95" i="1"/>
  <c r="I93" i="1"/>
  <c r="I91" i="1"/>
  <c r="I89" i="1"/>
  <c r="I87" i="1"/>
  <c r="I85" i="1"/>
  <c r="I83" i="1"/>
  <c r="I81" i="1"/>
  <c r="I79" i="1"/>
  <c r="I77" i="1"/>
  <c r="I75" i="1"/>
  <c r="I73" i="1"/>
  <c r="I71" i="1"/>
  <c r="I69" i="1"/>
  <c r="I67" i="1"/>
  <c r="I65" i="1"/>
  <c r="I63" i="1"/>
  <c r="I61" i="1"/>
  <c r="I59" i="1"/>
  <c r="I57" i="1"/>
  <c r="I55" i="1"/>
  <c r="I53" i="1"/>
  <c r="I51" i="1"/>
  <c r="I49" i="1"/>
  <c r="I47" i="1"/>
  <c r="I45" i="1"/>
  <c r="I43" i="1"/>
  <c r="I41" i="1"/>
  <c r="I39" i="1"/>
  <c r="I37" i="1"/>
  <c r="I35" i="1"/>
  <c r="I33" i="1"/>
  <c r="I31" i="1"/>
  <c r="I29" i="1"/>
  <c r="I27" i="1"/>
  <c r="I25" i="1"/>
  <c r="I23" i="1"/>
  <c r="I21" i="1"/>
  <c r="I19" i="1"/>
  <c r="I17" i="1"/>
  <c r="I15" i="1"/>
  <c r="I13" i="1"/>
  <c r="I11" i="1"/>
  <c r="I9" i="1"/>
  <c r="I7" i="1"/>
  <c r="I5" i="1"/>
  <c r="I3" i="1"/>
  <c r="I770" i="1"/>
  <c r="I768" i="1"/>
  <c r="I766" i="1"/>
  <c r="I764" i="1"/>
  <c r="I762" i="1"/>
  <c r="I760" i="1"/>
  <c r="I758" i="1"/>
  <c r="I756" i="1"/>
  <c r="I754" i="1"/>
  <c r="I740" i="1"/>
  <c r="I738" i="1"/>
  <c r="I736" i="1"/>
  <c r="I734" i="1"/>
  <c r="I732" i="1"/>
  <c r="I730" i="1"/>
  <c r="I728" i="1"/>
  <c r="I726" i="1"/>
  <c r="I724" i="1"/>
  <c r="I722" i="1"/>
  <c r="I720" i="1"/>
  <c r="I718" i="1"/>
  <c r="I716" i="1"/>
  <c r="I714" i="1"/>
  <c r="I712" i="1"/>
  <c r="I710" i="1"/>
  <c r="I708" i="1"/>
  <c r="I706" i="1"/>
  <c r="I704" i="1"/>
  <c r="I702" i="1"/>
  <c r="I700" i="1"/>
  <c r="I698" i="1"/>
  <c r="I694" i="1"/>
  <c r="I692" i="1"/>
  <c r="I690" i="1"/>
  <c r="I688" i="1"/>
  <c r="I686" i="1"/>
  <c r="I684" i="1"/>
  <c r="I682" i="1"/>
  <c r="I680" i="1"/>
  <c r="I678" i="1"/>
  <c r="I676" i="1"/>
  <c r="I672" i="1"/>
  <c r="I670" i="1"/>
  <c r="I668" i="1"/>
  <c r="I666" i="1"/>
  <c r="I664" i="1"/>
  <c r="I662" i="1"/>
  <c r="I660" i="1"/>
  <c r="I658" i="1"/>
  <c r="I656" i="1"/>
  <c r="I654" i="1"/>
  <c r="I648" i="1"/>
  <c r="I646" i="1"/>
  <c r="I644" i="1"/>
  <c r="I642" i="1"/>
  <c r="I640" i="1"/>
  <c r="I638" i="1"/>
  <c r="I636" i="1"/>
  <c r="I634" i="1"/>
  <c r="I632" i="1"/>
  <c r="I630" i="1"/>
  <c r="I628" i="1"/>
  <c r="I626" i="1"/>
  <c r="I624" i="1"/>
  <c r="I622" i="1"/>
  <c r="I620" i="1"/>
  <c r="I618" i="1"/>
  <c r="I616" i="1"/>
  <c r="I614" i="1"/>
  <c r="I612" i="1"/>
  <c r="I610" i="1"/>
  <c r="I608" i="1"/>
  <c r="I606" i="1"/>
  <c r="I604" i="1"/>
  <c r="I602" i="1"/>
  <c r="I600" i="1"/>
  <c r="I598" i="1"/>
  <c r="I596" i="1"/>
  <c r="I594" i="1"/>
  <c r="I592" i="1"/>
  <c r="I590" i="1"/>
  <c r="I588" i="1"/>
  <c r="I580" i="1"/>
  <c r="I578" i="1"/>
  <c r="I576" i="1"/>
  <c r="I574" i="1"/>
  <c r="I572" i="1"/>
  <c r="I570" i="1"/>
  <c r="I568" i="1"/>
  <c r="I566" i="1"/>
  <c r="I562" i="1"/>
  <c r="I560" i="1"/>
  <c r="I558" i="1"/>
  <c r="I556" i="1"/>
  <c r="I554" i="1"/>
  <c r="I552" i="1"/>
  <c r="I550" i="1"/>
  <c r="I548" i="1"/>
  <c r="I546" i="1"/>
  <c r="I544" i="1"/>
  <c r="I542" i="1"/>
  <c r="I540" i="1"/>
  <c r="I538" i="1"/>
  <c r="I536" i="1"/>
  <c r="I534" i="1"/>
  <c r="I532" i="1"/>
  <c r="I530" i="1"/>
  <c r="I528" i="1"/>
  <c r="I526" i="1"/>
  <c r="I524" i="1"/>
  <c r="I522" i="1"/>
  <c r="I520" i="1"/>
  <c r="I518" i="1"/>
  <c r="I516" i="1"/>
  <c r="I514" i="1"/>
  <c r="I512" i="1"/>
  <c r="I510" i="1"/>
  <c r="I508" i="1"/>
  <c r="I506" i="1"/>
  <c r="I504" i="1"/>
  <c r="I502" i="1"/>
  <c r="I500" i="1"/>
  <c r="I498" i="1"/>
  <c r="I496" i="1"/>
  <c r="I494" i="1"/>
  <c r="I492" i="1"/>
  <c r="I490" i="1"/>
  <c r="I488" i="1"/>
  <c r="I486" i="1"/>
  <c r="I484" i="1"/>
  <c r="I482" i="1"/>
  <c r="I480" i="1"/>
  <c r="I478" i="1"/>
  <c r="I476" i="1"/>
  <c r="I474" i="1"/>
  <c r="I472" i="1"/>
  <c r="I470" i="1"/>
  <c r="I468" i="1"/>
  <c r="I466" i="1"/>
  <c r="I464" i="1"/>
  <c r="I462" i="1"/>
  <c r="I460" i="1"/>
  <c r="I458" i="1"/>
  <c r="I456" i="1"/>
  <c r="I454" i="1"/>
  <c r="I452" i="1"/>
  <c r="I450" i="1"/>
  <c r="I448" i="1"/>
  <c r="I446" i="1"/>
  <c r="I444" i="1"/>
  <c r="I442" i="1"/>
  <c r="I440" i="1"/>
  <c r="I438" i="1"/>
  <c r="I436" i="1"/>
  <c r="I434" i="1"/>
  <c r="I432" i="1"/>
  <c r="I430" i="1"/>
  <c r="I428" i="1"/>
  <c r="I426" i="1"/>
  <c r="I424" i="1"/>
  <c r="I422" i="1"/>
  <c r="I420" i="1"/>
  <c r="I418" i="1"/>
  <c r="I416" i="1"/>
  <c r="I412" i="1"/>
  <c r="I410" i="1"/>
  <c r="I408" i="1"/>
  <c r="I406" i="1"/>
  <c r="I404" i="1"/>
  <c r="I402" i="1"/>
  <c r="I400" i="1"/>
  <c r="I398" i="1"/>
  <c r="I396" i="1"/>
  <c r="I394" i="1"/>
  <c r="I392" i="1"/>
  <c r="I390" i="1"/>
  <c r="I388" i="1"/>
  <c r="I386" i="1"/>
  <c r="I384" i="1"/>
  <c r="I382" i="1"/>
  <c r="I380" i="1"/>
  <c r="I378" i="1"/>
  <c r="I376" i="1"/>
  <c r="I374" i="1"/>
  <c r="I372" i="1"/>
  <c r="I370" i="1"/>
  <c r="I368" i="1"/>
  <c r="I366" i="1"/>
  <c r="I364" i="1"/>
  <c r="I362" i="1"/>
  <c r="I356" i="1"/>
  <c r="I354" i="1"/>
  <c r="I352" i="1"/>
  <c r="I350" i="1"/>
  <c r="I348" i="1"/>
  <c r="I346" i="1"/>
  <c r="I344" i="1"/>
  <c r="I342" i="1"/>
  <c r="I340" i="1"/>
  <c r="I338" i="1"/>
  <c r="I336" i="1"/>
  <c r="I334" i="1"/>
  <c r="I332" i="1"/>
  <c r="I330" i="1"/>
  <c r="I328" i="1"/>
  <c r="I326" i="1"/>
  <c r="I324" i="1"/>
  <c r="I322" i="1"/>
  <c r="I320" i="1"/>
  <c r="I318" i="1"/>
  <c r="I316" i="1"/>
  <c r="I314" i="1"/>
  <c r="I312" i="1"/>
  <c r="I310" i="1"/>
  <c r="I308" i="1"/>
  <c r="I306" i="1"/>
  <c r="I304" i="1"/>
  <c r="I302" i="1"/>
  <c r="I300" i="1"/>
  <c r="I298" i="1"/>
  <c r="I296" i="1"/>
  <c r="I294" i="1"/>
  <c r="I292" i="1"/>
  <c r="I290" i="1"/>
  <c r="I288" i="1"/>
  <c r="I286" i="1"/>
  <c r="I284" i="1"/>
  <c r="I282" i="1"/>
  <c r="I280" i="1"/>
  <c r="I278" i="1"/>
  <c r="I276" i="1"/>
  <c r="I274" i="1"/>
  <c r="I272" i="1"/>
  <c r="I270" i="1"/>
  <c r="I268" i="1"/>
  <c r="I266" i="1"/>
  <c r="I264" i="1"/>
  <c r="I262" i="1"/>
  <c r="I260" i="1"/>
  <c r="I258" i="1"/>
  <c r="I256" i="1"/>
  <c r="I254" i="1"/>
  <c r="I252" i="1"/>
  <c r="I250" i="1"/>
  <c r="I248" i="1"/>
  <c r="I246" i="1"/>
  <c r="I244" i="1"/>
  <c r="I242" i="1"/>
  <c r="I240" i="1"/>
  <c r="I238" i="1"/>
  <c r="I236" i="1"/>
  <c r="I234" i="1"/>
  <c r="I232" i="1"/>
  <c r="I230" i="1"/>
  <c r="I228" i="1"/>
  <c r="I226" i="1"/>
  <c r="I224" i="1"/>
  <c r="I222" i="1"/>
  <c r="I220" i="1"/>
  <c r="I218" i="1"/>
  <c r="I216" i="1"/>
  <c r="I214" i="1"/>
  <c r="I212" i="1"/>
  <c r="I210" i="1"/>
  <c r="I208" i="1"/>
  <c r="I206" i="1"/>
  <c r="I204" i="1"/>
  <c r="I202" i="1"/>
  <c r="I200" i="1"/>
  <c r="I198" i="1"/>
  <c r="I196" i="1"/>
  <c r="I194" i="1"/>
  <c r="I192" i="1"/>
  <c r="I190" i="1"/>
  <c r="I188" i="1"/>
  <c r="I186" i="1"/>
  <c r="I184" i="1"/>
  <c r="I182" i="1"/>
  <c r="I180" i="1"/>
  <c r="I176" i="1"/>
  <c r="I174" i="1"/>
  <c r="I172" i="1"/>
  <c r="I170" i="1"/>
  <c r="I168" i="1"/>
  <c r="I166" i="1"/>
  <c r="I164" i="1"/>
  <c r="I162" i="1"/>
  <c r="I160" i="1"/>
  <c r="I158" i="1"/>
  <c r="I156" i="1"/>
  <c r="I154" i="1"/>
  <c r="I152" i="1"/>
  <c r="I150" i="1"/>
  <c r="I148" i="1"/>
  <c r="I146" i="1"/>
  <c r="I144" i="1"/>
  <c r="I142" i="1"/>
  <c r="I140" i="1"/>
  <c r="I138" i="1"/>
  <c r="I136" i="1"/>
  <c r="I134" i="1"/>
  <c r="I132" i="1"/>
  <c r="I130" i="1"/>
  <c r="I128" i="1"/>
  <c r="I126" i="1"/>
  <c r="I124" i="1"/>
  <c r="I122" i="1"/>
  <c r="I120" i="1"/>
  <c r="I118" i="1"/>
  <c r="I116" i="1"/>
  <c r="I114" i="1"/>
  <c r="I112" i="1"/>
  <c r="I110" i="1"/>
  <c r="I108" i="1"/>
  <c r="I106" i="1"/>
  <c r="I104" i="1"/>
  <c r="I102" i="1"/>
  <c r="I100" i="1"/>
  <c r="I98" i="1"/>
  <c r="I96" i="1"/>
  <c r="I94" i="1"/>
  <c r="I92" i="1"/>
  <c r="I90" i="1"/>
  <c r="I88" i="1"/>
  <c r="I86" i="1"/>
  <c r="I84" i="1"/>
  <c r="I82" i="1"/>
  <c r="I80" i="1"/>
  <c r="I78" i="1"/>
  <c r="I76" i="1"/>
  <c r="I74" i="1"/>
  <c r="I72" i="1"/>
  <c r="I70" i="1"/>
  <c r="I68" i="1"/>
  <c r="I66" i="1"/>
  <c r="I64" i="1"/>
  <c r="I62" i="1"/>
  <c r="I60" i="1"/>
  <c r="I58" i="1"/>
  <c r="I56" i="1"/>
  <c r="I54" i="1"/>
  <c r="I52" i="1"/>
  <c r="I50" i="1"/>
  <c r="I48" i="1"/>
  <c r="I46" i="1"/>
  <c r="I44" i="1"/>
  <c r="I42" i="1"/>
  <c r="I40" i="1"/>
  <c r="I38" i="1"/>
  <c r="I36" i="1"/>
  <c r="I34" i="1"/>
  <c r="I32" i="1"/>
  <c r="I30" i="1"/>
  <c r="I28" i="1"/>
  <c r="I26" i="1"/>
  <c r="I24" i="1"/>
  <c r="I22" i="1"/>
  <c r="I20" i="1"/>
  <c r="I18" i="1"/>
  <c r="I16" i="1"/>
  <c r="I14" i="1"/>
  <c r="I12" i="1"/>
  <c r="I10" i="1"/>
  <c r="I8" i="1"/>
  <c r="I6" i="1"/>
  <c r="I4" i="1"/>
  <c r="I2" i="1"/>
</calcChain>
</file>

<file path=xl/sharedStrings.xml><?xml version="1.0" encoding="utf-8"?>
<sst xmlns="http://schemas.openxmlformats.org/spreadsheetml/2006/main" count="5760" uniqueCount="957">
  <si>
    <t>External ID</t>
  </si>
  <si>
    <t>Sl no</t>
  </si>
  <si>
    <t>Debit Acc</t>
  </si>
  <si>
    <t>DEBIT ACC ID/BANK ACC ID</t>
  </si>
  <si>
    <t>Credit Account</t>
  </si>
  <si>
    <t>CREDIT ACC ID</t>
  </si>
  <si>
    <t>Days</t>
  </si>
  <si>
    <t>Customer</t>
  </si>
  <si>
    <t>Entity Internal ID</t>
  </si>
  <si>
    <t>Date</t>
  </si>
  <si>
    <t>Advance Ref#</t>
  </si>
  <si>
    <t>Credit</t>
  </si>
  <si>
    <t>Deposit Amount</t>
  </si>
  <si>
    <t>Memo</t>
  </si>
  <si>
    <t>Description</t>
  </si>
  <si>
    <t>CUST_DEPOSIT-1001</t>
  </si>
  <si>
    <t>A21001</t>
  </si>
  <si>
    <t>A-1 Clackamas LLC</t>
  </si>
  <si>
    <t>SO# 38902</t>
  </si>
  <si>
    <t>Customer Deposits</t>
  </si>
  <si>
    <t>A10003</t>
  </si>
  <si>
    <t>CUST_DEPOSIT-1002</t>
  </si>
  <si>
    <t>SO# 37670</t>
  </si>
  <si>
    <t>CUST_DEPOSIT-1003</t>
  </si>
  <si>
    <t>AAA Hospitality - Embassy Suites Las Colinas TX</t>
  </si>
  <si>
    <t>SO#36933</t>
  </si>
  <si>
    <t>CUST_DEPOSIT-1004</t>
  </si>
  <si>
    <t>AAA Hotel Company</t>
  </si>
  <si>
    <t>SO# 39062</t>
  </si>
  <si>
    <t>CUST_DEPOSIT-1005</t>
  </si>
  <si>
    <t>AAA Hotel Company/ Home2Suties Springdale OH</t>
  </si>
  <si>
    <t>SO# 38965</t>
  </si>
  <si>
    <t>CUST_DEPOSIT-1006</t>
  </si>
  <si>
    <t>AAA Hotel Management, LLC</t>
  </si>
  <si>
    <t>SO#38787</t>
  </si>
  <si>
    <t>CUST_DEPOSIT-1007</t>
  </si>
  <si>
    <t>AFP 108 Corp.</t>
  </si>
  <si>
    <t>SO# 37369</t>
  </si>
  <si>
    <t>CUST_DEPOSIT-1008</t>
  </si>
  <si>
    <t>SO# 37255</t>
  </si>
  <si>
    <t>CUST_DEPOSIT-1009</t>
  </si>
  <si>
    <t>CUST_DEPOSIT-10010</t>
  </si>
  <si>
    <t>Airsan Investments, LLC</t>
  </si>
  <si>
    <t>SO# 39005</t>
  </si>
  <si>
    <t>CUST_DEPOSIT-10011</t>
  </si>
  <si>
    <t>AJA Investments LLC/ Wyndham Lake Charles</t>
  </si>
  <si>
    <t>SO# 37989</t>
  </si>
  <si>
    <t>CUST_DEPOSIT-10012</t>
  </si>
  <si>
    <t>ALPHA REMODELING</t>
  </si>
  <si>
    <t>SO# 38873</t>
  </si>
  <si>
    <t>CUST_DEPOSIT-10013</t>
  </si>
  <si>
    <t>SO# 38818</t>
  </si>
  <si>
    <t>CUST_DEPOSIT-10014</t>
  </si>
  <si>
    <t>AMANDA WHATLEY DESIGNS</t>
  </si>
  <si>
    <t>SO# 38276</t>
  </si>
  <si>
    <t>CUST_DEPOSIT-10015</t>
  </si>
  <si>
    <t>American Pride Hotel LLC</t>
  </si>
  <si>
    <t>SO# 37671</t>
  </si>
  <si>
    <t>CUST_DEPOSIT-10016</t>
  </si>
  <si>
    <t>American Stone Co of Texas LP</t>
  </si>
  <si>
    <t>SO# 38824</t>
  </si>
  <si>
    <t>CUST_DEPOSIT-10017</t>
  </si>
  <si>
    <t>Andrea Wexler</t>
  </si>
  <si>
    <t>SO# 38697</t>
  </si>
  <si>
    <t>CUST_DEPOSIT-10018</t>
  </si>
  <si>
    <t>Anish Patel</t>
  </si>
  <si>
    <t>SO# 38942</t>
  </si>
  <si>
    <t>CUST_DEPOSIT-10019</t>
  </si>
  <si>
    <t>Apex Imaging Services</t>
  </si>
  <si>
    <t>SO# 38916</t>
  </si>
  <si>
    <t>CUST_DEPOSIT-10020</t>
  </si>
  <si>
    <t>Apple Investments LLC</t>
  </si>
  <si>
    <t>SO# 38985</t>
  </si>
  <si>
    <t>CUST_DEPOSIT-10021</t>
  </si>
  <si>
    <t>AQUATERRA OUTDOORS</t>
  </si>
  <si>
    <t>SO# 38874</t>
  </si>
  <si>
    <t>CUST_DEPOSIT-10022</t>
  </si>
  <si>
    <t>SO# 38701</t>
  </si>
  <si>
    <t>CUST_DEPOSIT-10023</t>
  </si>
  <si>
    <t>Architectural Surfaces Inc.</t>
  </si>
  <si>
    <t>SO# 38826</t>
  </si>
  <si>
    <t>CUST_DEPOSIT-10024</t>
  </si>
  <si>
    <t>Ascent Hospitality Courtyard - Meridian, MS</t>
  </si>
  <si>
    <t>SO# 38710</t>
  </si>
  <si>
    <t>CUST_DEPOSIT-10025</t>
  </si>
  <si>
    <t>Ascent Hospitality Element Carmel Indiana</t>
  </si>
  <si>
    <t>SO# 35819</t>
  </si>
  <si>
    <t>CUST_DEPOSIT-10026</t>
  </si>
  <si>
    <t>CUST_DEPOSIT-10027</t>
  </si>
  <si>
    <t>Ascent Hospitality Management Co</t>
  </si>
  <si>
    <t>SO# 39011</t>
  </si>
  <si>
    <t>CUST_DEPOSIT-10028</t>
  </si>
  <si>
    <t>SO# 38878</t>
  </si>
  <si>
    <t>CUST_DEPOSIT-10029</t>
  </si>
  <si>
    <t>SO# 38879</t>
  </si>
  <si>
    <t>CUST_DEPOSIT-10030</t>
  </si>
  <si>
    <t>SO# 38961</t>
  </si>
  <si>
    <t>CUST_DEPOSIT-10031</t>
  </si>
  <si>
    <t>Ascent hospitality Townplace Suites Fairburn IN</t>
  </si>
  <si>
    <t>SO# 36276</t>
  </si>
  <si>
    <t>CUST_DEPOSIT-10032</t>
  </si>
  <si>
    <t>Ascent Hospitality Tribute Carmel Indiana</t>
  </si>
  <si>
    <t>SO#36663/2</t>
  </si>
  <si>
    <t>CUST_DEPOSIT-10033</t>
  </si>
  <si>
    <t>Ascent Hospitality- Autograph Huntsville</t>
  </si>
  <si>
    <t>CUST_DEPOSIT-10034</t>
  </si>
  <si>
    <t>SO# 36475</t>
  </si>
  <si>
    <t>CUST_DEPOSIT-10035</t>
  </si>
  <si>
    <t>SO#38356</t>
  </si>
  <si>
    <t>CUST_DEPOSIT-10036</t>
  </si>
  <si>
    <t>SO# 38356</t>
  </si>
  <si>
    <t>CUST_DEPOSIT-10037</t>
  </si>
  <si>
    <t>Ascent Residence inn Montgomery</t>
  </si>
  <si>
    <t>SO# 37674</t>
  </si>
  <si>
    <t>CUST_DEPOSIT-10038</t>
  </si>
  <si>
    <t>ASHWIN PATEL</t>
  </si>
  <si>
    <t>SO# 38799</t>
  </si>
  <si>
    <t>CUST_DEPOSIT-10039</t>
  </si>
  <si>
    <t>Atmosphere Commercial Interiors</t>
  </si>
  <si>
    <t>SO# 39010</t>
  </si>
  <si>
    <t>CUST_DEPOSIT-10040</t>
  </si>
  <si>
    <t>Auburn Hospitality Group</t>
  </si>
  <si>
    <t>SO# 38245</t>
  </si>
  <si>
    <t>CUST_DEPOSIT-10041</t>
  </si>
  <si>
    <t>CUST_DEPOSIT-10042</t>
  </si>
  <si>
    <t>Auburn Lodging LLC</t>
  </si>
  <si>
    <t>SO# 38842</t>
  </si>
  <si>
    <t>CUST_DEPOSIT-10043</t>
  </si>
  <si>
    <t>SO# 38845</t>
  </si>
  <si>
    <t>CUST_DEPOSIT-10044</t>
  </si>
  <si>
    <t>AUTOGRAPH MAYA-PS</t>
  </si>
  <si>
    <t>SO# 36943</t>
  </si>
  <si>
    <t>CUST_DEPOSIT-10045</t>
  </si>
  <si>
    <t>CUST_DEPOSIT-10046</t>
  </si>
  <si>
    <t>SO# 36920</t>
  </si>
  <si>
    <t>CUST_DEPOSIT-10047</t>
  </si>
  <si>
    <t>Bauart Construction</t>
  </si>
  <si>
    <t>SO# 38792</t>
  </si>
  <si>
    <t>CUST_DEPOSIT-10048</t>
  </si>
  <si>
    <t>BMK Construction LLC</t>
  </si>
  <si>
    <t>SO# 38995</t>
  </si>
  <si>
    <t>CUST_DEPOSIT-10049</t>
  </si>
  <si>
    <t>SO# 38247</t>
  </si>
  <si>
    <t>CUST_DEPOSIT-10050</t>
  </si>
  <si>
    <t>CUST_DEPOSIT-10051</t>
  </si>
  <si>
    <t>CUST_DEPOSIT-10052</t>
  </si>
  <si>
    <t>Bridgerland Group</t>
  </si>
  <si>
    <t>SO# 35028</t>
  </si>
  <si>
    <t>CUST_DEPOSIT-10053</t>
  </si>
  <si>
    <t>SO# 38849</t>
  </si>
  <si>
    <t>CUST_DEPOSIT-10054</t>
  </si>
  <si>
    <t>Brighter Vision Group, LP</t>
  </si>
  <si>
    <t>SO# 37443</t>
  </si>
  <si>
    <t>CUST_DEPOSIT-10055</t>
  </si>
  <si>
    <t>Business Flooring Specialists</t>
  </si>
  <si>
    <t>SO# 38860</t>
  </si>
  <si>
    <t>CUST_DEPOSIT-10056</t>
  </si>
  <si>
    <t>CAMARATA MASONRY SYSTEMS</t>
  </si>
  <si>
    <t>SO# 38851</t>
  </si>
  <si>
    <t>CUST_DEPOSIT-10057</t>
  </si>
  <si>
    <t>SO# 37665</t>
  </si>
  <si>
    <t>CUST_DEPOSIT-10058</t>
  </si>
  <si>
    <t>SO# 38850</t>
  </si>
  <si>
    <t>CUST_DEPOSIT-10059</t>
  </si>
  <si>
    <t>CANDLEWOOD - PERRYSBERG</t>
  </si>
  <si>
    <t>SO# 36162</t>
  </si>
  <si>
    <t>CUST_DEPOSIT-10060</t>
  </si>
  <si>
    <t>CANDLEWOOD EASTRIDGE TN</t>
  </si>
  <si>
    <t>SO# 34596</t>
  </si>
  <si>
    <t>CUST_DEPOSIT-10061</t>
  </si>
  <si>
    <t>CUST_DEPOSIT-10062</t>
  </si>
  <si>
    <t>Candlewood Suites -Columbus,Oh-Kautilya group</t>
  </si>
  <si>
    <t>SO# 37172</t>
  </si>
  <si>
    <t>CUST_DEPOSIT-10063</t>
  </si>
  <si>
    <t>Capital Commercial Flooring, Inc.</t>
  </si>
  <si>
    <t>SO# 38148</t>
  </si>
  <si>
    <t>CUST_DEPOSIT-10064</t>
  </si>
  <si>
    <t>Chesterfield Hospitality, Inc.</t>
  </si>
  <si>
    <t>SO# 37810</t>
  </si>
  <si>
    <t>CUST_DEPOSIT-10065</t>
  </si>
  <si>
    <t>CUST_DEPOSIT-10066</t>
  </si>
  <si>
    <t>Classic American Homes &amp; Renovations</t>
  </si>
  <si>
    <t>SO# 38633</t>
  </si>
  <si>
    <t>CUST_DEPOSIT-10067</t>
  </si>
  <si>
    <t>Comfort Inn, Rebrand, Princeton IL</t>
  </si>
  <si>
    <t>SO# 36866</t>
  </si>
  <si>
    <t>CUST_DEPOSIT-10068</t>
  </si>
  <si>
    <t>SO# 37108</t>
  </si>
  <si>
    <t>CUST_DEPOSIT-10069</t>
  </si>
  <si>
    <t>Comfort suites NC330</t>
  </si>
  <si>
    <t>SO# 38661</t>
  </si>
  <si>
    <t>CUST_DEPOSIT-10070</t>
  </si>
  <si>
    <t>CONTEMPO builders</t>
  </si>
  <si>
    <t>SO# 38963</t>
  </si>
  <si>
    <t>CUST_DEPOSIT-10071</t>
  </si>
  <si>
    <t>SO# 38867</t>
  </si>
  <si>
    <t>CUST_DEPOSIT-10072</t>
  </si>
  <si>
    <t>Contractors Tiles Plus</t>
  </si>
  <si>
    <t>SO# 38846</t>
  </si>
  <si>
    <t>CUST_DEPOSIT-10073</t>
  </si>
  <si>
    <t>CPNA Management &amp; Services Inc.</t>
  </si>
  <si>
    <t>SO# 36417</t>
  </si>
  <si>
    <t>CUST_DEPOSIT-10074</t>
  </si>
  <si>
    <t>SO# 36432</t>
  </si>
  <si>
    <t>CUST_DEPOSIT-10075</t>
  </si>
  <si>
    <t>Daren R Snider Construction</t>
  </si>
  <si>
    <t>SO# 36075</t>
  </si>
  <si>
    <t>CUST_DEPOSIT-10076</t>
  </si>
  <si>
    <t>Darien Heights Residences</t>
  </si>
  <si>
    <t>SO# 33529</t>
  </si>
  <si>
    <t>CUST_DEPOSIT-10077</t>
  </si>
  <si>
    <t>Davaco - Chilies Restroom remodel Woodlands. TX</t>
  </si>
  <si>
    <t>SO# 38904</t>
  </si>
  <si>
    <t>SO28/CD14</t>
  </si>
  <si>
    <t>CUST_DEPOSIT-10078</t>
  </si>
  <si>
    <t>Days Inn in Georgetown</t>
  </si>
  <si>
    <t>SO# 38854</t>
  </si>
  <si>
    <t>CUST_DEPOSIT-10079</t>
  </si>
  <si>
    <t>CUST_DEPOSIT-10080</t>
  </si>
  <si>
    <t>Deven Bhakta - Port Aransas Home</t>
  </si>
  <si>
    <t>SO# 38603</t>
  </si>
  <si>
    <t>CUST_DEPOSIT-10081</t>
  </si>
  <si>
    <t>DFW Joseph Investments LLC</t>
  </si>
  <si>
    <t>SO# 36476</t>
  </si>
  <si>
    <t>CUST_DEPOSIT-10082</t>
  </si>
  <si>
    <t>Didier Nader</t>
  </si>
  <si>
    <t>SO# 38674</t>
  </si>
  <si>
    <t>CUST_DEPOSIT-10083</t>
  </si>
  <si>
    <t>Double Tree</t>
  </si>
  <si>
    <t>SO# 38807</t>
  </si>
  <si>
    <t>CUST_DEPOSIT-10084</t>
  </si>
  <si>
    <t>E&amp;S Flooring LLC</t>
  </si>
  <si>
    <t>SO# 38817</t>
  </si>
  <si>
    <t>CUST_DEPOSIT-10085</t>
  </si>
  <si>
    <t>ELEMENT FORTSMITH, ARKANSAS</t>
  </si>
  <si>
    <t>SO# 36711</t>
  </si>
  <si>
    <t>CUST_DEPOSIT-10086</t>
  </si>
  <si>
    <t>CUST_DEPOSIT-10087</t>
  </si>
  <si>
    <t>CUST_DEPOSIT-10088</t>
  </si>
  <si>
    <t>Fairfield Inn - Indianapolis</t>
  </si>
  <si>
    <t>SO# 37487</t>
  </si>
  <si>
    <t>CUST_DEPOSIT-10089</t>
  </si>
  <si>
    <t>Fairfield Inn and Suites - Oklahoma City - Andy Patel</t>
  </si>
  <si>
    <t>SO# 39069</t>
  </si>
  <si>
    <t>CUST_DEPOSIT-10090</t>
  </si>
  <si>
    <t>Fairfield Inn Gadsden AL</t>
  </si>
  <si>
    <t>SO# 38283</t>
  </si>
  <si>
    <t>CUST_DEPOSIT-10091</t>
  </si>
  <si>
    <t>Fairfield Townplace East Hartford</t>
  </si>
  <si>
    <t>CUST_DEPOSIT-10092</t>
  </si>
  <si>
    <t>SO# 35793</t>
  </si>
  <si>
    <t>CUST_DEPOSIT-10093</t>
  </si>
  <si>
    <t>SO# 38993</t>
  </si>
  <si>
    <t>CUST_DEPOSIT-10094</t>
  </si>
  <si>
    <t>CUST_DEPOSIT-10095</t>
  </si>
  <si>
    <t>Fat Tuesday</t>
  </si>
  <si>
    <t>SO# 37442</t>
  </si>
  <si>
    <t>CUST_DEPOSIT-10096</t>
  </si>
  <si>
    <t>First Capital Advisors</t>
  </si>
  <si>
    <t>SO# 38881</t>
  </si>
  <si>
    <t>CUST_DEPOSIT-10097</t>
  </si>
  <si>
    <t>SO# 38893</t>
  </si>
  <si>
    <t>CUST_DEPOSIT-10098</t>
  </si>
  <si>
    <t>Five Star Imperial Group Hospitality LLC</t>
  </si>
  <si>
    <t>SO# 38903</t>
  </si>
  <si>
    <t>CUST_DEPOSIT-10099</t>
  </si>
  <si>
    <t>FLOOR INSPIRATIONS</t>
  </si>
  <si>
    <t>SO# 38891</t>
  </si>
  <si>
    <t>CUST_DEPOSIT-100100</t>
  </si>
  <si>
    <t>Floor Source</t>
  </si>
  <si>
    <t>SO# 38791</t>
  </si>
  <si>
    <t>CUST_DEPOSIT-100101</t>
  </si>
  <si>
    <t>SO# 38953</t>
  </si>
  <si>
    <t>CUST_DEPOSIT-100102</t>
  </si>
  <si>
    <t>SO# 38981</t>
  </si>
  <si>
    <t>CUST_DEPOSIT-100103</t>
  </si>
  <si>
    <t>FLOORSCAPES</t>
  </si>
  <si>
    <t>SO# 38909</t>
  </si>
  <si>
    <t>CUST_DEPOSIT-100104</t>
  </si>
  <si>
    <t>Gaurang Gary Patel</t>
  </si>
  <si>
    <t>SO# 38527</t>
  </si>
  <si>
    <t>CUST_DEPOSIT-100105</t>
  </si>
  <si>
    <t>Gene Cathey</t>
  </si>
  <si>
    <t>SO# 38011</t>
  </si>
  <si>
    <t>CUST_DEPOSIT-100106</t>
  </si>
  <si>
    <t>Goodall Distributors</t>
  </si>
  <si>
    <t>SO# 37354</t>
  </si>
  <si>
    <t>CUST_DEPOSIT-100107</t>
  </si>
  <si>
    <t>Grand Sierra Resort &amp; Casino</t>
  </si>
  <si>
    <t>CUST_DEPOSIT-100108</t>
  </si>
  <si>
    <t>SO#32175</t>
  </si>
  <si>
    <t>CUST_DEPOSIT-100109</t>
  </si>
  <si>
    <t>SO# 38892</t>
  </si>
  <si>
    <t>CUST_DEPOSIT-100110</t>
  </si>
  <si>
    <t>SO# 32178</t>
  </si>
  <si>
    <t>CUST_DEPOSIT-100111</t>
  </si>
  <si>
    <t>CUST_DEPOSIT-100112</t>
  </si>
  <si>
    <t>SO# 38606</t>
  </si>
  <si>
    <t>CUST_DEPOSIT-100113</t>
  </si>
  <si>
    <t>SO# 32179</t>
  </si>
  <si>
    <t>CUST_DEPOSIT-100114</t>
  </si>
  <si>
    <t>GROSE &amp; MANZ BUILDERS LLC</t>
  </si>
  <si>
    <t>SO# 38607</t>
  </si>
  <si>
    <t>CUST_DEPOSIT-100115</t>
  </si>
  <si>
    <t>SO# 38317</t>
  </si>
  <si>
    <t>CUST_DEPOSIT-100116</t>
  </si>
  <si>
    <t>Gulf Coast Hotel Group,LLC DBA Doubletree by Hilton</t>
  </si>
  <si>
    <t>SO# 38915</t>
  </si>
  <si>
    <t>CUST_DEPOSIT-100117</t>
  </si>
  <si>
    <t>H-M Tile, Marble and Hardwood Floor</t>
  </si>
  <si>
    <t>SO# 38684</t>
  </si>
  <si>
    <t>CUST_DEPOSIT-100118</t>
  </si>
  <si>
    <t>Hampton 801 Walnut</t>
  </si>
  <si>
    <t>SO#39102</t>
  </si>
  <si>
    <t>CUST_DEPOSIT-100119</t>
  </si>
  <si>
    <t>Hampton Downtown Montgomery</t>
  </si>
  <si>
    <t>SO# 35516</t>
  </si>
  <si>
    <t>CUST_DEPOSIT-100120</t>
  </si>
  <si>
    <t>CUST_DEPOSIT-100121</t>
  </si>
  <si>
    <t>CUST_DEPOSIT-100122</t>
  </si>
  <si>
    <t>Hampton Inn &amp; Suite - NM</t>
  </si>
  <si>
    <t>SO# 38815</t>
  </si>
  <si>
    <t>CUST_DEPOSIT-100123</t>
  </si>
  <si>
    <t>Hampton Inn Corpus Christi</t>
  </si>
  <si>
    <t>SO# 38726</t>
  </si>
  <si>
    <t>CD13/ SO21</t>
  </si>
  <si>
    <t>CUST_DEPOSIT-100124</t>
  </si>
  <si>
    <t>Hampton Inn Nashville</t>
  </si>
  <si>
    <t>SO# 37736</t>
  </si>
  <si>
    <t>CUST_DEPOSIT-100125</t>
  </si>
  <si>
    <t>HAMPTON INN PEARLAND</t>
  </si>
  <si>
    <t>SO# 34551</t>
  </si>
  <si>
    <t>CUST_DEPOSIT-100126</t>
  </si>
  <si>
    <t>SO# 34547</t>
  </si>
  <si>
    <t>CUST_DEPOSIT-100127</t>
  </si>
  <si>
    <t>SO# 34553</t>
  </si>
  <si>
    <t>CUST_DEPOSIT-100128</t>
  </si>
  <si>
    <t>Hampton Inn Rosenberg</t>
  </si>
  <si>
    <t>SO# 34035</t>
  </si>
  <si>
    <t>CUST_DEPOSIT-100129</t>
  </si>
  <si>
    <t>SO# 35076</t>
  </si>
  <si>
    <t>CUST_DEPOSIT-100130</t>
  </si>
  <si>
    <t>SO# 35081</t>
  </si>
  <si>
    <t>CUST_DEPOSIT-100131</t>
  </si>
  <si>
    <t>Hawthorne Suites- Alpine WY</t>
  </si>
  <si>
    <t>SO# 37340</t>
  </si>
  <si>
    <t>CUST_DEPOSIT-100132</t>
  </si>
  <si>
    <t>SO# 37843</t>
  </si>
  <si>
    <t>CUST_DEPOSIT-100133</t>
  </si>
  <si>
    <t>HB Ca</t>
  </si>
  <si>
    <t>SO# 37966</t>
  </si>
  <si>
    <t>CUST_DEPOSIT-100134</t>
  </si>
  <si>
    <t>Hestan Winery</t>
  </si>
  <si>
    <t>SO# 38473</t>
  </si>
  <si>
    <t>CUST_DEPOSIT-100135</t>
  </si>
  <si>
    <t>SO#38473</t>
  </si>
  <si>
    <t>CUST_DEPOSIT-100136</t>
  </si>
  <si>
    <t>HFD HAWTHORN/LA QUINTA, MEBANE, NC</t>
  </si>
  <si>
    <t>SO# 38636</t>
  </si>
  <si>
    <t>CUST_DEPOSIT-100137</t>
  </si>
  <si>
    <t>Highland Stores LLC</t>
  </si>
  <si>
    <t>SO# 38960</t>
  </si>
  <si>
    <t>CUST_DEPOSIT-100138</t>
  </si>
  <si>
    <t>SO# 38958</t>
  </si>
  <si>
    <t>CUST_DEPOSIT-100139</t>
  </si>
  <si>
    <t>Holiday Inn Express - Zion, IL</t>
  </si>
  <si>
    <t>SO# 38880</t>
  </si>
  <si>
    <t>CUST_DEPOSIT-100140</t>
  </si>
  <si>
    <t>Holiday Inn Express and Suites</t>
  </si>
  <si>
    <t>SO# 38721</t>
  </si>
  <si>
    <t>CUST_DEPOSIT-100141</t>
  </si>
  <si>
    <t>Home 2 Suite by Hilton</t>
  </si>
  <si>
    <t>SO# 38913</t>
  </si>
  <si>
    <t>CUST_DEPOSIT-100142</t>
  </si>
  <si>
    <t>HOME2 SOMERSET</t>
  </si>
  <si>
    <t>SO# 38246</t>
  </si>
  <si>
    <t>CUST_DEPOSIT-100143</t>
  </si>
  <si>
    <t>CUST_DEPOSIT-100144</t>
  </si>
  <si>
    <t>Hometown Inn &amp; Suites, Memphis TN</t>
  </si>
  <si>
    <t>SO# 36296</t>
  </si>
  <si>
    <t>CUST_DEPOSIT-100145</t>
  </si>
  <si>
    <t>Homewood Suites Beaumont</t>
  </si>
  <si>
    <t>SO# 34976</t>
  </si>
  <si>
    <t>CUST_DEPOSIT-100146</t>
  </si>
  <si>
    <t>SO# 37327</t>
  </si>
  <si>
    <t>CUST_DEPOSIT-100147</t>
  </si>
  <si>
    <t>CUST_DEPOSIT-100148</t>
  </si>
  <si>
    <t>SO# 38987</t>
  </si>
  <si>
    <t>CUST_DEPOSIT-100149</t>
  </si>
  <si>
    <t>Homewood Suites Corpus Christi</t>
  </si>
  <si>
    <t>SO# 39004</t>
  </si>
  <si>
    <t>CUST_DEPOSIT-100150</t>
  </si>
  <si>
    <t>Homewood Suites Fayetteville</t>
  </si>
  <si>
    <t>SO# 38809</t>
  </si>
  <si>
    <t>CUST_DEPOSIT-100151</t>
  </si>
  <si>
    <t>SO#38809 SO#39105</t>
  </si>
  <si>
    <t>CUST_DEPOSIT-100152</t>
  </si>
  <si>
    <t>HSI Design Group</t>
  </si>
  <si>
    <t>SO# 38021</t>
  </si>
  <si>
    <t>CUST_DEPOSIT-100153</t>
  </si>
  <si>
    <t>Iannacone Residence</t>
  </si>
  <si>
    <t>SO# 38820</t>
  </si>
  <si>
    <t>CUST_DEPOSIT-100154</t>
  </si>
  <si>
    <t>Imagine Porcelain Co. IPC.</t>
  </si>
  <si>
    <t>SO# 36849</t>
  </si>
  <si>
    <t>CUST_DEPOSIT-100155</t>
  </si>
  <si>
    <t>CUST_DEPOSIT-100156</t>
  </si>
  <si>
    <t>SO# 35789</t>
  </si>
  <si>
    <t>CUST_DEPOSIT-100157</t>
  </si>
  <si>
    <t>SO# 36261</t>
  </si>
  <si>
    <t>CUST_DEPOSIT-100158</t>
  </si>
  <si>
    <t>Installations Plus, Inc.</t>
  </si>
  <si>
    <t>SO# 38216</t>
  </si>
  <si>
    <t>CUST_DEPOSIT-100159</t>
  </si>
  <si>
    <t>Interior Dezyn</t>
  </si>
  <si>
    <t>SO# 38525</t>
  </si>
  <si>
    <t>CUST_DEPOSIT-100160</t>
  </si>
  <si>
    <t>Interstate Construction Corp.</t>
  </si>
  <si>
    <t>SO# 35485</t>
  </si>
  <si>
    <t>CUST_DEPOSIT-100161</t>
  </si>
  <si>
    <t>Intertech Flooring</t>
  </si>
  <si>
    <t>SO# 38871</t>
  </si>
  <si>
    <t>CUST_DEPOSIT-100162</t>
  </si>
  <si>
    <t>CUST_DEPOSIT-100163</t>
  </si>
  <si>
    <t>SO# 38839</t>
  </si>
  <si>
    <t>CUST_DEPOSIT-100164</t>
  </si>
  <si>
    <t>Jay Sun Hospitality LLC / La Quinta La Habra,CA</t>
  </si>
  <si>
    <t>SO# 35427</t>
  </si>
  <si>
    <t>CUST_DEPOSIT-100165</t>
  </si>
  <si>
    <t>JDL Flooring Solutions Inc</t>
  </si>
  <si>
    <t>SO# 38592</t>
  </si>
  <si>
    <t>CUST_DEPOSIT-100166</t>
  </si>
  <si>
    <t>Jenkins Contract Flooring, LLC</t>
  </si>
  <si>
    <t>SO# 38805</t>
  </si>
  <si>
    <t>CUST_DEPOSIT-100167</t>
  </si>
  <si>
    <t>Jerry Osborne &amp; Associates, LLC</t>
  </si>
  <si>
    <t>SO# 38998</t>
  </si>
  <si>
    <t>CUST_DEPOSIT-100168</t>
  </si>
  <si>
    <t>SO# 39009</t>
  </si>
  <si>
    <t>CUST_DEPOSIT-100169</t>
  </si>
  <si>
    <t>SO#39009</t>
  </si>
  <si>
    <t>CUST_DEPOSIT-100170</t>
  </si>
  <si>
    <t>Kenner Hospitality LLC</t>
  </si>
  <si>
    <t>SO# 38994</t>
  </si>
  <si>
    <t>CUST_DEPOSIT-100171</t>
  </si>
  <si>
    <t>Kevin Sims</t>
  </si>
  <si>
    <t>SO# 38962</t>
  </si>
  <si>
    <t>CUST_DEPOSIT-100172</t>
  </si>
  <si>
    <t>Kian Hotels LLC</t>
  </si>
  <si>
    <t>CD02/SO04</t>
  </si>
  <si>
    <t>CUST_DEPOSIT-100173</t>
  </si>
  <si>
    <t>Kings Bay Coastal Hotel Management LLC / Wingate Kingsland</t>
  </si>
  <si>
    <t>SO# 36238</t>
  </si>
  <si>
    <t>CUST_DEPOSIT-100174</t>
  </si>
  <si>
    <t>SO# 38414</t>
  </si>
  <si>
    <t>CUST_DEPOSIT-100175</t>
  </si>
  <si>
    <t>Kings Construction</t>
  </si>
  <si>
    <t>SO# 38829</t>
  </si>
  <si>
    <t>CUST_DEPOSIT-100176</t>
  </si>
  <si>
    <t>SO# 38984</t>
  </si>
  <si>
    <t>CUST_DEPOSIT-100177</t>
  </si>
  <si>
    <t>cd158</t>
  </si>
  <si>
    <t>CUST_DEPOSIT-100178</t>
  </si>
  <si>
    <t>Krushiker Hospitality Group, Inc/ Homewood Suites- Fayetteville, AR</t>
  </si>
  <si>
    <t>SO# 35486</t>
  </si>
  <si>
    <t>CUST_DEPOSIT-100179</t>
  </si>
  <si>
    <t>KVA MANAGEMENT</t>
  </si>
  <si>
    <t>SO# 38223</t>
  </si>
  <si>
    <t>CUST_DEPOSIT-100180</t>
  </si>
  <si>
    <t>CUST_DEPOSIT-100181</t>
  </si>
  <si>
    <t>Kyle Hicks</t>
  </si>
  <si>
    <t>SO# 36292</t>
  </si>
  <si>
    <t>CUST_DEPOSIT-100182</t>
  </si>
  <si>
    <t>SO# 36163</t>
  </si>
  <si>
    <t>CUST_DEPOSIT-100183</t>
  </si>
  <si>
    <t>L Peters Construction, Inc.</t>
  </si>
  <si>
    <t>SO# 38853</t>
  </si>
  <si>
    <t>CUST_DEPOSIT-100184</t>
  </si>
  <si>
    <t>La Quinta - Chelsea,AL</t>
  </si>
  <si>
    <t>SO# 35238</t>
  </si>
  <si>
    <t>CUST_DEPOSIT-100185</t>
  </si>
  <si>
    <t>SO# 35226</t>
  </si>
  <si>
    <t>CUST_DEPOSIT-100186</t>
  </si>
  <si>
    <t>CUST_DEPOSIT-100187</t>
  </si>
  <si>
    <t>SO# 35225</t>
  </si>
  <si>
    <t>CUST_DEPOSIT-100188</t>
  </si>
  <si>
    <t>SO#37459</t>
  </si>
  <si>
    <t>CUST_DEPOSIT-100189</t>
  </si>
  <si>
    <t>SO# 35240</t>
  </si>
  <si>
    <t>CUST_DEPOSIT-100190</t>
  </si>
  <si>
    <t>La Quinta - Fort Lauderdale - FL - Rob Song</t>
  </si>
  <si>
    <t>SO# 36064</t>
  </si>
  <si>
    <t>CUST_DEPOSIT-100191</t>
  </si>
  <si>
    <t>La Quinta Albq West</t>
  </si>
  <si>
    <t>SO# 38910</t>
  </si>
  <si>
    <t>CUST_DEPOSIT-100192</t>
  </si>
  <si>
    <t>La Quinta Athens Alabama</t>
  </si>
  <si>
    <t>SO# 36750</t>
  </si>
  <si>
    <t>CUST_DEPOSIT-100193</t>
  </si>
  <si>
    <t>SO# 38997</t>
  </si>
  <si>
    <t>CUST_DEPOSIT-100194</t>
  </si>
  <si>
    <t>SO# 38996</t>
  </si>
  <si>
    <t>CUST_DEPOSIT-100195</t>
  </si>
  <si>
    <t>La Quinta Auburn AL</t>
  </si>
  <si>
    <t>SO# 38964</t>
  </si>
  <si>
    <t>CUST_DEPOSIT-100196</t>
  </si>
  <si>
    <t>La Quinta by Wyndham Dallas DFW Airport N</t>
  </si>
  <si>
    <t>SO# 34792</t>
  </si>
  <si>
    <t>CUST_DEPOSIT-100197</t>
  </si>
  <si>
    <t>La Quinta Hawthorn - Miamisburg, OH</t>
  </si>
  <si>
    <t>SO# 35755</t>
  </si>
  <si>
    <t>CUST_DEPOSIT-100198</t>
  </si>
  <si>
    <t>SO# 35758</t>
  </si>
  <si>
    <t>CUST_DEPOSIT-100199</t>
  </si>
  <si>
    <t>SO# 35756</t>
  </si>
  <si>
    <t>CUST_DEPOSIT-100200</t>
  </si>
  <si>
    <t>SO# 38376</t>
  </si>
  <si>
    <t>CUST_DEPOSIT-100201</t>
  </si>
  <si>
    <t>SO# 35754</t>
  </si>
  <si>
    <t>CUST_DEPOSIT-100202</t>
  </si>
  <si>
    <t>SO# 35764</t>
  </si>
  <si>
    <t>CUST_DEPOSIT-100203</t>
  </si>
  <si>
    <t>SO# 35766</t>
  </si>
  <si>
    <t>CUST_DEPOSIT-100204</t>
  </si>
  <si>
    <t>SO# 35765</t>
  </si>
  <si>
    <t>CUST_DEPOSIT-100205</t>
  </si>
  <si>
    <t>SO# 37260</t>
  </si>
  <si>
    <t>CUST_DEPOSIT-100206</t>
  </si>
  <si>
    <t>CUST_DEPOSIT-100207</t>
  </si>
  <si>
    <t>La Quinta Inn &amp; Suites- Seatac Airport- Seattle WA</t>
  </si>
  <si>
    <t>CUST_DEPOSIT-100208</t>
  </si>
  <si>
    <t>La Quinta Inn &amp; Suites-Mansfield, OH</t>
  </si>
  <si>
    <t>SO# 38803</t>
  </si>
  <si>
    <t>CUST_DEPOSIT-100209</t>
  </si>
  <si>
    <t>LA QUINTA ORLANDO</t>
  </si>
  <si>
    <t>SO# 33564</t>
  </si>
  <si>
    <t>CUST_DEPOSIT-100210</t>
  </si>
  <si>
    <t>La Quinta San Antonio 1</t>
  </si>
  <si>
    <t>SO# 34399</t>
  </si>
  <si>
    <t>CUST_DEPOSIT-100211</t>
  </si>
  <si>
    <t>SO# 34400</t>
  </si>
  <si>
    <t>CUST_DEPOSIT-100212</t>
  </si>
  <si>
    <t>SO# 34410</t>
  </si>
  <si>
    <t>CUST_DEPOSIT-100213</t>
  </si>
  <si>
    <t>LA QUINTA SHONTO AZ</t>
  </si>
  <si>
    <t>CUST_DEPOSIT-100214</t>
  </si>
  <si>
    <t>CUST_DEPOSIT-100215</t>
  </si>
  <si>
    <t>La Quinta, Huntsville AL</t>
  </si>
  <si>
    <t>SO# 32702</t>
  </si>
  <si>
    <t>CUST_DEPOSIT-100216</t>
  </si>
  <si>
    <t>SO# 32692</t>
  </si>
  <si>
    <t>CUST_DEPOSIT-100217</t>
  </si>
  <si>
    <t>SO# 32699</t>
  </si>
  <si>
    <t>CUST_DEPOSIT-100218</t>
  </si>
  <si>
    <t>SO# 32694</t>
  </si>
  <si>
    <t>CUST_DEPOSIT-100219</t>
  </si>
  <si>
    <t>SO# 32697</t>
  </si>
  <si>
    <t>CUST_DEPOSIT-100220</t>
  </si>
  <si>
    <t>SO# 32693</t>
  </si>
  <si>
    <t>CUST_DEPOSIT-100221</t>
  </si>
  <si>
    <t>SO# 32698</t>
  </si>
  <si>
    <t>CUST_DEPOSIT-100222</t>
  </si>
  <si>
    <t>CUST_DEPOSIT-100223</t>
  </si>
  <si>
    <t>CUST_DEPOSIT-100224</t>
  </si>
  <si>
    <t>CUST_DEPOSIT-100225</t>
  </si>
  <si>
    <t>SO# 32695</t>
  </si>
  <si>
    <t>CUST_DEPOSIT-100226</t>
  </si>
  <si>
    <t>CUST_DEPOSIT-100227</t>
  </si>
  <si>
    <t>CUST_DEPOSIT-100228</t>
  </si>
  <si>
    <t>SO# 32696</t>
  </si>
  <si>
    <t>CUST_DEPOSIT-100229</t>
  </si>
  <si>
    <t>CUST_DEPOSIT-100230</t>
  </si>
  <si>
    <t>CUST_DEPOSIT-100231</t>
  </si>
  <si>
    <t>CUST_DEPOSIT-100232</t>
  </si>
  <si>
    <t>La Quinta- Santa Rosa, CA</t>
  </si>
  <si>
    <t>SO# 38742</t>
  </si>
  <si>
    <t>CUST_DEPOSIT-100233</t>
  </si>
  <si>
    <t>Landrys</t>
  </si>
  <si>
    <t>SO# 38970</t>
  </si>
  <si>
    <t>CUST_DEPOSIT-100234</t>
  </si>
  <si>
    <t>LaQuinta Inn &amp; Suites Oxford AL</t>
  </si>
  <si>
    <t>CUST_DEPOSIT-100235</t>
  </si>
  <si>
    <t>LaQuinta Inn Pharr TX</t>
  </si>
  <si>
    <t>SO# 36008</t>
  </si>
  <si>
    <t>CUST_DEPOSIT-100236</t>
  </si>
  <si>
    <t>LaQuinta Yakima WA</t>
  </si>
  <si>
    <t>SO# 36351</t>
  </si>
  <si>
    <t>CUST_DEPOSIT-100237</t>
  </si>
  <si>
    <t>LaQuinta/Hawthone - Knoxville TN - AMit</t>
  </si>
  <si>
    <t>SO# 33728</t>
  </si>
  <si>
    <t>CUST_DEPOSIT-100238</t>
  </si>
  <si>
    <t>Las Vegas Resort Holdings, LLC</t>
  </si>
  <si>
    <t>SO# 37903</t>
  </si>
  <si>
    <t>CUST_DEPOSIT-100239</t>
  </si>
  <si>
    <t>SO# 38890</t>
  </si>
  <si>
    <t>CUST_DEPOSIT-100240</t>
  </si>
  <si>
    <t>SO# 38627</t>
  </si>
  <si>
    <t>CUST_DEPOSIT-100241</t>
  </si>
  <si>
    <t>SO#39117</t>
  </si>
  <si>
    <t>29254 (2021) ORDER CANCELLED and moved the deposit to SO#29080. 29080 IS PAID IN FULL, put credit on main account</t>
  </si>
  <si>
    <t>CUST_DEPOSIT-100242</t>
  </si>
  <si>
    <t>Link Floors</t>
  </si>
  <si>
    <t>SO# 38515</t>
  </si>
  <si>
    <t>CUST_DEPOSIT-100243</t>
  </si>
  <si>
    <t>LQ Brownsville</t>
  </si>
  <si>
    <t>SO# 38912</t>
  </si>
  <si>
    <t>CUST_DEPOSIT-100244</t>
  </si>
  <si>
    <t>LQ Hawthorne Leavenworth</t>
  </si>
  <si>
    <t>SO# 38183</t>
  </si>
  <si>
    <t>CUST_DEPOSIT-100245</t>
  </si>
  <si>
    <t>CUST_DEPOSIT-100246</t>
  </si>
  <si>
    <t>LQ Kingston</t>
  </si>
  <si>
    <t>SO# 38793</t>
  </si>
  <si>
    <t>CUST_DEPOSIT-100247</t>
  </si>
  <si>
    <t>LQ Laredo</t>
  </si>
  <si>
    <t>SO# 39071</t>
  </si>
  <si>
    <t>CUST_DEPOSIT-100248</t>
  </si>
  <si>
    <t>Marino Construction</t>
  </si>
  <si>
    <t>SO#38733/3</t>
  </si>
  <si>
    <t>CUST_DEPOSIT-100249</t>
  </si>
  <si>
    <t>MCP Group</t>
  </si>
  <si>
    <t>SO# 38843</t>
  </si>
  <si>
    <t>CUST_DEPOSIT-100250</t>
  </si>
  <si>
    <t>SO# 39012</t>
  </si>
  <si>
    <t>CUST_DEPOSIT-100251</t>
  </si>
  <si>
    <t>SO# 38806</t>
  </si>
  <si>
    <t>CUST_DEPOSIT-100252</t>
  </si>
  <si>
    <t>Medallion Hospitality</t>
  </si>
  <si>
    <t>SO# 38974</t>
  </si>
  <si>
    <t>CUST_DEPOSIT-100253</t>
  </si>
  <si>
    <t>Mehr Consultancy</t>
  </si>
  <si>
    <t>SO# 38980</t>
  </si>
  <si>
    <t>CUST_DEPOSIT-100254</t>
  </si>
  <si>
    <t>CUST_DEPOSIT-100255</t>
  </si>
  <si>
    <t>SO# 38959</t>
  </si>
  <si>
    <t>CUST_DEPOSIT-100256</t>
  </si>
  <si>
    <t>Mesquite Gaming</t>
  </si>
  <si>
    <t>SO#39077</t>
  </si>
  <si>
    <t>CUST_DEPOSIT-100257</t>
  </si>
  <si>
    <t>SO# 38563</t>
  </si>
  <si>
    <t>CUST_DEPOSIT-100258</t>
  </si>
  <si>
    <t>CUST_DEPOSIT-100259</t>
  </si>
  <si>
    <t>Monsoon Flower LLC</t>
  </si>
  <si>
    <t>SO# 37734</t>
  </si>
  <si>
    <t>CUST_DEPOSIT-100260</t>
  </si>
  <si>
    <t>CUST_DEPOSIT-100261</t>
  </si>
  <si>
    <t>CUST_DEPOSIT-100262</t>
  </si>
  <si>
    <t>CUST_DEPOSIT-100263</t>
  </si>
  <si>
    <t>CUST_DEPOSIT-100264</t>
  </si>
  <si>
    <t>SO# 38671</t>
  </si>
  <si>
    <t>CUST_DEPOSIT-100265</t>
  </si>
  <si>
    <t>MTZ Tile Stone LLC</t>
  </si>
  <si>
    <t>SO# 39003</t>
  </si>
  <si>
    <t>CUST_DEPOSIT-100266</t>
  </si>
  <si>
    <t>Mukesh ‘Mike’ Patel</t>
  </si>
  <si>
    <t>CUST_DEPOSIT-100267</t>
  </si>
  <si>
    <t>My Grout Guyz Inc</t>
  </si>
  <si>
    <t>SO# 38795</t>
  </si>
  <si>
    <t>CUST_DEPOSIT-100268</t>
  </si>
  <si>
    <t>Namou Hotels</t>
  </si>
  <si>
    <t>CUST_DEPOSIT-100269</t>
  </si>
  <si>
    <t>Nick Platt Construction</t>
  </si>
  <si>
    <t>SO# 38526</t>
  </si>
  <si>
    <t>CUST_DEPOSIT-100270</t>
  </si>
  <si>
    <t>SO# 38992</t>
  </si>
  <si>
    <t>CUST_DEPOSIT-100271</t>
  </si>
  <si>
    <t>North Texas HOCO, LLC</t>
  </si>
  <si>
    <t>SO# 38858</t>
  </si>
  <si>
    <t>CUST_DEPOSIT-100272</t>
  </si>
  <si>
    <t>CUST_DEPOSIT-100273</t>
  </si>
  <si>
    <t>CUST_DEPOSIT-100274</t>
  </si>
  <si>
    <t>Northlake Innkeepers I Ltd.</t>
  </si>
  <si>
    <t>CUST_DEPOSIT-100275</t>
  </si>
  <si>
    <t>SO# 37269</t>
  </si>
  <si>
    <t>CUST_DEPOSIT-100276</t>
  </si>
  <si>
    <t>SO# 37271</t>
  </si>
  <si>
    <t>CUST_DEPOSIT-100277</t>
  </si>
  <si>
    <t>Om Sairam Hospitality Inc.</t>
  </si>
  <si>
    <t>SO# 38896</t>
  </si>
  <si>
    <t>CUST_DEPOSIT-100278</t>
  </si>
  <si>
    <t>Pinnacle Hospitality Partners / Hilton Garden inn Nashville</t>
  </si>
  <si>
    <t>SO# 36199</t>
  </si>
  <si>
    <t>CUST_DEPOSIT-100279</t>
  </si>
  <si>
    <t>Pinnacle Marble &amp; Granite, Inc.</t>
  </si>
  <si>
    <t>SO# 38822</t>
  </si>
  <si>
    <t>CUST_DEPOSIT-100280</t>
  </si>
  <si>
    <t>Pinnacle Marble And Granite, Inc</t>
  </si>
  <si>
    <t>SO# 38744</t>
  </si>
  <si>
    <t>CUST_DEPOSIT-100281</t>
  </si>
  <si>
    <t>Pitt-Cran Hospitality, LLC/ Wingate Cranberry</t>
  </si>
  <si>
    <t>SO# 38120</t>
  </si>
  <si>
    <t>CUST_DEPOSIT-100282</t>
  </si>
  <si>
    <t>Platinum</t>
  </si>
  <si>
    <t>SO# 38991</t>
  </si>
  <si>
    <t>CUST_DEPOSIT-100283</t>
  </si>
  <si>
    <t>PREDOCK</t>
  </si>
  <si>
    <t>SO#39088</t>
  </si>
  <si>
    <t>CUST_DEPOSIT-100284</t>
  </si>
  <si>
    <t>PRIME SAY LLC</t>
  </si>
  <si>
    <t>SO# 38865</t>
  </si>
  <si>
    <t>CUST_DEPOSIT-100285</t>
  </si>
  <si>
    <t>Prince Preferred Hotels</t>
  </si>
  <si>
    <t>SO# 36565</t>
  </si>
  <si>
    <t>CUST_DEPOSIT-100286</t>
  </si>
  <si>
    <t>CUST_DEPOSIT-100287</t>
  </si>
  <si>
    <t>Queen City Winnelson</t>
  </si>
  <si>
    <t>SO# 38946</t>
  </si>
  <si>
    <t>CUST_DEPOSIT-100288</t>
  </si>
  <si>
    <t>Red Roof Plus-Manassas</t>
  </si>
  <si>
    <t>SO# 35211</t>
  </si>
  <si>
    <t>CUST_DEPOSIT-100289</t>
  </si>
  <si>
    <t>Renu</t>
  </si>
  <si>
    <t>SO# 38694</t>
  </si>
  <si>
    <t>CUST_DEPOSIT-100290</t>
  </si>
  <si>
    <t>Residence Inn - San Marcos TX</t>
  </si>
  <si>
    <t>SO# 38859</t>
  </si>
  <si>
    <t>CUST_DEPOSIT-100291</t>
  </si>
  <si>
    <t>Residence Inn Indianapolis,IN</t>
  </si>
  <si>
    <t>SO# 38296</t>
  </si>
  <si>
    <t>CUST_DEPOSIT-100292</t>
  </si>
  <si>
    <t>Customer made 2 wire payments for 2 accounts, one for $1,050,000.00 and one for $263,639.37</t>
  </si>
  <si>
    <t>CUST_DEPOSIT-100293</t>
  </si>
  <si>
    <t>SO# 37763</t>
  </si>
  <si>
    <t>CUST_DEPOSIT-100294</t>
  </si>
  <si>
    <t>Residence Inn Pearland, TX</t>
  </si>
  <si>
    <t>SO# 38889</t>
  </si>
  <si>
    <t>CUST_DEPOSIT-100295</t>
  </si>
  <si>
    <t>SO# 38295</t>
  </si>
  <si>
    <t>CUST_DEPOSIT-100296</t>
  </si>
  <si>
    <t>SO# 38872</t>
  </si>
  <si>
    <t>CUST_DEPOSIT-100297</t>
  </si>
  <si>
    <t>CUST_DEPOSIT-100298</t>
  </si>
  <si>
    <t>Rock River Valley Flooring Inc</t>
  </si>
  <si>
    <t>SO# 38921</t>
  </si>
  <si>
    <t>CUST_DEPOSIT-100299</t>
  </si>
  <si>
    <t>Schoenfelder Renovations</t>
  </si>
  <si>
    <t>SO# 38718</t>
  </si>
  <si>
    <t>CUST_DEPOSIT-100300</t>
  </si>
  <si>
    <t>SET Floors</t>
  </si>
  <si>
    <t>SO# 38844</t>
  </si>
  <si>
    <t>CUST_DEPOSIT-100301</t>
  </si>
  <si>
    <t>SO# 38954</t>
  </si>
  <si>
    <t>CUST_DEPOSIT-100302</t>
  </si>
  <si>
    <t>Shiva Hotels Inc.</t>
  </si>
  <si>
    <t>SO# 38919</t>
  </si>
  <si>
    <t>CUST_DEPOSIT-100303</t>
  </si>
  <si>
    <t>Shri Omkara LLC</t>
  </si>
  <si>
    <t>SO# 38966</t>
  </si>
  <si>
    <t>CUST_DEPOSIT-100304</t>
  </si>
  <si>
    <t>SKIMS Retail</t>
  </si>
  <si>
    <t>SO# 38825</t>
  </si>
  <si>
    <t>CUST_DEPOSIT-100305</t>
  </si>
  <si>
    <t>SO# 38866</t>
  </si>
  <si>
    <t>CUST_DEPOSIT-100306</t>
  </si>
  <si>
    <t>SO# 38794</t>
  </si>
  <si>
    <t>CUST_DEPOSIT-100307</t>
  </si>
  <si>
    <t>SO# 38670</t>
  </si>
  <si>
    <t>CUST_DEPOSIT-100308</t>
  </si>
  <si>
    <t>Soma construction</t>
  </si>
  <si>
    <t>SO# 38884</t>
  </si>
  <si>
    <t>CUST_DEPOSIT-100309</t>
  </si>
  <si>
    <t>SO# 38856</t>
  </si>
  <si>
    <t>CUST_DEPOSIT-100310</t>
  </si>
  <si>
    <t>Someshwar Motel LLC - Comfort Inn Ogallala, NE</t>
  </si>
  <si>
    <t>SO# 37902</t>
  </si>
  <si>
    <t>CUST_DEPOSIT-100311</t>
  </si>
  <si>
    <t>SO# 38672</t>
  </si>
  <si>
    <t>CUST_DEPOSIT-100312</t>
  </si>
  <si>
    <t>CUST_DEPOSIT-100313</t>
  </si>
  <si>
    <t>Sonder</t>
  </si>
  <si>
    <t>SO#35101/8</t>
  </si>
  <si>
    <t>CUST_DEPOSIT-100314</t>
  </si>
  <si>
    <t>Southwest Contracting LP</t>
  </si>
  <si>
    <t>SO# 38801</t>
  </si>
  <si>
    <t>CUST_DEPOSIT-100315</t>
  </si>
  <si>
    <t>Specialty Tile Products Inc.</t>
  </si>
  <si>
    <t>SO# 38835</t>
  </si>
  <si>
    <t>CUST_DEPOSIT-100316</t>
  </si>
  <si>
    <t>Springhill Greensboro NC</t>
  </si>
  <si>
    <t>SO# 38852</t>
  </si>
  <si>
    <t>CUST_DEPOSIT-100317</t>
  </si>
  <si>
    <t>SSC Construction</t>
  </si>
  <si>
    <t>SO# 38800</t>
  </si>
  <si>
    <t>CUST_DEPOSIT-100318</t>
  </si>
  <si>
    <t>Stay Bridge - Manteca - CA - Aman Dhillon</t>
  </si>
  <si>
    <t>SO# 34452</t>
  </si>
  <si>
    <t>CUST_DEPOSIT-100319</t>
  </si>
  <si>
    <t>Staybridge Suites c/o Ravi Designs</t>
  </si>
  <si>
    <t>SO# 35274</t>
  </si>
  <si>
    <t>CUST_DEPOSIT-100320</t>
  </si>
  <si>
    <t>Steve Hari/ Best Western TN</t>
  </si>
  <si>
    <t>SO# 35197</t>
  </si>
  <si>
    <t>CUST_DEPOSIT-100321</t>
  </si>
  <si>
    <t>STONERIDGE HOSPITALITY GROUP</t>
  </si>
  <si>
    <t>SO# 38855</t>
  </si>
  <si>
    <t>CUST_DEPOSIT-100322</t>
  </si>
  <si>
    <t>SO# 39073</t>
  </si>
  <si>
    <t>CUST_DEPOSIT-100323</t>
  </si>
  <si>
    <t>SO# 39074</t>
  </si>
  <si>
    <t>CUST_DEPOSIT-100324</t>
  </si>
  <si>
    <t>CUST_DEPOSIT-100325</t>
  </si>
  <si>
    <t>Super 8 motel - TN.</t>
  </si>
  <si>
    <t>SO# 38230</t>
  </si>
  <si>
    <t>CUST_DEPOSIT-100326</t>
  </si>
  <si>
    <t>CUST_DEPOSIT-100327</t>
  </si>
  <si>
    <t>Supreme Bright Albuquerque I, LLC</t>
  </si>
  <si>
    <t>SO# 38834</t>
  </si>
  <si>
    <t>CUST_DEPOSIT-100328</t>
  </si>
  <si>
    <t>SUPREME BRIGHT ATLANTIC CITY LLC (TRIBUTE SEAHAUS)</t>
  </si>
  <si>
    <t>SO#39079</t>
  </si>
  <si>
    <t>CUST_DEPOSIT-100329</t>
  </si>
  <si>
    <t>SO# 36641</t>
  </si>
  <si>
    <t>CUST_DEPOSIT-100330</t>
  </si>
  <si>
    <t>SO# 37466</t>
  </si>
  <si>
    <t>CUST_DEPOSIT-100331</t>
  </si>
  <si>
    <t>SO# 38999</t>
  </si>
  <si>
    <t>CUST_DEPOSIT-100332</t>
  </si>
  <si>
    <t>Supreme Bright Westlake I LLC</t>
  </si>
  <si>
    <t>SO# 34841</t>
  </si>
  <si>
    <t>CUST_DEPOSIT-100333</t>
  </si>
  <si>
    <t>SO# 34842</t>
  </si>
  <si>
    <t>CUST_DEPOSIT-100334</t>
  </si>
  <si>
    <t>SWINERTON</t>
  </si>
  <si>
    <t>CUST_DEPOSIT-100335</t>
  </si>
  <si>
    <t>SO# 38181</t>
  </si>
  <si>
    <t>CUST_DEPOSIT-100336</t>
  </si>
  <si>
    <t>TCC Multi-Family Interiors</t>
  </si>
  <si>
    <t>CUST_DEPOSIT-100337</t>
  </si>
  <si>
    <t>Texas Floor Covering</t>
  </si>
  <si>
    <t>SO# 39063</t>
  </si>
  <si>
    <t>CUST_DEPOSIT-100338</t>
  </si>
  <si>
    <t>The DOI Residence/ DEAZLY INC.</t>
  </si>
  <si>
    <t>SO# 38758</t>
  </si>
  <si>
    <t>CUST_DEPOSIT-100339</t>
  </si>
  <si>
    <t>SO# 37795</t>
  </si>
  <si>
    <t>CUST_DEPOSIT-100340</t>
  </si>
  <si>
    <t>SO#37795</t>
  </si>
  <si>
    <t>CUST_DEPOSIT-100341</t>
  </si>
  <si>
    <t>THE TD GROUP</t>
  </si>
  <si>
    <t>SO# 35037</t>
  </si>
  <si>
    <t>CUST_DEPOSIT-100342</t>
  </si>
  <si>
    <t>SO# 35103</t>
  </si>
  <si>
    <t>CUST_DEPOSIT-100343</t>
  </si>
  <si>
    <t>Tico c</t>
  </si>
  <si>
    <t>SO# 33286</t>
  </si>
  <si>
    <t>CUST_DEPOSIT-100344</t>
  </si>
  <si>
    <t>Tommy Wong</t>
  </si>
  <si>
    <t>SO# 38508</t>
  </si>
  <si>
    <t>CUST_DEPOSIT-100345</t>
  </si>
  <si>
    <t>Total Floors</t>
  </si>
  <si>
    <t>SO# 38957</t>
  </si>
  <si>
    <t>CUST_DEPOSIT-100346</t>
  </si>
  <si>
    <t>TOWNEPLACE SUITES - OKC</t>
  </si>
  <si>
    <t>SO# 38051</t>
  </si>
  <si>
    <t>CUST_DEPOSIT-100347</t>
  </si>
  <si>
    <t>CUST_DEPOSIT-100348</t>
  </si>
  <si>
    <t>TownePlace Suites Morristown, TN</t>
  </si>
  <si>
    <t>SO# 39007</t>
  </si>
  <si>
    <t>CUST_DEPOSIT-100349</t>
  </si>
  <si>
    <t>Towneplace Suites Temple, TX</t>
  </si>
  <si>
    <t>SO# 38901</t>
  </si>
  <si>
    <t>CUST_DEPOSIT-100350</t>
  </si>
  <si>
    <t>Townplace San Antonio</t>
  </si>
  <si>
    <t>SO# 38864</t>
  </si>
  <si>
    <t>CUST_DEPOSIT-100351</t>
  </si>
  <si>
    <t>Treco Enterprises Inc.</t>
  </si>
  <si>
    <t>SO# 38911</t>
  </si>
  <si>
    <t>CUST_DEPOSIT-100352</t>
  </si>
  <si>
    <t>Trinity Contract Flooring</t>
  </si>
  <si>
    <t>SO# 38796</t>
  </si>
  <si>
    <t>CUST_DEPOSIT-100353</t>
  </si>
  <si>
    <t>Triton Stone</t>
  </si>
  <si>
    <t>SO# 38868</t>
  </si>
  <si>
    <t>CUST_DEPOSIT-100354</t>
  </si>
  <si>
    <t>Trylon LLC/ RJ Construction LTD</t>
  </si>
  <si>
    <t>SO# 38623</t>
  </si>
  <si>
    <t>CUST_DEPOSIT-100355</t>
  </si>
  <si>
    <t>Two one two</t>
  </si>
  <si>
    <t>SO# 38621</t>
  </si>
  <si>
    <t>CUST_DEPOSIT-100356</t>
  </si>
  <si>
    <t>SO# 35870</t>
  </si>
  <si>
    <t>CUST_DEPOSIT-100357</t>
  </si>
  <si>
    <t>CUST_DEPOSIT-100358</t>
  </si>
  <si>
    <t>Urban Atelier Group LLC</t>
  </si>
  <si>
    <t>SO#36095 SO#36072/5 SO36072/6</t>
  </si>
  <si>
    <t>CUST_DEPOSIT-100359</t>
  </si>
  <si>
    <t>Vedi Hospitality LLC</t>
  </si>
  <si>
    <t>SO# 38785</t>
  </si>
  <si>
    <t>CUST_DEPOSIT-100360</t>
  </si>
  <si>
    <t>Vedi Hospitality Plano LLC</t>
  </si>
  <si>
    <t>SO# 38797</t>
  </si>
  <si>
    <t>CUST_DEPOSIT-100361</t>
  </si>
  <si>
    <t>Veranda Homes</t>
  </si>
  <si>
    <t>SO# 38292</t>
  </si>
  <si>
    <t>CUST_DEPOSIT-100362</t>
  </si>
  <si>
    <t>SO# 38832</t>
  </si>
  <si>
    <t>CUST_DEPOSIT-100363</t>
  </si>
  <si>
    <t>Watermark Commercial Contractors LLC</t>
  </si>
  <si>
    <t>SO#35363</t>
  </si>
  <si>
    <t>CUST_DEPOSIT-100364</t>
  </si>
  <si>
    <t>SO# 36161</t>
  </si>
  <si>
    <t>CUST_DEPOSIT-100365</t>
  </si>
  <si>
    <t>SO# 34212</t>
  </si>
  <si>
    <t>CUST_DEPOSIT-100366</t>
  </si>
  <si>
    <t>Weaver Cooke Construction, LLC&gt;</t>
  </si>
  <si>
    <t>CUST_DEPOSIT-100367</t>
  </si>
  <si>
    <t>Wheel Fish Group</t>
  </si>
  <si>
    <t>SO# 38905</t>
  </si>
  <si>
    <t>CUST_DEPOSIT-100368</t>
  </si>
  <si>
    <t>White River Flooring, Inc.</t>
  </si>
  <si>
    <t>SO# 38857</t>
  </si>
  <si>
    <t>CUST_DEPOSIT-100369</t>
  </si>
  <si>
    <t>Windson Property Holdings LLC</t>
  </si>
  <si>
    <t>SO# 39006</t>
  </si>
  <si>
    <t>CUST_DEPOSIT-100370</t>
  </si>
  <si>
    <t>Wingate - Erlanger, KY</t>
  </si>
  <si>
    <t>SO# 35475</t>
  </si>
  <si>
    <t>CUST_DEPOSIT-100371</t>
  </si>
  <si>
    <t>Wingate by Wyndham / Indianapolis</t>
  </si>
  <si>
    <t>SO# 36165</t>
  </si>
  <si>
    <t>CUST_DEPOSIT-100372</t>
  </si>
  <si>
    <t>Wingate by Wyndham Pueblo CO.</t>
  </si>
  <si>
    <t>SO#37611</t>
  </si>
  <si>
    <t>CUST_DEPOSIT-100373</t>
  </si>
  <si>
    <t>SO#38667</t>
  </si>
  <si>
    <t>CUST_DEPOSIT-100374</t>
  </si>
  <si>
    <t>SO# 38667</t>
  </si>
  <si>
    <t>CUST_DEPOSIT-100375</t>
  </si>
  <si>
    <t>SO#38587</t>
  </si>
  <si>
    <t>CUST_DEPOSIT-100376</t>
  </si>
  <si>
    <t>SO# 37300</t>
  </si>
  <si>
    <t>CUST_DEPOSIT-100377</t>
  </si>
  <si>
    <t>Wingate by Wyndham-Farmington, NM.</t>
  </si>
  <si>
    <t>CUST_DEPOSIT-100378</t>
  </si>
  <si>
    <t>Wingate Owensboro_KY</t>
  </si>
  <si>
    <t>CUST_DEPOSIT-100379</t>
  </si>
  <si>
    <t>Wingate Sheboygan WI - 01954</t>
  </si>
  <si>
    <t>SO# 37135</t>
  </si>
  <si>
    <t>CUST_DEPOSIT-100380</t>
  </si>
  <si>
    <t>WYNDHAM GARDEN INN- MANASSAS, VA</t>
  </si>
  <si>
    <t>SO#38449</t>
  </si>
  <si>
    <t>CUST_DEPOSIT-100381</t>
  </si>
  <si>
    <t>Wyndham Garden Newark</t>
  </si>
  <si>
    <t>SO#39107</t>
  </si>
  <si>
    <t>CUST_DEPOSIT-100382</t>
  </si>
  <si>
    <t>Wyndham Trademark Fredericksburg</t>
  </si>
  <si>
    <t>SO# 35656</t>
  </si>
  <si>
    <t>CUST_DEPOSIT-100383</t>
  </si>
  <si>
    <t>CUST_DEPOSIT-100384</t>
  </si>
  <si>
    <t>Yogi Divine Society Of Texas</t>
  </si>
  <si>
    <t>SO# 36508</t>
  </si>
  <si>
    <t>CUST_DEPOSIT-100385</t>
  </si>
  <si>
    <t>ZENITH ROOFING SERVICES</t>
  </si>
  <si>
    <t>SO# 39002</t>
  </si>
  <si>
    <t xml:space="preserve">Customer Deposits </t>
  </si>
  <si>
    <t>Customer Deposits 36163</t>
  </si>
  <si>
    <t>Customer Deposits 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</si>
</sst>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rgb="FF262626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2" fillId="3" borderId="1" xfId="0" applyFont="1" applyFill="1" applyBorder="1"/>
    <xf numFmtId="0" fontId="3" fillId="0" borderId="0" xfId="0" applyFont="1"/>
    <xf numFmtId="0" fontId="0" fillId="4" borderId="1" xfId="0" applyFill="1" applyBorder="1"/>
    <xf numFmtId="0" fontId="2" fillId="5" borderId="1" xfId="0" applyFont="1" applyFill="1" applyBorder="1"/>
    <xf numFmtId="164" fontId="0" fillId="2" borderId="1" xfId="0" applyNumberFormat="1" applyFill="1" applyBorder="1"/>
    <xf numFmtId="2" fontId="0" fillId="2" borderId="1" xfId="0" applyNumberFormat="1" applyFill="1" applyBorder="1"/>
  </cellXfs>
  <cellStyles count="1">
    <cellStyle name="Normal" xfId="0" builtinId="0"/>
  </cellStyles>
  <dxfs count="1">
    <dxf>
      <fill>
        <patternFill patternType="solid">
          <fgColor rgb="FF70AD4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Customers206.xls" TargetMode="External"/><Relationship Id="rId2" Type="http://schemas.openxmlformats.org/officeDocument/2006/relationships/externalLinkPath" Target="file:///C:\Users\Admin\Downloads\Customers206.xls" TargetMode="External"/><Relationship Id="rId1" Type="http://schemas.openxmlformats.org/officeDocument/2006/relationships/externalLinkPath" Target="/Users/Admin/Downloads/Customers2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ustomers"/>
    </sheetNames>
    <sheetDataSet>
      <sheetData sheetId="0" refreshError="1">
        <row r="1">
          <cell r="A1" t="str">
            <v>Name</v>
          </cell>
          <cell r="B1" t="str">
            <v>Internal ID</v>
          </cell>
        </row>
        <row r="2">
          <cell r="A2" t="str">
            <v>001 Customer Deposits/Dummy Customer</v>
          </cell>
          <cell r="B2">
            <v>3308</v>
          </cell>
        </row>
        <row r="3">
          <cell r="A3" t="str">
            <v>7 HILLS FREDERICKSBURG, LLC</v>
          </cell>
          <cell r="B3">
            <v>2895</v>
          </cell>
        </row>
        <row r="4">
          <cell r="A4" t="str">
            <v>101 Glass, LLC.</v>
          </cell>
          <cell r="B4">
            <v>431</v>
          </cell>
        </row>
        <row r="5">
          <cell r="A5" t="str">
            <v>281 LODGING GROUP</v>
          </cell>
          <cell r="B5">
            <v>3009</v>
          </cell>
        </row>
        <row r="6">
          <cell r="A6" t="str">
            <v>335 8th Avenue</v>
          </cell>
          <cell r="B6">
            <v>3545</v>
          </cell>
        </row>
        <row r="7">
          <cell r="A7" t="str">
            <v>1446 Main Nephi, LLC.</v>
          </cell>
          <cell r="B7">
            <v>3294</v>
          </cell>
        </row>
        <row r="8">
          <cell r="A8" t="str">
            <v>A+ Floors 4U</v>
          </cell>
          <cell r="B8">
            <v>2715</v>
          </cell>
        </row>
        <row r="9">
          <cell r="A9" t="str">
            <v>A-1 Clackamas LLC</v>
          </cell>
          <cell r="B9">
            <v>1721</v>
          </cell>
        </row>
        <row r="10">
          <cell r="A10" t="str">
            <v>A-1 Hospitality Group</v>
          </cell>
          <cell r="B10">
            <v>2696</v>
          </cell>
        </row>
        <row r="11">
          <cell r="A11" t="str">
            <v>A.L. Post, Inc.</v>
          </cell>
          <cell r="B11">
            <v>2958</v>
          </cell>
        </row>
        <row r="12">
          <cell r="A12" t="str">
            <v>A1 Hospitality</v>
          </cell>
          <cell r="B12">
            <v>432</v>
          </cell>
        </row>
        <row r="13">
          <cell r="A13" t="str">
            <v>AAA Hospitality - Embassy Suites Las Colinas TX</v>
          </cell>
          <cell r="B13">
            <v>3309</v>
          </cell>
        </row>
        <row r="14">
          <cell r="A14" t="str">
            <v>AAA Hotel Company</v>
          </cell>
          <cell r="B14">
            <v>433</v>
          </cell>
        </row>
        <row r="15">
          <cell r="A15" t="str">
            <v>AAA Hotel Company/ Home2Suties Springdale OH</v>
          </cell>
          <cell r="B15">
            <v>2164</v>
          </cell>
        </row>
        <row r="16">
          <cell r="A16" t="str">
            <v>AAA Hotel Management, Inc.</v>
          </cell>
          <cell r="B16">
            <v>3310</v>
          </cell>
        </row>
        <row r="17">
          <cell r="A17" t="str">
            <v>AAA Hotel Management, LLC</v>
          </cell>
          <cell r="B17">
            <v>2380</v>
          </cell>
        </row>
        <row r="18">
          <cell r="A18" t="str">
            <v>AB hotels</v>
          </cell>
          <cell r="B18">
            <v>2549</v>
          </cell>
        </row>
        <row r="19">
          <cell r="A19" t="str">
            <v>Abercrombie Custom Homes, L.P.</v>
          </cell>
          <cell r="B19">
            <v>434</v>
          </cell>
        </row>
        <row r="20">
          <cell r="A20" t="str">
            <v>AC Denver</v>
          </cell>
          <cell r="B20">
            <v>2403</v>
          </cell>
        </row>
        <row r="21">
          <cell r="A21" t="str">
            <v>ACK Enterprises Limited</v>
          </cell>
          <cell r="B21">
            <v>435</v>
          </cell>
        </row>
        <row r="22">
          <cell r="A22" t="str">
            <v>Acoya South Bay</v>
          </cell>
          <cell r="B22">
            <v>3536</v>
          </cell>
        </row>
        <row r="23">
          <cell r="A23" t="str">
            <v>ACS Flooring Group Inc.</v>
          </cell>
          <cell r="B23">
            <v>436</v>
          </cell>
        </row>
        <row r="24">
          <cell r="A24" t="str">
            <v>Adam  Rowland</v>
          </cell>
          <cell r="B24">
            <v>2967</v>
          </cell>
        </row>
        <row r="25">
          <cell r="A25" t="str">
            <v>Adanac Builders</v>
          </cell>
          <cell r="B25">
            <v>437</v>
          </cell>
        </row>
        <row r="26">
          <cell r="A26" t="str">
            <v>Aelius Management Group</v>
          </cell>
          <cell r="B26">
            <v>438</v>
          </cell>
        </row>
        <row r="27">
          <cell r="A27" t="str">
            <v>Aesthetic Avenue Inc</v>
          </cell>
          <cell r="B27">
            <v>439</v>
          </cell>
        </row>
        <row r="28">
          <cell r="A28" t="str">
            <v>AFP  108 Corp.</v>
          </cell>
          <cell r="B28">
            <v>3510</v>
          </cell>
        </row>
        <row r="29">
          <cell r="A29" t="str">
            <v>AFP 103 Corp</v>
          </cell>
          <cell r="B29">
            <v>440</v>
          </cell>
        </row>
        <row r="30">
          <cell r="A30" t="str">
            <v>AFP 108 Corp.</v>
          </cell>
          <cell r="B30">
            <v>2601</v>
          </cell>
        </row>
        <row r="31">
          <cell r="A31" t="str">
            <v>Aimbridge Hospitality</v>
          </cell>
          <cell r="B31">
            <v>2671</v>
          </cell>
        </row>
        <row r="32">
          <cell r="A32" t="str">
            <v>Airsan Investments, LLC</v>
          </cell>
          <cell r="B32">
            <v>2566</v>
          </cell>
        </row>
        <row r="33">
          <cell r="A33" t="str">
            <v>AJA Investments LLC</v>
          </cell>
          <cell r="B33">
            <v>441</v>
          </cell>
        </row>
        <row r="34">
          <cell r="A34" t="str">
            <v>AJA Investments LLC/ Wyndham Lake Charles</v>
          </cell>
          <cell r="B34">
            <v>3553</v>
          </cell>
        </row>
        <row r="35">
          <cell r="A35" t="str">
            <v>Al Ross Custom Homes</v>
          </cell>
          <cell r="B35">
            <v>1695</v>
          </cell>
        </row>
        <row r="36">
          <cell r="A36" t="str">
            <v>Alare Hotels Inc.</v>
          </cell>
          <cell r="B36">
            <v>2982</v>
          </cell>
        </row>
        <row r="37">
          <cell r="A37" t="str">
            <v>All Clean Houston</v>
          </cell>
          <cell r="B37">
            <v>442</v>
          </cell>
        </row>
        <row r="38">
          <cell r="A38" t="str">
            <v>Almanzar Marte Ingenieros &amp; Arquitectos SRL</v>
          </cell>
          <cell r="B38">
            <v>2555</v>
          </cell>
        </row>
        <row r="39">
          <cell r="A39" t="str">
            <v>Alpha Remodeling</v>
          </cell>
          <cell r="B39">
            <v>2386</v>
          </cell>
        </row>
        <row r="40">
          <cell r="A40" t="str">
            <v>Altaf Maknojia</v>
          </cell>
          <cell r="B40">
            <v>737</v>
          </cell>
        </row>
        <row r="41">
          <cell r="A41" t="str">
            <v>Alvarado Hotels LLC/Cambria Albuquerque</v>
          </cell>
          <cell r="B41">
            <v>2633</v>
          </cell>
        </row>
        <row r="42">
          <cell r="A42" t="str">
            <v>Aman Dhillon_Stay Bridge - Manteca - CA</v>
          </cell>
          <cell r="B42">
            <v>2838</v>
          </cell>
        </row>
        <row r="43">
          <cell r="A43" t="str">
            <v>Aman Dhilon</v>
          </cell>
          <cell r="B43">
            <v>443</v>
          </cell>
        </row>
        <row r="44">
          <cell r="A44" t="str">
            <v>AMANDA WHATLEY DESIGNS</v>
          </cell>
          <cell r="B44">
            <v>2692</v>
          </cell>
        </row>
        <row r="45">
          <cell r="A45" t="str">
            <v>American Pride Hotel LLC</v>
          </cell>
          <cell r="B45">
            <v>444</v>
          </cell>
        </row>
        <row r="46">
          <cell r="A46" t="str">
            <v>American Stone Co of Texas LP</v>
          </cell>
          <cell r="B46">
            <v>2387</v>
          </cell>
        </row>
        <row r="47">
          <cell r="A47" t="str">
            <v>Amir Zegar</v>
          </cell>
          <cell r="B47">
            <v>445</v>
          </cell>
        </row>
        <row r="48">
          <cell r="A48" t="str">
            <v>Anar Construction Specialists LLC</v>
          </cell>
          <cell r="B48">
            <v>446</v>
          </cell>
        </row>
        <row r="49">
          <cell r="A49" t="str">
            <v>Andrea Wexler</v>
          </cell>
          <cell r="B49">
            <v>2598</v>
          </cell>
        </row>
        <row r="50">
          <cell r="A50" t="str">
            <v>Andrew Blatch</v>
          </cell>
          <cell r="B50">
            <v>447</v>
          </cell>
        </row>
        <row r="51">
          <cell r="A51" t="str">
            <v>Andrzej Bryja</v>
          </cell>
          <cell r="B51">
            <v>448</v>
          </cell>
        </row>
        <row r="52">
          <cell r="A52" t="str">
            <v>Angles Contractor, Inc.</v>
          </cell>
          <cell r="B52">
            <v>449</v>
          </cell>
        </row>
        <row r="53">
          <cell r="A53" t="str">
            <v>Angles Contractor, INC./Carlton Apartments</v>
          </cell>
          <cell r="B53">
            <v>3311</v>
          </cell>
        </row>
        <row r="54">
          <cell r="A54" t="str">
            <v>Anil Patidar</v>
          </cell>
          <cell r="B54">
            <v>738</v>
          </cell>
        </row>
        <row r="55">
          <cell r="A55" t="str">
            <v>Anish Hotels</v>
          </cell>
          <cell r="B55">
            <v>2583</v>
          </cell>
        </row>
        <row r="56">
          <cell r="A56" t="str">
            <v>Anish Patel</v>
          </cell>
          <cell r="B56">
            <v>2413</v>
          </cell>
        </row>
        <row r="57">
          <cell r="A57" t="str">
            <v>Anjali Construction</v>
          </cell>
          <cell r="B57">
            <v>450</v>
          </cell>
        </row>
        <row r="58">
          <cell r="A58" t="str">
            <v>Ann Arbor Inn &amp; Suites</v>
          </cell>
          <cell r="B58">
            <v>2463</v>
          </cell>
        </row>
        <row r="59">
          <cell r="A59" t="str">
            <v>Anne Hart</v>
          </cell>
          <cell r="B59">
            <v>3091</v>
          </cell>
        </row>
        <row r="60">
          <cell r="A60" t="str">
            <v>Anuj Chaudhry</v>
          </cell>
          <cell r="B60">
            <v>451</v>
          </cell>
        </row>
        <row r="61">
          <cell r="A61" t="str">
            <v>APD Construction</v>
          </cell>
          <cell r="B61">
            <v>1557</v>
          </cell>
        </row>
        <row r="62">
          <cell r="A62" t="str">
            <v>APD Construction - The Place</v>
          </cell>
          <cell r="B62">
            <v>3312</v>
          </cell>
        </row>
        <row r="63">
          <cell r="A63" t="str">
            <v>Apex Imaging Services</v>
          </cell>
          <cell r="B63">
            <v>452</v>
          </cell>
        </row>
        <row r="64">
          <cell r="A64" t="str">
            <v>Apex Imaging Services</v>
          </cell>
          <cell r="B64">
            <v>2194</v>
          </cell>
        </row>
        <row r="65">
          <cell r="A65" t="str">
            <v>Apolonio (POLO) Montoya Maldonado(5311)</v>
          </cell>
          <cell r="B65">
            <v>2688</v>
          </cell>
        </row>
        <row r="66">
          <cell r="A66" t="str">
            <v>Apple Investments LLC</v>
          </cell>
          <cell r="B66">
            <v>453</v>
          </cell>
        </row>
        <row r="67">
          <cell r="A67" t="str">
            <v>Aquaterra Outdoors</v>
          </cell>
          <cell r="B67">
            <v>454</v>
          </cell>
        </row>
        <row r="68">
          <cell r="A68" t="str">
            <v>Arbor Hotel and Conference Center</v>
          </cell>
          <cell r="B68">
            <v>455</v>
          </cell>
        </row>
        <row r="69">
          <cell r="A69" t="str">
            <v>Architectural Floors</v>
          </cell>
          <cell r="B69">
            <v>456</v>
          </cell>
        </row>
        <row r="70">
          <cell r="A70" t="str">
            <v>Architectural Surfaces Inc.</v>
          </cell>
          <cell r="B70">
            <v>2161</v>
          </cell>
        </row>
        <row r="71">
          <cell r="A71" t="str">
            <v>Arciero &amp; Sons</v>
          </cell>
          <cell r="B71">
            <v>457</v>
          </cell>
        </row>
        <row r="72">
          <cell r="A72" t="str">
            <v>Arjun Demla</v>
          </cell>
          <cell r="B72">
            <v>458</v>
          </cell>
        </row>
        <row r="73">
          <cell r="A73" t="str">
            <v>Ascent Home2 Montgomery</v>
          </cell>
          <cell r="B73">
            <v>2571</v>
          </cell>
        </row>
        <row r="74">
          <cell r="A74" t="str">
            <v>Ascent Hospitality - home2 gulfport</v>
          </cell>
          <cell r="B74">
            <v>3118</v>
          </cell>
        </row>
        <row r="75">
          <cell r="A75" t="str">
            <v>Ascent hospitality AC Element Birmingham AL</v>
          </cell>
          <cell r="B75">
            <v>2666</v>
          </cell>
        </row>
        <row r="76">
          <cell r="A76" t="str">
            <v>Ascent Hospitality Courtyard - Meridian, MS</v>
          </cell>
          <cell r="B76">
            <v>2670</v>
          </cell>
        </row>
        <row r="77">
          <cell r="A77" t="str">
            <v>Ascent Hospitality DoubleTree Montgomery, AL</v>
          </cell>
          <cell r="B77">
            <v>3159</v>
          </cell>
        </row>
        <row r="78">
          <cell r="A78" t="str">
            <v>Ascent Hospitality Element</v>
          </cell>
          <cell r="B78">
            <v>2703</v>
          </cell>
        </row>
        <row r="79">
          <cell r="A79" t="str">
            <v>Ascent Hospitality Element Carmel Indiana</v>
          </cell>
          <cell r="B79">
            <v>3314</v>
          </cell>
        </row>
        <row r="80">
          <cell r="A80" t="str">
            <v>Ascent Hospitality Hampton Inn &amp; Suites  Montgomery-South Airport,AL</v>
          </cell>
          <cell r="B80">
            <v>3315</v>
          </cell>
        </row>
        <row r="81">
          <cell r="A81" t="str">
            <v>Ascent Hospitality Home 2 Suites Fairburn GA</v>
          </cell>
          <cell r="B81">
            <v>2630</v>
          </cell>
        </row>
        <row r="82">
          <cell r="A82" t="str">
            <v>Ascent hospitality Home2 Suites Fairburn GA</v>
          </cell>
          <cell r="B82">
            <v>3316</v>
          </cell>
        </row>
        <row r="83">
          <cell r="A83" t="str">
            <v>Ascent hospitality Home2 West Lafayette IN</v>
          </cell>
          <cell r="B83">
            <v>3317</v>
          </cell>
        </row>
        <row r="84">
          <cell r="A84" t="str">
            <v>Ascent Hospitality Management Co</v>
          </cell>
          <cell r="B84">
            <v>459</v>
          </cell>
        </row>
        <row r="85">
          <cell r="A85" t="str">
            <v>Ascent Hospitality - Autograph Huntsville</v>
          </cell>
          <cell r="B85">
            <v>2622</v>
          </cell>
        </row>
        <row r="86">
          <cell r="A86" t="str">
            <v>Ascent hospitality Towneplace West Lafayette IN</v>
          </cell>
          <cell r="B86">
            <v>2705</v>
          </cell>
        </row>
        <row r="87">
          <cell r="A87" t="str">
            <v>Ascent hospitality Townplace Suites Fairburn IN</v>
          </cell>
          <cell r="B87">
            <v>2713</v>
          </cell>
        </row>
        <row r="88">
          <cell r="A88" t="str">
            <v>Ascent Hospitality Tribute Carmel Indiana</v>
          </cell>
          <cell r="B88">
            <v>2628</v>
          </cell>
        </row>
        <row r="89">
          <cell r="A89" t="str">
            <v>Ascent Hospitality- Autograph Huntsville</v>
          </cell>
          <cell r="B89">
            <v>3318</v>
          </cell>
        </row>
        <row r="90">
          <cell r="A90" t="str">
            <v>Ascent Hospitality- Autograph Montogmery</v>
          </cell>
          <cell r="B90">
            <v>2676</v>
          </cell>
        </row>
        <row r="91">
          <cell r="A91" t="str">
            <v>Ascent Hospitality/ Marriott Mobile AL</v>
          </cell>
          <cell r="B91">
            <v>2621</v>
          </cell>
        </row>
        <row r="92">
          <cell r="A92" t="str">
            <v>Ascent hospitality/Fairfield Inn &amp; Suites</v>
          </cell>
          <cell r="B92">
            <v>3319</v>
          </cell>
        </row>
        <row r="93">
          <cell r="A93" t="str">
            <v>Ascent Residence inn Montgomery</v>
          </cell>
          <cell r="B93">
            <v>3320</v>
          </cell>
        </row>
        <row r="94">
          <cell r="A94" t="str">
            <v>Ashita Patel</v>
          </cell>
          <cell r="B94">
            <v>460</v>
          </cell>
        </row>
        <row r="95">
          <cell r="A95" t="str">
            <v>Ashok Patel</v>
          </cell>
          <cell r="B95">
            <v>461</v>
          </cell>
        </row>
        <row r="96">
          <cell r="A96" t="str">
            <v>ASHWIN PATEL</v>
          </cell>
          <cell r="B96">
            <v>2440</v>
          </cell>
        </row>
        <row r="97">
          <cell r="A97" t="str">
            <v>Athena Hospitality Group</v>
          </cell>
          <cell r="B97">
            <v>462</v>
          </cell>
        </row>
        <row r="98">
          <cell r="A98" t="str">
            <v>Atlantic Hotels Group</v>
          </cell>
          <cell r="B98">
            <v>463</v>
          </cell>
        </row>
        <row r="99">
          <cell r="A99" t="str">
            <v>Atmosphere Commercial Interiors</v>
          </cell>
          <cell r="B99">
            <v>1576</v>
          </cell>
        </row>
        <row r="100">
          <cell r="A100" t="str">
            <v>Auburn Hospitality Group</v>
          </cell>
          <cell r="B100">
            <v>1548</v>
          </cell>
        </row>
        <row r="101">
          <cell r="A101" t="str">
            <v>Auburn Lodging LLC</v>
          </cell>
          <cell r="B101">
            <v>2577</v>
          </cell>
        </row>
        <row r="102">
          <cell r="A102" t="str">
            <v>Autograph Maya-PS</v>
          </cell>
          <cell r="B102">
            <v>464</v>
          </cell>
        </row>
        <row r="103">
          <cell r="A103" t="str">
            <v>AUTOGRAPH TRILOGY HUNTSVILLE AL</v>
          </cell>
          <cell r="B103">
            <v>3552</v>
          </cell>
        </row>
        <row r="104">
          <cell r="A104" t="str">
            <v>Avedesh Residence</v>
          </cell>
          <cell r="B104">
            <v>465</v>
          </cell>
        </row>
        <row r="105">
          <cell r="A105" t="str">
            <v>Avena, Inc.</v>
          </cell>
          <cell r="B105">
            <v>466</v>
          </cell>
        </row>
        <row r="106">
          <cell r="A106" t="str">
            <v>Avid Hotel</v>
          </cell>
          <cell r="B106">
            <v>2774</v>
          </cell>
        </row>
        <row r="107">
          <cell r="A107" t="str">
            <v>B.N.T. Tile, Inc.</v>
          </cell>
          <cell r="B107">
            <v>467</v>
          </cell>
        </row>
        <row r="108">
          <cell r="A108" t="str">
            <v>Baker Mitchell Co</v>
          </cell>
          <cell r="B108">
            <v>468</v>
          </cell>
        </row>
        <row r="109">
          <cell r="A109" t="str">
            <v>BAKERS TRADING</v>
          </cell>
          <cell r="B109">
            <v>3147</v>
          </cell>
        </row>
        <row r="110">
          <cell r="A110" t="str">
            <v>BAPS Development, Inc.</v>
          </cell>
          <cell r="B110">
            <v>469</v>
          </cell>
        </row>
        <row r="111">
          <cell r="A111" t="str">
            <v>Barefoot Concept Haven</v>
          </cell>
          <cell r="B111">
            <v>3242</v>
          </cell>
        </row>
        <row r="112">
          <cell r="A112" t="str">
            <v>Barry Design Studio</v>
          </cell>
          <cell r="B112">
            <v>3090</v>
          </cell>
        </row>
        <row r="113">
          <cell r="A113" t="str">
            <v>Bauart Construction</v>
          </cell>
          <cell r="B113">
            <v>2371</v>
          </cell>
        </row>
        <row r="114">
          <cell r="A114" t="str">
            <v>Baymont Inn &amp; Suites</v>
          </cell>
          <cell r="B114">
            <v>470</v>
          </cell>
        </row>
        <row r="115">
          <cell r="A115" t="str">
            <v>Baymont Inn &amp; suites by Wyndham</v>
          </cell>
          <cell r="B115">
            <v>2634</v>
          </cell>
        </row>
        <row r="116">
          <cell r="A116" t="str">
            <v>Bayou City Renovations</v>
          </cell>
          <cell r="B116">
            <v>2449</v>
          </cell>
        </row>
        <row r="117">
          <cell r="A117" t="str">
            <v>BDNT Concord Development LLC</v>
          </cell>
          <cell r="B117">
            <v>739</v>
          </cell>
        </row>
        <row r="118">
          <cell r="A118" t="str">
            <v>Berg Hospitality Group</v>
          </cell>
          <cell r="B118">
            <v>471</v>
          </cell>
        </row>
        <row r="119">
          <cell r="A119" t="str">
            <v>Bespoke Countertops</v>
          </cell>
          <cell r="B119">
            <v>3299</v>
          </cell>
        </row>
        <row r="120">
          <cell r="A120" t="str">
            <v>Best Western</v>
          </cell>
          <cell r="B120">
            <v>472</v>
          </cell>
        </row>
        <row r="121">
          <cell r="A121" t="str">
            <v>Best Western Premiere / Colorado Hospitality</v>
          </cell>
          <cell r="B121">
            <v>3548</v>
          </cell>
        </row>
        <row r="122">
          <cell r="A122" t="str">
            <v>Big Bear Flooring</v>
          </cell>
          <cell r="B122">
            <v>473</v>
          </cell>
        </row>
        <row r="123">
          <cell r="A123" t="str">
            <v>BLUE STAR INN - CHANNELVIEW TX</v>
          </cell>
          <cell r="B123">
            <v>2778</v>
          </cell>
        </row>
        <row r="124">
          <cell r="A124" t="str">
            <v>BMK Construction LLC</v>
          </cell>
          <cell r="B124">
            <v>474</v>
          </cell>
        </row>
        <row r="125">
          <cell r="A125" t="str">
            <v>Bobby Ooulette</v>
          </cell>
          <cell r="B125">
            <v>3173</v>
          </cell>
        </row>
        <row r="126">
          <cell r="A126" t="str">
            <v>Bodenvy Charleston Holdings, LLC</v>
          </cell>
          <cell r="B126">
            <v>3204</v>
          </cell>
        </row>
        <row r="127">
          <cell r="A127" t="str">
            <v>BodEnvy Orlando</v>
          </cell>
          <cell r="B127">
            <v>475</v>
          </cell>
        </row>
        <row r="128">
          <cell r="A128" t="str">
            <v>Body Harmony</v>
          </cell>
          <cell r="B128">
            <v>476</v>
          </cell>
        </row>
        <row r="129">
          <cell r="A129" t="str">
            <v>Body Harmony (Anthony Buck)</v>
          </cell>
          <cell r="B129">
            <v>3557</v>
          </cell>
        </row>
        <row r="130">
          <cell r="A130" t="str">
            <v>Bonick Landscaping</v>
          </cell>
          <cell r="B130">
            <v>477</v>
          </cell>
        </row>
        <row r="131">
          <cell r="A131" t="str">
            <v>Boot Stompin' LLC dba Yodeler Motel</v>
          </cell>
          <cell r="B131">
            <v>3190</v>
          </cell>
        </row>
        <row r="132">
          <cell r="A132" t="str">
            <v>Bowman Flooring Contractor</v>
          </cell>
          <cell r="B132">
            <v>478</v>
          </cell>
        </row>
        <row r="133">
          <cell r="A133" t="str">
            <v>Bradley Floor Covering</v>
          </cell>
          <cell r="B133">
            <v>479</v>
          </cell>
        </row>
        <row r="134">
          <cell r="A134" t="str">
            <v>Bridgerland Group</v>
          </cell>
          <cell r="B134">
            <v>2574</v>
          </cell>
        </row>
        <row r="135">
          <cell r="A135" t="str">
            <v>Brighter Vision Group, L.P.</v>
          </cell>
          <cell r="B135">
            <v>481</v>
          </cell>
        </row>
        <row r="136">
          <cell r="A136" t="str">
            <v>Brighter Vision Group, LP</v>
          </cell>
          <cell r="B136">
            <v>3321</v>
          </cell>
        </row>
        <row r="137">
          <cell r="A137" t="str">
            <v>Bristlecone Construction</v>
          </cell>
          <cell r="B137">
            <v>1714</v>
          </cell>
        </row>
        <row r="138">
          <cell r="A138" t="str">
            <v>Brito Properties</v>
          </cell>
          <cell r="B138">
            <v>482</v>
          </cell>
        </row>
        <row r="139">
          <cell r="A139" t="str">
            <v>Budget Inn</v>
          </cell>
          <cell r="B139">
            <v>483</v>
          </cell>
        </row>
        <row r="140">
          <cell r="A140" t="str">
            <v>Builders Carpet &amp; Design Center, Inc. dba Goodwyn Flooring Companies</v>
          </cell>
          <cell r="B140">
            <v>2908</v>
          </cell>
        </row>
        <row r="141">
          <cell r="A141" t="str">
            <v>Business Floor Solutions</v>
          </cell>
          <cell r="B141">
            <v>484</v>
          </cell>
        </row>
        <row r="142">
          <cell r="A142" t="str">
            <v>Business Flooring Specialists</v>
          </cell>
          <cell r="B142">
            <v>485</v>
          </cell>
        </row>
        <row r="143">
          <cell r="A143" t="str">
            <v>BW Plus</v>
          </cell>
          <cell r="B143">
            <v>2298</v>
          </cell>
        </row>
        <row r="144">
          <cell r="A144" t="str">
            <v>C Side Decorating Inc</v>
          </cell>
          <cell r="B144">
            <v>486</v>
          </cell>
        </row>
        <row r="145">
          <cell r="A145" t="str">
            <v>C2 Flooring, LLC</v>
          </cell>
          <cell r="B145">
            <v>3200</v>
          </cell>
        </row>
        <row r="146">
          <cell r="A146" t="str">
            <v>Cadence MC Shane Construction CO. LLC</v>
          </cell>
          <cell r="B146">
            <v>2837</v>
          </cell>
        </row>
        <row r="147">
          <cell r="A147" t="str">
            <v>Camarata Masonry Systems</v>
          </cell>
          <cell r="B147">
            <v>487</v>
          </cell>
        </row>
        <row r="148">
          <cell r="A148" t="str">
            <v>Cambria Hotel</v>
          </cell>
          <cell r="B148">
            <v>488</v>
          </cell>
        </row>
        <row r="149">
          <cell r="A149" t="str">
            <v>CAMBRIA NASHVILLE</v>
          </cell>
          <cell r="B149">
            <v>3322</v>
          </cell>
        </row>
        <row r="150">
          <cell r="A150" t="str">
            <v>CANDLEWOOD - PERRYSBERG</v>
          </cell>
          <cell r="B150">
            <v>3546</v>
          </cell>
        </row>
        <row r="151">
          <cell r="A151" t="str">
            <v>CANDLEWOOD EASTRIDGE TN</v>
          </cell>
          <cell r="B151">
            <v>3323</v>
          </cell>
        </row>
        <row r="152">
          <cell r="A152" t="str">
            <v>CANDLEWOOD LAFAYETTE</v>
          </cell>
          <cell r="B152">
            <v>3409</v>
          </cell>
        </row>
        <row r="153">
          <cell r="A153" t="str">
            <v>Candlewood Suites</v>
          </cell>
          <cell r="B153">
            <v>489</v>
          </cell>
        </row>
        <row r="154">
          <cell r="A154" t="str">
            <v>Candlewood Suites -Columbus,Oh-Kautilya group</v>
          </cell>
          <cell r="B154">
            <v>3324</v>
          </cell>
        </row>
        <row r="155">
          <cell r="A155" t="str">
            <v>Cantilever INC</v>
          </cell>
          <cell r="B155">
            <v>2309</v>
          </cell>
        </row>
        <row r="156">
          <cell r="A156" t="str">
            <v>Capital Commercial Flooring, Inc.</v>
          </cell>
          <cell r="B156">
            <v>1552</v>
          </cell>
        </row>
        <row r="157">
          <cell r="A157" t="str">
            <v>CAPITOL HOTEL NASHVILLE/Dan</v>
          </cell>
          <cell r="B157">
            <v>3528</v>
          </cell>
        </row>
        <row r="158">
          <cell r="A158" t="str">
            <v>Carpet Planet LLC</v>
          </cell>
          <cell r="B158">
            <v>490</v>
          </cell>
        </row>
        <row r="159">
          <cell r="A159" t="str">
            <v>Carpet Service International, Inc</v>
          </cell>
          <cell r="B159">
            <v>491</v>
          </cell>
        </row>
        <row r="160">
          <cell r="A160" t="str">
            <v>Casablanca Suites</v>
          </cell>
          <cell r="B160">
            <v>2421</v>
          </cell>
        </row>
        <row r="161">
          <cell r="A161" t="str">
            <v>CBG Building Company</v>
          </cell>
          <cell r="B161">
            <v>492</v>
          </cell>
        </row>
        <row r="162">
          <cell r="A162" t="str">
            <v>CCMH Metro Center LLC</v>
          </cell>
          <cell r="B162">
            <v>3538</v>
          </cell>
        </row>
        <row r="163">
          <cell r="A163" t="str">
            <v>CHAMPION SUPPLY LLC</v>
          </cell>
          <cell r="B163">
            <v>2754</v>
          </cell>
        </row>
        <row r="164">
          <cell r="A164" t="str">
            <v>Chesterfield Hospitality, Inc.</v>
          </cell>
          <cell r="B164">
            <v>1558</v>
          </cell>
        </row>
        <row r="165">
          <cell r="A165" t="str">
            <v>Chillis</v>
          </cell>
          <cell r="B165">
            <v>2625</v>
          </cell>
        </row>
        <row r="166">
          <cell r="A166" t="str">
            <v>Chirag Patel</v>
          </cell>
          <cell r="B166">
            <v>2968</v>
          </cell>
        </row>
        <row r="167">
          <cell r="A167" t="str">
            <v>Chrisbro LLC</v>
          </cell>
          <cell r="B167">
            <v>493</v>
          </cell>
        </row>
        <row r="168">
          <cell r="A168" t="str">
            <v>CIVE</v>
          </cell>
          <cell r="B168">
            <v>740</v>
          </cell>
        </row>
        <row r="169">
          <cell r="A169" t="str">
            <v>Clarion Point Marshall</v>
          </cell>
          <cell r="B169">
            <v>494</v>
          </cell>
        </row>
        <row r="170">
          <cell r="A170" t="str">
            <v>Classic American Homes &amp; Renovations</v>
          </cell>
          <cell r="B170">
            <v>2708</v>
          </cell>
        </row>
        <row r="171">
          <cell r="A171" t="str">
            <v>CMC SUPPLY, INC</v>
          </cell>
          <cell r="B171">
            <v>3248</v>
          </cell>
        </row>
        <row r="172">
          <cell r="A172" t="str">
            <v>Colorado Hospitality Services, Inc.</v>
          </cell>
          <cell r="B172">
            <v>1699</v>
          </cell>
        </row>
        <row r="173">
          <cell r="A173" t="str">
            <v>Comfort Inn &amp; Suites - Claremore</v>
          </cell>
          <cell r="B173">
            <v>2518</v>
          </cell>
        </row>
        <row r="174">
          <cell r="A174" t="str">
            <v>Om Sairam Hospitality Inc.</v>
          </cell>
          <cell r="B174">
            <v>2528</v>
          </cell>
        </row>
        <row r="175">
          <cell r="A175" t="str">
            <v>Comfort Inn &amp; Suites - CO283</v>
          </cell>
          <cell r="B175">
            <v>2952</v>
          </cell>
        </row>
        <row r="176">
          <cell r="A176" t="str">
            <v>Comfort Inn &amp; Suites - PA680</v>
          </cell>
          <cell r="B176">
            <v>3072</v>
          </cell>
        </row>
        <row r="177">
          <cell r="A177" t="str">
            <v>Comfort Inn &amp; Suites - SC 768</v>
          </cell>
          <cell r="B177">
            <v>3105</v>
          </cell>
        </row>
        <row r="178">
          <cell r="A178" t="str">
            <v>Comfort Inn &amp; Suites Kingsport - TN246</v>
          </cell>
          <cell r="B178">
            <v>2790</v>
          </cell>
        </row>
        <row r="179">
          <cell r="A179" t="str">
            <v>Comfort Inn &amp; Suites, Durham NC</v>
          </cell>
          <cell r="B179">
            <v>3115</v>
          </cell>
        </row>
        <row r="180">
          <cell r="A180" t="str">
            <v>Comfort Inn - Lafayette LA</v>
          </cell>
          <cell r="B180">
            <v>2366</v>
          </cell>
        </row>
        <row r="181">
          <cell r="A181" t="str">
            <v>Comfort Inn - Martinsburg WV</v>
          </cell>
          <cell r="B181">
            <v>2365</v>
          </cell>
        </row>
        <row r="182">
          <cell r="A182" t="str">
            <v>Comfort Inn and Suites - ND133</v>
          </cell>
          <cell r="B182">
            <v>2993</v>
          </cell>
        </row>
        <row r="183">
          <cell r="A183" t="str">
            <v>Comfort Inn and Suites - WI410</v>
          </cell>
          <cell r="B183">
            <v>3006</v>
          </cell>
        </row>
        <row r="184">
          <cell r="A184" t="str">
            <v>Comfort Inn and Suites -TX917</v>
          </cell>
          <cell r="B184">
            <v>2851</v>
          </cell>
        </row>
        <row r="185">
          <cell r="A185" t="str">
            <v>Comfort Inn Milford, MA</v>
          </cell>
          <cell r="B185">
            <v>3260</v>
          </cell>
        </row>
        <row r="186">
          <cell r="A186" t="str">
            <v>Comfort inn Princeton</v>
          </cell>
          <cell r="B186">
            <v>2480</v>
          </cell>
        </row>
        <row r="187">
          <cell r="A187" t="str">
            <v>Comfort Inn Rocklin - CAE08</v>
          </cell>
          <cell r="B187">
            <v>3205</v>
          </cell>
        </row>
        <row r="188">
          <cell r="A188" t="str">
            <v>Comfort Inn Suites</v>
          </cell>
          <cell r="B188">
            <v>2655</v>
          </cell>
        </row>
        <row r="189">
          <cell r="A189" t="str">
            <v>Comfort Inn, Rebrand, Princeton IL</v>
          </cell>
          <cell r="B189">
            <v>3325</v>
          </cell>
        </row>
        <row r="190">
          <cell r="A190" t="str">
            <v>Comfort Suites Gastonia - Charlotte</v>
          </cell>
          <cell r="B190">
            <v>2777</v>
          </cell>
        </row>
        <row r="191">
          <cell r="A191" t="str">
            <v>Comfort Suites NC330</v>
          </cell>
          <cell r="B191">
            <v>2640</v>
          </cell>
        </row>
        <row r="192">
          <cell r="A192" t="str">
            <v>Construction Project Pros</v>
          </cell>
          <cell r="B192">
            <v>2812</v>
          </cell>
        </row>
        <row r="193">
          <cell r="A193" t="str">
            <v>Contempo Builder LLC</v>
          </cell>
          <cell r="B193">
            <v>496</v>
          </cell>
        </row>
        <row r="194">
          <cell r="A194" t="str">
            <v>CONTEMPO builders</v>
          </cell>
          <cell r="B194">
            <v>2456</v>
          </cell>
        </row>
        <row r="195">
          <cell r="A195" t="str">
            <v>Continental Inns of America</v>
          </cell>
          <cell r="B195">
            <v>497</v>
          </cell>
        </row>
        <row r="196">
          <cell r="A196" t="str">
            <v>Continental Inns of America La Q</v>
          </cell>
          <cell r="B196">
            <v>3509</v>
          </cell>
        </row>
        <row r="197">
          <cell r="A197" t="str">
            <v>Continental Inns of America La Quinta Inn</v>
          </cell>
          <cell r="B197">
            <v>3153</v>
          </cell>
        </row>
        <row r="198">
          <cell r="A198" t="str">
            <v>Contour Bar LLC</v>
          </cell>
          <cell r="B198">
            <v>2680</v>
          </cell>
        </row>
        <row r="199">
          <cell r="A199" t="str">
            <v>Contractors Tiles Plus</v>
          </cell>
          <cell r="B199">
            <v>498</v>
          </cell>
        </row>
        <row r="200">
          <cell r="A200" t="str">
            <v>CORNER STONE FLOORING COMPANIES</v>
          </cell>
          <cell r="B200">
            <v>3533</v>
          </cell>
        </row>
        <row r="201">
          <cell r="A201" t="str">
            <v>Country Inn Coeur d'Alene</v>
          </cell>
          <cell r="B201">
            <v>3249</v>
          </cell>
        </row>
        <row r="202">
          <cell r="A202" t="str">
            <v>Courtyard Denver Stadium</v>
          </cell>
          <cell r="B202">
            <v>1937</v>
          </cell>
        </row>
        <row r="203">
          <cell r="A203" t="str">
            <v>Courtyard Navy Yard, Philadelphia</v>
          </cell>
          <cell r="B203">
            <v>3532</v>
          </cell>
        </row>
        <row r="204">
          <cell r="A204" t="str">
            <v>COURTYARD STAMFORD, CT</v>
          </cell>
          <cell r="B204">
            <v>2869</v>
          </cell>
        </row>
        <row r="205">
          <cell r="A205" t="str">
            <v>Coury Hospitality</v>
          </cell>
          <cell r="B205">
            <v>499</v>
          </cell>
        </row>
        <row r="206">
          <cell r="A206" t="str">
            <v>COURY HOSPITALITY (TRIBUTE SEAHAUS)</v>
          </cell>
          <cell r="B206">
            <v>3326</v>
          </cell>
        </row>
        <row r="207">
          <cell r="A207" t="str">
            <v>Coury Hospitality (Tribute Sehaus)</v>
          </cell>
          <cell r="B207">
            <v>2651</v>
          </cell>
        </row>
        <row r="208">
          <cell r="A208" t="str">
            <v>Cox Fine Floors</v>
          </cell>
          <cell r="B208">
            <v>500</v>
          </cell>
        </row>
        <row r="209">
          <cell r="A209" t="str">
            <v>Coyote Valley Casinos</v>
          </cell>
          <cell r="B209">
            <v>501</v>
          </cell>
        </row>
        <row r="210">
          <cell r="A210" t="str">
            <v>CPNA Management &amp; Services Inc.</v>
          </cell>
          <cell r="B210">
            <v>502</v>
          </cell>
        </row>
        <row r="211">
          <cell r="A211" t="str">
            <v>Crestview Homes LLC</v>
          </cell>
          <cell r="B211">
            <v>2624</v>
          </cell>
        </row>
        <row r="212">
          <cell r="A212" t="str">
            <v>CTS Construction</v>
          </cell>
          <cell r="B212">
            <v>3262</v>
          </cell>
        </row>
        <row r="213">
          <cell r="A213" t="str">
            <v>CWB Management</v>
          </cell>
          <cell r="B213">
            <v>3000</v>
          </cell>
        </row>
        <row r="214">
          <cell r="A214" t="str">
            <v>Dale Giardina</v>
          </cell>
          <cell r="B214">
            <v>3267</v>
          </cell>
        </row>
        <row r="215">
          <cell r="A215" t="str">
            <v>Daniel Van Dyke Construction Inc</v>
          </cell>
          <cell r="B215">
            <v>3327</v>
          </cell>
        </row>
        <row r="216">
          <cell r="A216" t="str">
            <v>Daniel Van Dyke Construction Inc.</v>
          </cell>
          <cell r="B216">
            <v>503</v>
          </cell>
        </row>
        <row r="217">
          <cell r="A217" t="str">
            <v>Dannini Jewelry Store</v>
          </cell>
          <cell r="B217">
            <v>504</v>
          </cell>
        </row>
        <row r="218">
          <cell r="A218" t="str">
            <v>Daren R Snider Construction</v>
          </cell>
          <cell r="B218">
            <v>3328</v>
          </cell>
        </row>
        <row r="219">
          <cell r="A219" t="str">
            <v>Daren Snider Construction</v>
          </cell>
          <cell r="B219">
            <v>505</v>
          </cell>
        </row>
        <row r="220">
          <cell r="A220" t="str">
            <v>Darien Heights Residences</v>
          </cell>
          <cell r="B220">
            <v>506</v>
          </cell>
        </row>
        <row r="221">
          <cell r="A221" t="str">
            <v>Davaco - Chili's</v>
          </cell>
          <cell r="B221">
            <v>2047</v>
          </cell>
        </row>
        <row r="222">
          <cell r="A222" t="str">
            <v>Davaco - Chilies Restroom remodel Woodlands. TX</v>
          </cell>
          <cell r="B222">
            <v>3568</v>
          </cell>
        </row>
        <row r="223">
          <cell r="A223" t="str">
            <v>David and Lindsey Drost</v>
          </cell>
          <cell r="B223">
            <v>2591</v>
          </cell>
        </row>
        <row r="224">
          <cell r="A224" t="str">
            <v>Days Inn and Suites</v>
          </cell>
          <cell r="B224">
            <v>507</v>
          </cell>
        </row>
        <row r="225">
          <cell r="A225" t="str">
            <v>Days Inn in Georgetown</v>
          </cell>
          <cell r="B225">
            <v>2441</v>
          </cell>
        </row>
        <row r="226">
          <cell r="A226" t="str">
            <v>DBG Investments</v>
          </cell>
          <cell r="B226">
            <v>508</v>
          </cell>
        </row>
        <row r="227">
          <cell r="A227" t="str">
            <v>DCO Commercial Floors</v>
          </cell>
          <cell r="B227">
            <v>509</v>
          </cell>
        </row>
        <row r="228">
          <cell r="A228" t="str">
            <v>DD&amp;B Construction Inc.</v>
          </cell>
          <cell r="B228">
            <v>510</v>
          </cell>
        </row>
        <row r="229">
          <cell r="A229" t="str">
            <v>De Novo Hospitality LLC</v>
          </cell>
          <cell r="B229">
            <v>511</v>
          </cell>
        </row>
        <row r="230">
          <cell r="A230" t="str">
            <v>Deazly Inc.</v>
          </cell>
          <cell r="B230">
            <v>512</v>
          </cell>
        </row>
        <row r="231">
          <cell r="A231" t="str">
            <v>Del Rio Hotel Partners LLC</v>
          </cell>
          <cell r="B231">
            <v>513</v>
          </cell>
        </row>
        <row r="232">
          <cell r="A232" t="str">
            <v>Denali Y Construction</v>
          </cell>
          <cell r="B232">
            <v>2855</v>
          </cell>
        </row>
        <row r="233">
          <cell r="A233" t="str">
            <v>Dennis Conway</v>
          </cell>
          <cell r="B233">
            <v>3085</v>
          </cell>
        </row>
        <row r="234">
          <cell r="A234" t="str">
            <v>Design Construction</v>
          </cell>
          <cell r="B234">
            <v>2848</v>
          </cell>
        </row>
        <row r="235">
          <cell r="A235" t="str">
            <v>Designer Stone Center Inc</v>
          </cell>
          <cell r="B235">
            <v>514</v>
          </cell>
        </row>
        <row r="236">
          <cell r="A236" t="str">
            <v>Destiny Porter</v>
          </cell>
          <cell r="B236">
            <v>2318</v>
          </cell>
        </row>
        <row r="237">
          <cell r="A237" t="str">
            <v>Deven Bhakta - Port Aransas Home</v>
          </cell>
          <cell r="B237">
            <v>515</v>
          </cell>
        </row>
        <row r="238">
          <cell r="A238" t="str">
            <v>Devkrupa Hospitality Inc.</v>
          </cell>
          <cell r="B238">
            <v>516</v>
          </cell>
        </row>
        <row r="239">
          <cell r="A239" t="str">
            <v>DFW Joseph Investments LLC</v>
          </cell>
          <cell r="B239">
            <v>1708</v>
          </cell>
        </row>
        <row r="240">
          <cell r="A240" t="str">
            <v>DHospitality</v>
          </cell>
          <cell r="B240">
            <v>517</v>
          </cell>
        </row>
        <row r="241">
          <cell r="A241" t="str">
            <v>Diboll Inn &amp; Suites</v>
          </cell>
          <cell r="B241">
            <v>2973</v>
          </cell>
        </row>
        <row r="242">
          <cell r="A242" t="str">
            <v>Dick Anderson Construction</v>
          </cell>
          <cell r="B242">
            <v>2694</v>
          </cell>
        </row>
        <row r="243">
          <cell r="A243" t="str">
            <v>Didier Nader</v>
          </cell>
          <cell r="B243">
            <v>3565</v>
          </cell>
        </row>
        <row r="244">
          <cell r="A244" t="str">
            <v>Dipak Patel</v>
          </cell>
          <cell r="B244">
            <v>518</v>
          </cell>
        </row>
        <row r="245">
          <cell r="A245" t="str">
            <v>Direct Natural Stones</v>
          </cell>
          <cell r="B245">
            <v>519</v>
          </cell>
        </row>
        <row r="246">
          <cell r="A246" t="str">
            <v>Dobbins Floor Coverings Inc</v>
          </cell>
          <cell r="B246">
            <v>2697</v>
          </cell>
        </row>
        <row r="247">
          <cell r="A247" t="str">
            <v>Doors Development</v>
          </cell>
          <cell r="B247">
            <v>520</v>
          </cell>
        </row>
        <row r="248">
          <cell r="A248" t="str">
            <v>Double tree</v>
          </cell>
          <cell r="B248">
            <v>2329</v>
          </cell>
        </row>
        <row r="249">
          <cell r="A249" t="str">
            <v>Dowland Tile &amp; Stone</v>
          </cell>
          <cell r="B249">
            <v>521</v>
          </cell>
        </row>
        <row r="250">
          <cell r="A250" t="str">
            <v>Dowling Architects, P.C.</v>
          </cell>
          <cell r="B250">
            <v>3017</v>
          </cell>
        </row>
        <row r="251">
          <cell r="A251" t="str">
            <v>Dragonfly Hospitality LLC</v>
          </cell>
          <cell r="B251">
            <v>522</v>
          </cell>
        </row>
        <row r="252">
          <cell r="A252" t="str">
            <v>Drake Restuarant</v>
          </cell>
          <cell r="B252">
            <v>3066</v>
          </cell>
        </row>
        <row r="253">
          <cell r="A253" t="str">
            <v>Dwayne Clark</v>
          </cell>
          <cell r="B253">
            <v>523</v>
          </cell>
        </row>
        <row r="254">
          <cell r="A254" t="str">
            <v>E&amp;S Flooring LLC</v>
          </cell>
          <cell r="B254">
            <v>524</v>
          </cell>
        </row>
        <row r="255">
          <cell r="A255" t="str">
            <v>E2I Solutions</v>
          </cell>
          <cell r="B255">
            <v>525</v>
          </cell>
        </row>
        <row r="256">
          <cell r="A256" t="str">
            <v>ECHO SUITES  /MCP Development, Inc</v>
          </cell>
          <cell r="B256">
            <v>3329</v>
          </cell>
        </row>
        <row r="257">
          <cell r="A257" t="str">
            <v>Econo Lodge Augusta GA</v>
          </cell>
          <cell r="B257">
            <v>526</v>
          </cell>
        </row>
        <row r="258">
          <cell r="A258" t="str">
            <v>Eklektik Interiors</v>
          </cell>
          <cell r="B258">
            <v>527</v>
          </cell>
        </row>
        <row r="259">
          <cell r="A259" t="str">
            <v>Elegant lotus LLC</v>
          </cell>
          <cell r="B259">
            <v>2796</v>
          </cell>
        </row>
        <row r="260">
          <cell r="A260" t="str">
            <v>Element Forthsmith</v>
          </cell>
          <cell r="B260">
            <v>528</v>
          </cell>
        </row>
        <row r="261">
          <cell r="A261" t="str">
            <v>ELEMENT FORTSMITH, ARKANSAS</v>
          </cell>
          <cell r="B261">
            <v>3330</v>
          </cell>
        </row>
        <row r="262">
          <cell r="A262" t="str">
            <v>Element Opelika</v>
          </cell>
          <cell r="B262">
            <v>2484</v>
          </cell>
        </row>
        <row r="263">
          <cell r="A263" t="str">
            <v>Elevate QOF, LLC</v>
          </cell>
          <cell r="B263">
            <v>529</v>
          </cell>
        </row>
        <row r="264">
          <cell r="A264" t="str">
            <v>Elite Contracting LLC</v>
          </cell>
          <cell r="B264">
            <v>3099</v>
          </cell>
        </row>
        <row r="265">
          <cell r="A265" t="str">
            <v>Ellis Island Hotel</v>
          </cell>
          <cell r="B265">
            <v>3034</v>
          </cell>
        </row>
        <row r="266">
          <cell r="A266" t="str">
            <v>Estrada Flooring Inc</v>
          </cell>
          <cell r="B266">
            <v>530</v>
          </cell>
        </row>
        <row r="267">
          <cell r="A267" t="str">
            <v>EVCO Development</v>
          </cell>
          <cell r="B267">
            <v>2849</v>
          </cell>
        </row>
        <row r="268">
          <cell r="A268" t="str">
            <v>Ewan Dinsdale</v>
          </cell>
          <cell r="B268">
            <v>531</v>
          </cell>
        </row>
        <row r="269">
          <cell r="A269" t="str">
            <v>Executive Hospitality</v>
          </cell>
          <cell r="B269">
            <v>1709</v>
          </cell>
        </row>
        <row r="270">
          <cell r="A270" t="str">
            <v>EXPOSED DESIGN GROUP</v>
          </cell>
          <cell r="B270">
            <v>3537</v>
          </cell>
        </row>
        <row r="271">
          <cell r="A271" t="str">
            <v>Faber Trade LLC</v>
          </cell>
          <cell r="B271">
            <v>532</v>
          </cell>
        </row>
        <row r="272">
          <cell r="A272" t="str">
            <v>Fabulous Floors</v>
          </cell>
          <cell r="B272">
            <v>533</v>
          </cell>
        </row>
        <row r="273">
          <cell r="A273" t="str">
            <v>Fairfield - Denver</v>
          </cell>
          <cell r="B273">
            <v>2363</v>
          </cell>
        </row>
        <row r="274">
          <cell r="A274" t="str">
            <v>Fairfield Denver</v>
          </cell>
          <cell r="B274">
            <v>3331</v>
          </cell>
        </row>
        <row r="275">
          <cell r="A275" t="str">
            <v>Fairfield Inn &amp; Suites</v>
          </cell>
          <cell r="B275">
            <v>534</v>
          </cell>
        </row>
        <row r="276">
          <cell r="A276" t="str">
            <v>Fairfield Inn - Gadsden AL</v>
          </cell>
          <cell r="B276">
            <v>2364</v>
          </cell>
        </row>
        <row r="277">
          <cell r="A277" t="str">
            <v>Fairfield Inn - Indianapolis</v>
          </cell>
          <cell r="B277">
            <v>3549</v>
          </cell>
        </row>
        <row r="278">
          <cell r="A278" t="str">
            <v>Fairfield Inn - Jeffersonville, OH</v>
          </cell>
          <cell r="B278">
            <v>3332</v>
          </cell>
        </row>
        <row r="279">
          <cell r="A279" t="str">
            <v>Fairfield Inn Gadsden AL</v>
          </cell>
          <cell r="B279">
            <v>3333</v>
          </cell>
        </row>
        <row r="280">
          <cell r="A280" t="str">
            <v>Fairfield Inn GV HEADQUARTERS, HOUSTON</v>
          </cell>
          <cell r="B280">
            <v>3334</v>
          </cell>
        </row>
        <row r="281">
          <cell r="A281" t="str">
            <v>Fairfield Townplace East Hartford</v>
          </cell>
          <cell r="B281">
            <v>3335</v>
          </cell>
        </row>
        <row r="282">
          <cell r="A282" t="str">
            <v>Fat Tuesday</v>
          </cell>
          <cell r="B282">
            <v>535</v>
          </cell>
        </row>
        <row r="283">
          <cell r="A283" t="str">
            <v>Faulkner Design Group</v>
          </cell>
          <cell r="B283">
            <v>2673</v>
          </cell>
        </row>
        <row r="284">
          <cell r="A284" t="str">
            <v>Fernando   Ovalle</v>
          </cell>
          <cell r="B284">
            <v>3031</v>
          </cell>
        </row>
        <row r="285">
          <cell r="A285" t="str">
            <v>FESS Holdings LLC</v>
          </cell>
          <cell r="B285">
            <v>536</v>
          </cell>
        </row>
        <row r="286">
          <cell r="A286" t="str">
            <v>FineCraft Contractors, Inc.</v>
          </cell>
          <cell r="B286">
            <v>1711</v>
          </cell>
        </row>
        <row r="287">
          <cell r="A287" t="str">
            <v>First Capital Advisors</v>
          </cell>
          <cell r="B287">
            <v>2485</v>
          </cell>
        </row>
        <row r="288">
          <cell r="A288" t="str">
            <v>Five Rivers Hospitality</v>
          </cell>
          <cell r="B288">
            <v>2405</v>
          </cell>
        </row>
        <row r="289">
          <cell r="A289" t="str">
            <v>Five Star Imperial Group Hospitality LLC</v>
          </cell>
          <cell r="B289">
            <v>2534</v>
          </cell>
        </row>
        <row r="290">
          <cell r="A290" t="str">
            <v>Floor Inspirations</v>
          </cell>
          <cell r="B290">
            <v>2458</v>
          </cell>
        </row>
        <row r="291">
          <cell r="A291" t="str">
            <v>Floor Source</v>
          </cell>
          <cell r="B291">
            <v>2307</v>
          </cell>
        </row>
        <row r="292">
          <cell r="A292" t="str">
            <v>Floorco</v>
          </cell>
          <cell r="B292">
            <v>2602</v>
          </cell>
        </row>
        <row r="293">
          <cell r="A293" t="str">
            <v>Flooring Solutions</v>
          </cell>
          <cell r="B293">
            <v>537</v>
          </cell>
        </row>
        <row r="294">
          <cell r="A294" t="str">
            <v>FLOORSCAPES</v>
          </cell>
          <cell r="B294">
            <v>2172</v>
          </cell>
        </row>
        <row r="295">
          <cell r="A295" t="str">
            <v>Folkinn Ontario Airport</v>
          </cell>
          <cell r="B295">
            <v>2608</v>
          </cell>
        </row>
        <row r="296">
          <cell r="A296" t="str">
            <v>FOUR POINTS DENVER AIRPORT CO - (EX RAMADA) BRUCE</v>
          </cell>
          <cell r="B296">
            <v>3227</v>
          </cell>
        </row>
        <row r="297">
          <cell r="A297" t="str">
            <v>FOUR POINTS-TOWNEPLACE DENVER CO</v>
          </cell>
          <cell r="B297">
            <v>3226</v>
          </cell>
        </row>
        <row r="298">
          <cell r="A298" t="str">
            <v>FOUR POINTS-TOWNEPLACE DENVER CO - (EX RADISSON) BRUCE</v>
          </cell>
          <cell r="B298">
            <v>3234</v>
          </cell>
        </row>
        <row r="299">
          <cell r="A299" t="str">
            <v>FRANKLIN DEVCO LLC.</v>
          </cell>
          <cell r="B299">
            <v>2911</v>
          </cell>
        </row>
        <row r="300">
          <cell r="A300" t="str">
            <v>Fyffe Construction Co.</v>
          </cell>
          <cell r="B300">
            <v>538</v>
          </cell>
        </row>
        <row r="301">
          <cell r="A301" t="str">
            <v>Fyffe Construction CO/ LaQuinta Manchester</v>
          </cell>
          <cell r="B301">
            <v>3527</v>
          </cell>
        </row>
        <row r="302">
          <cell r="A302" t="str">
            <v>Galaxy Hotels Group</v>
          </cell>
          <cell r="B302">
            <v>1556</v>
          </cell>
        </row>
        <row r="303">
          <cell r="A303" t="str">
            <v>Ganesha Northlake Enterprises LLC</v>
          </cell>
          <cell r="B303">
            <v>2647</v>
          </cell>
        </row>
        <row r="304">
          <cell r="A304" t="str">
            <v>Ganga, LLC/ La Quinta Bossier City</v>
          </cell>
          <cell r="B304">
            <v>3188</v>
          </cell>
        </row>
        <row r="305">
          <cell r="A305" t="str">
            <v>Garrett Christopher</v>
          </cell>
          <cell r="B305">
            <v>3097</v>
          </cell>
        </row>
        <row r="306">
          <cell r="A306" t="str">
            <v>Garrett Precision</v>
          </cell>
          <cell r="B306">
            <v>539</v>
          </cell>
        </row>
        <row r="307">
          <cell r="A307" t="str">
            <v>Gaurang Gary Patel</v>
          </cell>
          <cell r="B307">
            <v>540</v>
          </cell>
        </row>
        <row r="308">
          <cell r="A308" t="str">
            <v>Gene Cathey</v>
          </cell>
          <cell r="B308">
            <v>541</v>
          </cell>
        </row>
        <row r="309">
          <cell r="A309" t="str">
            <v>GFCS COMMERCIAL FLOORS</v>
          </cell>
          <cell r="B309">
            <v>2595</v>
          </cell>
        </row>
        <row r="310">
          <cell r="A310" t="str">
            <v>Ghanshyam Patel</v>
          </cell>
          <cell r="B310">
            <v>2749</v>
          </cell>
        </row>
        <row r="311">
          <cell r="A311" t="str">
            <v>GLR, Inc.</v>
          </cell>
          <cell r="B311">
            <v>542</v>
          </cell>
        </row>
        <row r="312">
          <cell r="A312" t="str">
            <v>GLS Supply</v>
          </cell>
          <cell r="B312">
            <v>543</v>
          </cell>
        </row>
        <row r="313">
          <cell r="A313" t="str">
            <v>GOKUL HOSPITALITY INC.</v>
          </cell>
          <cell r="B313">
            <v>2893</v>
          </cell>
        </row>
        <row r="314">
          <cell r="A314" t="str">
            <v>Goodall Distributors</v>
          </cell>
          <cell r="B314">
            <v>544</v>
          </cell>
        </row>
        <row r="315">
          <cell r="A315" t="str">
            <v>GQ Tile Co.</v>
          </cell>
          <cell r="B315">
            <v>545</v>
          </cell>
        </row>
        <row r="316">
          <cell r="A316" t="str">
            <v>Grand Sierra Resort &amp; Casino</v>
          </cell>
          <cell r="B316">
            <v>546</v>
          </cell>
        </row>
        <row r="317">
          <cell r="A317" t="str">
            <v>Grand Sierra Resort &amp; Casino - Facilities</v>
          </cell>
          <cell r="B317">
            <v>3278</v>
          </cell>
        </row>
        <row r="318">
          <cell r="A318" t="str">
            <v>Granitech US</v>
          </cell>
          <cell r="B318">
            <v>1713</v>
          </cell>
        </row>
        <row r="319">
          <cell r="A319" t="str">
            <v>Graniti Vicentia</v>
          </cell>
          <cell r="B319">
            <v>1938</v>
          </cell>
        </row>
        <row r="320">
          <cell r="A320" t="str">
            <v>HD Century LLC</v>
          </cell>
          <cell r="B320">
            <v>2944</v>
          </cell>
        </row>
        <row r="321">
          <cell r="A321" t="str">
            <v>Graniti Vicentia LLC - GVR2 Rent</v>
          </cell>
          <cell r="B321">
            <v>3018</v>
          </cell>
        </row>
        <row r="322">
          <cell r="A322" t="str">
            <v>Green Trail Builders</v>
          </cell>
          <cell r="B322">
            <v>547</v>
          </cell>
        </row>
        <row r="323">
          <cell r="A323" t="str">
            <v>Grose &amp; Manz Builders LLC</v>
          </cell>
          <cell r="B323">
            <v>1553</v>
          </cell>
        </row>
        <row r="324">
          <cell r="A324" t="str">
            <v>Guest World Wide</v>
          </cell>
          <cell r="B324">
            <v>548</v>
          </cell>
        </row>
        <row r="325">
          <cell r="A325" t="str">
            <v>Gulf Coast Hotel Group,LLC DBA Doubletree by Hilton</v>
          </cell>
          <cell r="B325">
            <v>2193</v>
          </cell>
        </row>
        <row r="326">
          <cell r="A326" t="str">
            <v>GURU BUILDERS LLC</v>
          </cell>
          <cell r="B326">
            <v>2883</v>
          </cell>
        </row>
        <row r="327">
          <cell r="A327" t="str">
            <v>Guru Krishna Corporation</v>
          </cell>
          <cell r="B327">
            <v>549</v>
          </cell>
        </row>
        <row r="328">
          <cell r="A328" t="str">
            <v>GV Facades</v>
          </cell>
          <cell r="B328">
            <v>2419</v>
          </cell>
        </row>
        <row r="329">
          <cell r="A329" t="str">
            <v>Krushiker Hospitality GRP</v>
          </cell>
          <cell r="B329">
            <v>2803</v>
          </cell>
        </row>
        <row r="330">
          <cell r="A330" t="str">
            <v>GV Facades LLC</v>
          </cell>
          <cell r="B330">
            <v>2408</v>
          </cell>
        </row>
        <row r="331">
          <cell r="A331" t="str">
            <v>H-M Tile, Marble and Hardwood Floor</v>
          </cell>
          <cell r="B331">
            <v>2417</v>
          </cell>
        </row>
        <row r="332">
          <cell r="A332" t="str">
            <v>Habitus Finishes LLC</v>
          </cell>
          <cell r="B332">
            <v>550</v>
          </cell>
        </row>
        <row r="333">
          <cell r="A333" t="str">
            <v>Hajoca Hospitality</v>
          </cell>
          <cell r="B333">
            <v>551</v>
          </cell>
        </row>
        <row r="334">
          <cell r="A334" t="str">
            <v>Hamakua Hotel</v>
          </cell>
          <cell r="B334">
            <v>552</v>
          </cell>
        </row>
        <row r="335">
          <cell r="A335" t="str">
            <v>Hamat Patel</v>
          </cell>
          <cell r="B335">
            <v>742</v>
          </cell>
        </row>
        <row r="336">
          <cell r="A336" t="str">
            <v>Hamilton Parker</v>
          </cell>
          <cell r="B336">
            <v>3263</v>
          </cell>
        </row>
        <row r="337">
          <cell r="A337" t="str">
            <v>Hampton 801 Walnut</v>
          </cell>
          <cell r="B337">
            <v>3569</v>
          </cell>
        </row>
        <row r="338">
          <cell r="A338" t="str">
            <v>Hampton Downtown Montgomery</v>
          </cell>
          <cell r="B338">
            <v>2761</v>
          </cell>
        </row>
        <row r="339">
          <cell r="A339" t="str">
            <v>Hampton Inn &amp; Suite - NM</v>
          </cell>
          <cell r="B339">
            <v>2048</v>
          </cell>
        </row>
        <row r="340">
          <cell r="A340" t="str">
            <v>Hampton Inn &amp; Suites</v>
          </cell>
          <cell r="B340">
            <v>553</v>
          </cell>
        </row>
        <row r="341">
          <cell r="A341" t="str">
            <v>Hampton inn &amp; Suites Enterprise, Al (5335)</v>
          </cell>
          <cell r="B341">
            <v>2804</v>
          </cell>
        </row>
        <row r="342">
          <cell r="A342" t="str">
            <v>Hampton Inn &amp; Suites Kodak</v>
          </cell>
          <cell r="B342">
            <v>2636</v>
          </cell>
        </row>
        <row r="343">
          <cell r="A343" t="str">
            <v>Hampton Inn (conversion to Holiday Inn Express)</v>
          </cell>
          <cell r="B343">
            <v>2711</v>
          </cell>
        </row>
        <row r="344">
          <cell r="A344" t="str">
            <v>Hampton Inn - Katy, TX</v>
          </cell>
          <cell r="B344">
            <v>2292</v>
          </cell>
        </row>
        <row r="345">
          <cell r="A345" t="str">
            <v>Hampton Inn - Nashville</v>
          </cell>
          <cell r="B345">
            <v>2548</v>
          </cell>
        </row>
        <row r="346">
          <cell r="A346" t="str">
            <v>Hampton Inn - Rosenberg TX</v>
          </cell>
          <cell r="B346">
            <v>2547</v>
          </cell>
        </row>
        <row r="347">
          <cell r="A347" t="str">
            <v>Hampton Inn Corpus Christi</v>
          </cell>
          <cell r="B347">
            <v>1933</v>
          </cell>
        </row>
        <row r="348">
          <cell r="A348" t="str">
            <v>Hampton Inn Katy TX</v>
          </cell>
          <cell r="B348">
            <v>3337</v>
          </cell>
        </row>
        <row r="349">
          <cell r="A349" t="str">
            <v>Hampton Inn Nashville</v>
          </cell>
          <cell r="B349">
            <v>3338</v>
          </cell>
        </row>
        <row r="350">
          <cell r="A350" t="str">
            <v>HAMPTON INN PEARLAND</v>
          </cell>
          <cell r="B350">
            <v>3339</v>
          </cell>
        </row>
        <row r="351">
          <cell r="A351" t="str">
            <v>Hampton Inn Rosenberg</v>
          </cell>
          <cell r="B351">
            <v>2520</v>
          </cell>
        </row>
        <row r="352">
          <cell r="A352" t="str">
            <v>Hampton Inn Sevierville</v>
          </cell>
          <cell r="B352">
            <v>2635</v>
          </cell>
        </row>
        <row r="353">
          <cell r="A353" t="str">
            <v>Hampton Inn – Midland South</v>
          </cell>
          <cell r="B353">
            <v>2746</v>
          </cell>
        </row>
        <row r="354">
          <cell r="A354" t="str">
            <v>Hann Builders</v>
          </cell>
          <cell r="B354">
            <v>743</v>
          </cell>
        </row>
        <row r="355">
          <cell r="A355" t="str">
            <v>Hawthorn Fayetteville</v>
          </cell>
          <cell r="B355">
            <v>2727</v>
          </cell>
        </row>
        <row r="356">
          <cell r="A356" t="str">
            <v>Hawthorn Suites</v>
          </cell>
          <cell r="B356">
            <v>554</v>
          </cell>
        </row>
        <row r="357">
          <cell r="A357" t="str">
            <v>Hawthorn Suites.</v>
          </cell>
          <cell r="B357">
            <v>3341</v>
          </cell>
        </row>
        <row r="358">
          <cell r="A358" t="str">
            <v>Hawthorne Suites- Alpine WY</v>
          </cell>
          <cell r="B358">
            <v>2710</v>
          </cell>
        </row>
        <row r="359">
          <cell r="A359" t="str">
            <v>HB Ca</v>
          </cell>
          <cell r="B359">
            <v>2593</v>
          </cell>
        </row>
        <row r="360">
          <cell r="A360" t="str">
            <v>Hector Chavez</v>
          </cell>
          <cell r="B360">
            <v>555</v>
          </cell>
        </row>
        <row r="361">
          <cell r="A361" t="str">
            <v>Heritage Construction</v>
          </cell>
          <cell r="B361">
            <v>556</v>
          </cell>
        </row>
        <row r="362">
          <cell r="A362" t="str">
            <v>Hestan Winery</v>
          </cell>
          <cell r="B362">
            <v>2519</v>
          </cell>
        </row>
        <row r="363">
          <cell r="A363" t="str">
            <v>HFD Hawthorn/LA Quinta, Mebane, NC</v>
          </cell>
          <cell r="B363">
            <v>2623</v>
          </cell>
        </row>
        <row r="364">
          <cell r="A364" t="str">
            <v>Hidden Cove Outdoors</v>
          </cell>
          <cell r="B364">
            <v>2588</v>
          </cell>
        </row>
        <row r="365">
          <cell r="A365" t="str">
            <v>High Point University</v>
          </cell>
          <cell r="B365">
            <v>1563</v>
          </cell>
        </row>
        <row r="366">
          <cell r="A366" t="str">
            <v>Highland Stores LLC</v>
          </cell>
          <cell r="B366">
            <v>557</v>
          </cell>
        </row>
        <row r="367">
          <cell r="A367" t="str">
            <v>Highland Stores LLC-CIC</v>
          </cell>
          <cell r="B367">
            <v>2654</v>
          </cell>
        </row>
        <row r="368">
          <cell r="A368" t="str">
            <v>Hilton Garden Inn</v>
          </cell>
          <cell r="B368">
            <v>558</v>
          </cell>
        </row>
        <row r="369">
          <cell r="A369" t="str">
            <v>Hilton Garden Inn Nashville</v>
          </cell>
          <cell r="B369">
            <v>2884</v>
          </cell>
        </row>
        <row r="370">
          <cell r="A370" t="str">
            <v>HILTON WARWICK</v>
          </cell>
          <cell r="B370">
            <v>3342</v>
          </cell>
        </row>
        <row r="371">
          <cell r="A371" t="str">
            <v>Hoilday Inn Express</v>
          </cell>
          <cell r="B371">
            <v>559</v>
          </cell>
        </row>
        <row r="372">
          <cell r="A372" t="str">
            <v>Holiday Inn Express</v>
          </cell>
          <cell r="B372">
            <v>2471</v>
          </cell>
        </row>
        <row r="373">
          <cell r="A373" t="str">
            <v>Holiday Inn Express - Zion, IL</v>
          </cell>
          <cell r="B373">
            <v>3343</v>
          </cell>
        </row>
        <row r="374">
          <cell r="A374" t="str">
            <v>Holiday Inn Express and Suites</v>
          </cell>
          <cell r="B374">
            <v>2159</v>
          </cell>
        </row>
        <row r="375">
          <cell r="A375" t="str">
            <v>Holiday Inn Express-Oxford</v>
          </cell>
          <cell r="B375">
            <v>1581</v>
          </cell>
        </row>
        <row r="376">
          <cell r="A376" t="str">
            <v>Holiday Inn Las Cruces</v>
          </cell>
          <cell r="B376">
            <v>2637</v>
          </cell>
        </row>
        <row r="377">
          <cell r="A377" t="str">
            <v>Holiday Inn Pauls Valley - Pete Patel</v>
          </cell>
          <cell r="B377">
            <v>3344</v>
          </cell>
        </row>
        <row r="378">
          <cell r="A378" t="str">
            <v>Holiday Inn San Marcos</v>
          </cell>
          <cell r="B378">
            <v>3650</v>
          </cell>
        </row>
        <row r="379">
          <cell r="A379" t="str">
            <v>Home 2 Shenandoah, TX</v>
          </cell>
          <cell r="B379">
            <v>2612</v>
          </cell>
        </row>
        <row r="380">
          <cell r="A380" t="str">
            <v>Home 2 Suite by Hilton</v>
          </cell>
          <cell r="B380">
            <v>2186</v>
          </cell>
        </row>
        <row r="381">
          <cell r="A381" t="str">
            <v>Home 2 Suites</v>
          </cell>
          <cell r="B381">
            <v>560</v>
          </cell>
        </row>
        <row r="382">
          <cell r="A382" t="str">
            <v>HOME 2 SUITES - Lake Jackson, TX</v>
          </cell>
          <cell r="B382">
            <v>2677</v>
          </cell>
        </row>
        <row r="383">
          <cell r="A383" t="str">
            <v>Home 2 Suites College station</v>
          </cell>
          <cell r="B383">
            <v>3128</v>
          </cell>
        </row>
        <row r="384">
          <cell r="A384" t="str">
            <v>Home 2 Suites Kemah TX</v>
          </cell>
          <cell r="B384">
            <v>3302</v>
          </cell>
        </row>
        <row r="385">
          <cell r="A385" t="str">
            <v>Home 2 Suites Phoenix AZ</v>
          </cell>
          <cell r="B385">
            <v>3345</v>
          </cell>
        </row>
        <row r="386">
          <cell r="A386" t="str">
            <v>Home2 Marble Falls</v>
          </cell>
          <cell r="B386">
            <v>2844</v>
          </cell>
        </row>
        <row r="387">
          <cell r="A387" t="str">
            <v>HOME2 SOMERSET</v>
          </cell>
          <cell r="B387">
            <v>3526</v>
          </cell>
        </row>
        <row r="388">
          <cell r="A388" t="str">
            <v>Home2 Suites Pittsburg CA</v>
          </cell>
          <cell r="B388">
            <v>2822</v>
          </cell>
        </row>
        <row r="389">
          <cell r="A389" t="str">
            <v>Hometown Inn &amp; Suites</v>
          </cell>
          <cell r="B389">
            <v>561</v>
          </cell>
        </row>
        <row r="390">
          <cell r="A390" t="str">
            <v>Hometown Inn &amp; Suites, Memphis TN</v>
          </cell>
          <cell r="B390">
            <v>3346</v>
          </cell>
        </row>
        <row r="391">
          <cell r="A391" t="str">
            <v>Homewood Suites Beaumont</v>
          </cell>
          <cell r="B391">
            <v>2348</v>
          </cell>
        </row>
        <row r="392">
          <cell r="A392" t="str">
            <v>Homewood Suites by Hilton</v>
          </cell>
          <cell r="B392">
            <v>3347</v>
          </cell>
        </row>
        <row r="393">
          <cell r="A393" t="str">
            <v>Homewood Suites Corpus Christi</v>
          </cell>
          <cell r="B393">
            <v>2302</v>
          </cell>
        </row>
        <row r="394">
          <cell r="A394" t="str">
            <v>Homewood Suites Fayetteville</v>
          </cell>
          <cell r="B394">
            <v>2330</v>
          </cell>
        </row>
        <row r="395">
          <cell r="A395" t="str">
            <v>Hoover Ferguson (Tank Holdings)</v>
          </cell>
          <cell r="B395">
            <v>756</v>
          </cell>
        </row>
        <row r="396">
          <cell r="A396" t="str">
            <v>Hotel Beacon</v>
          </cell>
          <cell r="B396">
            <v>1719</v>
          </cell>
        </row>
        <row r="397">
          <cell r="A397" t="str">
            <v>Hotel Beacon NYC</v>
          </cell>
          <cell r="B397">
            <v>3348</v>
          </cell>
        </row>
        <row r="398">
          <cell r="A398" t="str">
            <v>Hotel Design Services</v>
          </cell>
          <cell r="B398">
            <v>562</v>
          </cell>
        </row>
        <row r="399">
          <cell r="A399" t="str">
            <v>Hotel One Partners Miramar Beach, LLC</v>
          </cell>
          <cell r="B399">
            <v>2864</v>
          </cell>
        </row>
        <row r="400">
          <cell r="A400" t="str">
            <v>Hotel Tops USA</v>
          </cell>
          <cell r="B400">
            <v>563</v>
          </cell>
        </row>
        <row r="401">
          <cell r="A401" t="str">
            <v>Hotel Tops USA/La Quinta Albany, GA</v>
          </cell>
          <cell r="B401">
            <v>3349</v>
          </cell>
        </row>
        <row r="402">
          <cell r="A402" t="str">
            <v>Hotels Renovation SolutionÂ </v>
          </cell>
          <cell r="B402">
            <v>564</v>
          </cell>
        </row>
        <row r="403">
          <cell r="A403" t="str">
            <v>Houston Warehouse</v>
          </cell>
          <cell r="B403">
            <v>3050</v>
          </cell>
        </row>
        <row r="404">
          <cell r="A404" t="str">
            <v>Howard County Convention &amp; Visitors Commission Inc.</v>
          </cell>
          <cell r="B404">
            <v>565</v>
          </cell>
        </row>
        <row r="405">
          <cell r="A405" t="str">
            <v>HSI Design Group</v>
          </cell>
          <cell r="B405">
            <v>3562</v>
          </cell>
        </row>
        <row r="406">
          <cell r="A406" t="str">
            <v>Hyatt</v>
          </cell>
          <cell r="B406">
            <v>2994</v>
          </cell>
        </row>
        <row r="407">
          <cell r="A407" t="str">
            <v>Iannacone Residence</v>
          </cell>
          <cell r="B407">
            <v>2347</v>
          </cell>
        </row>
        <row r="408">
          <cell r="A408" t="str">
            <v>IC-Graniti Vicentia LLC</v>
          </cell>
          <cell r="B408">
            <v>1434</v>
          </cell>
        </row>
        <row r="409">
          <cell r="A409" t="str">
            <v>IC-GV Arabia LTD</v>
          </cell>
          <cell r="B409">
            <v>2057</v>
          </cell>
        </row>
        <row r="410">
          <cell r="A410" t="str">
            <v>IC-GV Canada</v>
          </cell>
          <cell r="B410">
            <v>1439</v>
          </cell>
        </row>
        <row r="411">
          <cell r="A411" t="str">
            <v>IC-GV Facades</v>
          </cell>
          <cell r="B411">
            <v>1435</v>
          </cell>
        </row>
        <row r="412">
          <cell r="A412" t="str">
            <v>IC-GV India</v>
          </cell>
          <cell r="B412">
            <v>1438</v>
          </cell>
        </row>
        <row r="413">
          <cell r="A413" t="str">
            <v>IC-GV Realty</v>
          </cell>
          <cell r="B413">
            <v>1436</v>
          </cell>
        </row>
        <row r="414">
          <cell r="A414" t="str">
            <v>IC-GV Realty 2</v>
          </cell>
          <cell r="B414">
            <v>1437</v>
          </cell>
        </row>
        <row r="415">
          <cell r="A415" t="str">
            <v>IC-Parent Company</v>
          </cell>
          <cell r="B415">
            <v>1433</v>
          </cell>
        </row>
        <row r="416">
          <cell r="A416" t="str">
            <v>Icon Design LLC</v>
          </cell>
          <cell r="B416">
            <v>2611</v>
          </cell>
        </row>
        <row r="417">
          <cell r="A417" t="str">
            <v>Icon Vacaville LLC</v>
          </cell>
          <cell r="B417">
            <v>2900</v>
          </cell>
        </row>
        <row r="418">
          <cell r="A418" t="str">
            <v>Ignite Hotels</v>
          </cell>
          <cell r="B418">
            <v>566</v>
          </cell>
        </row>
        <row r="419">
          <cell r="A419" t="str">
            <v>Imagine Porcelain Co. IPC.</v>
          </cell>
          <cell r="B419">
            <v>567</v>
          </cell>
        </row>
        <row r="420">
          <cell r="A420" t="str">
            <v>Impressions Tile and Marble LLC</v>
          </cell>
          <cell r="B420">
            <v>3092</v>
          </cell>
        </row>
        <row r="421">
          <cell r="A421" t="str">
            <v>Infinity 8 Hospitality LLC / Laquinta Inn &amp; Suites by Wyndham</v>
          </cell>
          <cell r="B421">
            <v>3666</v>
          </cell>
        </row>
        <row r="422">
          <cell r="A422" t="str">
            <v>INNOVAT</v>
          </cell>
          <cell r="B422">
            <v>1936</v>
          </cell>
        </row>
        <row r="423">
          <cell r="A423" t="str">
            <v>Innovation  Hospitality Purveyors</v>
          </cell>
          <cell r="B423">
            <v>3513</v>
          </cell>
        </row>
        <row r="424">
          <cell r="A424" t="str">
            <v>Innovation Design</v>
          </cell>
          <cell r="B424">
            <v>568</v>
          </cell>
        </row>
        <row r="425">
          <cell r="A425" t="str">
            <v>Innovation Hospitality Purveyors</v>
          </cell>
          <cell r="B425">
            <v>2587</v>
          </cell>
        </row>
        <row r="426">
          <cell r="A426" t="str">
            <v>Innovative Air Inc.</v>
          </cell>
          <cell r="B426">
            <v>1705</v>
          </cell>
        </row>
        <row r="427">
          <cell r="A427" t="str">
            <v>Innovative Hospitality Purveyors</v>
          </cell>
          <cell r="B427">
            <v>1549</v>
          </cell>
        </row>
        <row r="428">
          <cell r="A428" t="str">
            <v>Innovativo Design</v>
          </cell>
          <cell r="B428">
            <v>3350</v>
          </cell>
        </row>
        <row r="429">
          <cell r="A429" t="str">
            <v>Installations Plus, Inc.</v>
          </cell>
          <cell r="B429">
            <v>1555</v>
          </cell>
        </row>
        <row r="430">
          <cell r="A430" t="str">
            <v>Interior Dezyn</v>
          </cell>
          <cell r="B430">
            <v>3413</v>
          </cell>
        </row>
        <row r="431">
          <cell r="A431" t="str">
            <v>InteriorZ By Zee</v>
          </cell>
          <cell r="B431">
            <v>2945</v>
          </cell>
        </row>
        <row r="432">
          <cell r="A432" t="str">
            <v>Internal GV</v>
          </cell>
          <cell r="B432">
            <v>2322</v>
          </cell>
        </row>
        <row r="433">
          <cell r="A433" t="str">
            <v>Interstate Construction Corp.</v>
          </cell>
          <cell r="B433">
            <v>569</v>
          </cell>
        </row>
        <row r="434">
          <cell r="A434" t="str">
            <v>INTERTECH FLOORING</v>
          </cell>
          <cell r="B434">
            <v>2191</v>
          </cell>
        </row>
        <row r="435">
          <cell r="A435" t="str">
            <v>ISBS LLC</v>
          </cell>
          <cell r="B435">
            <v>3020</v>
          </cell>
        </row>
        <row r="436">
          <cell r="A436" t="str">
            <v>ISLAMIC EDUCATION CENTER</v>
          </cell>
          <cell r="B436">
            <v>3559</v>
          </cell>
        </row>
        <row r="437">
          <cell r="A437" t="str">
            <v>J.L. Hall Tile Co.Â </v>
          </cell>
          <cell r="B437">
            <v>570</v>
          </cell>
        </row>
        <row r="438">
          <cell r="A438" t="str">
            <v>Jaimin Patel</v>
          </cell>
          <cell r="B438">
            <v>571</v>
          </cell>
        </row>
        <row r="439">
          <cell r="A439" t="str">
            <v>Jaimin Patel_ELEMENT FORTSMITH, ARKANSAS</v>
          </cell>
          <cell r="B439">
            <v>2959</v>
          </cell>
        </row>
        <row r="440">
          <cell r="A440" t="str">
            <v>Jamp Hotels</v>
          </cell>
          <cell r="B440">
            <v>2892</v>
          </cell>
        </row>
        <row r="441">
          <cell r="A441" t="str">
            <v>Jauregui Architects</v>
          </cell>
          <cell r="B441">
            <v>572</v>
          </cell>
        </row>
        <row r="442">
          <cell r="A442" t="str">
            <v>Jauregui Inc.</v>
          </cell>
          <cell r="B442">
            <v>2698</v>
          </cell>
        </row>
        <row r="443">
          <cell r="A443" t="str">
            <v>Jay and Reena Patel</v>
          </cell>
          <cell r="B443">
            <v>2834</v>
          </cell>
        </row>
        <row r="444">
          <cell r="A444" t="str">
            <v>Jay Patel</v>
          </cell>
          <cell r="B444">
            <v>2422</v>
          </cell>
        </row>
        <row r="445">
          <cell r="A445" t="str">
            <v>Jay Sun Hospitality LLC</v>
          </cell>
          <cell r="B445">
            <v>573</v>
          </cell>
        </row>
        <row r="446">
          <cell r="A446" t="str">
            <v>Jay Sun Hospitality LLC / La Quinta La Habra,CA</v>
          </cell>
          <cell r="B446">
            <v>3351</v>
          </cell>
        </row>
        <row r="447">
          <cell r="A447" t="str">
            <v>JDL Flooring Solutions Inc</v>
          </cell>
          <cell r="B447">
            <v>2616</v>
          </cell>
        </row>
        <row r="448">
          <cell r="A448" t="str">
            <v>JDL Flooring Solutions Inc.Â </v>
          </cell>
          <cell r="B448">
            <v>574</v>
          </cell>
        </row>
        <row r="449">
          <cell r="A449" t="str">
            <v>Jenkins Contract Flooring, LLC</v>
          </cell>
          <cell r="B449">
            <v>2300</v>
          </cell>
        </row>
        <row r="450">
          <cell r="A450" t="str">
            <v>Jerome Cordova</v>
          </cell>
          <cell r="B450">
            <v>2600</v>
          </cell>
        </row>
        <row r="451">
          <cell r="A451" t="str">
            <v>Jerry Osborne &amp; Associates, LLC</v>
          </cell>
          <cell r="B451">
            <v>575</v>
          </cell>
        </row>
        <row r="452">
          <cell r="A452" t="str">
            <v>JERRY OSBOURNE ASSOCIATES HAMPTOM INN HAZARD KY</v>
          </cell>
          <cell r="B452">
            <v>3352</v>
          </cell>
        </row>
        <row r="453">
          <cell r="A453" t="str">
            <v>Jim Patel</v>
          </cell>
          <cell r="B453">
            <v>744</v>
          </cell>
        </row>
        <row r="454">
          <cell r="A454" t="str">
            <v>JJI Hospitality Inc.</v>
          </cell>
          <cell r="B454">
            <v>1706</v>
          </cell>
        </row>
        <row r="455">
          <cell r="A455" t="str">
            <v>John Lee</v>
          </cell>
          <cell r="B455">
            <v>2533</v>
          </cell>
        </row>
        <row r="456">
          <cell r="A456" t="str">
            <v>Jonesboro Hodge Hotels LLC</v>
          </cell>
          <cell r="B456">
            <v>2679</v>
          </cell>
        </row>
        <row r="457">
          <cell r="A457" t="str">
            <v>Jose Santos</v>
          </cell>
          <cell r="B457">
            <v>2476</v>
          </cell>
        </row>
        <row r="458">
          <cell r="A458" t="str">
            <v>JPS Inc. -  Comfort Inn &amp; Suites NC992</v>
          </cell>
          <cell r="B458">
            <v>3270</v>
          </cell>
        </row>
        <row r="459">
          <cell r="A459" t="str">
            <v>JSR Hotels- Home 2 Suites</v>
          </cell>
          <cell r="B459">
            <v>3035</v>
          </cell>
        </row>
        <row r="460">
          <cell r="A460" t="str">
            <v>JT DESIGN EYE, LLC</v>
          </cell>
          <cell r="B460">
            <v>3168</v>
          </cell>
        </row>
        <row r="461">
          <cell r="A461" t="str">
            <v>K&amp;A Development</v>
          </cell>
          <cell r="B461">
            <v>745</v>
          </cell>
        </row>
        <row r="462">
          <cell r="A462" t="str">
            <v>Kalpesh Shah &amp; Lorraine Richardson</v>
          </cell>
          <cell r="B462">
            <v>3192</v>
          </cell>
        </row>
        <row r="463">
          <cell r="A463" t="str">
            <v>Kanti kusum Inc</v>
          </cell>
          <cell r="B463">
            <v>576</v>
          </cell>
        </row>
        <row r="464">
          <cell r="A464" t="str">
            <v>Kautilya Group</v>
          </cell>
          <cell r="B464">
            <v>1717</v>
          </cell>
        </row>
        <row r="465">
          <cell r="A465" t="str">
            <v>Kaveh Karimzad</v>
          </cell>
          <cell r="B465">
            <v>3089</v>
          </cell>
        </row>
        <row r="466">
          <cell r="A466" t="str">
            <v>Kayla Investments</v>
          </cell>
          <cell r="B466">
            <v>2983</v>
          </cell>
        </row>
        <row r="467">
          <cell r="A467" t="str">
            <v>Kenner Hospitality LLC</v>
          </cell>
          <cell r="B467">
            <v>2473</v>
          </cell>
        </row>
        <row r="468">
          <cell r="A468" t="str">
            <v>Kevin Sims</v>
          </cell>
          <cell r="B468">
            <v>577</v>
          </cell>
        </row>
        <row r="469">
          <cell r="A469" t="str">
            <v>Keystone Developers &amp; Property Management</v>
          </cell>
          <cell r="B469">
            <v>2867</v>
          </cell>
        </row>
        <row r="470">
          <cell r="A470" t="str">
            <v>Keystone Developers and Property Management</v>
          </cell>
          <cell r="B470">
            <v>2201</v>
          </cell>
        </row>
        <row r="471">
          <cell r="A471" t="str">
            <v>Kian Hotels LLC</v>
          </cell>
          <cell r="B471">
            <v>1585</v>
          </cell>
        </row>
        <row r="472">
          <cell r="A472" t="str">
            <v>Kian Hotels LLC / Facades</v>
          </cell>
          <cell r="B472">
            <v>2740</v>
          </cell>
        </row>
        <row r="473">
          <cell r="A473" t="str">
            <v>Kimpton Hotel Monaco</v>
          </cell>
          <cell r="B473">
            <v>578</v>
          </cell>
        </row>
        <row r="474">
          <cell r="A474" t="str">
            <v>Kimpton Monaco Baltimore</v>
          </cell>
          <cell r="B474">
            <v>3353</v>
          </cell>
        </row>
        <row r="475">
          <cell r="A475" t="str">
            <v>King Management LLC</v>
          </cell>
          <cell r="B475">
            <v>3149</v>
          </cell>
        </row>
        <row r="476">
          <cell r="A476" t="str">
            <v>Kings Bay Coastal Hotel Management LLC / Wingate Kingsland</v>
          </cell>
          <cell r="B476">
            <v>3354</v>
          </cell>
        </row>
        <row r="477">
          <cell r="A477" t="str">
            <v>Kings Bay Coastal Hotel Management, LLC</v>
          </cell>
          <cell r="B477">
            <v>579</v>
          </cell>
        </row>
        <row r="478">
          <cell r="A478" t="str">
            <v>Kings Construction</v>
          </cell>
          <cell r="B478">
            <v>580</v>
          </cell>
        </row>
        <row r="479">
          <cell r="A479" t="str">
            <v>Kishore - Bindu Kancherla</v>
          </cell>
          <cell r="B479">
            <v>581</v>
          </cell>
        </row>
        <row r="480">
          <cell r="A480" t="str">
            <v>KOBY Singletary</v>
          </cell>
          <cell r="B480">
            <v>2454</v>
          </cell>
        </row>
        <row r="481">
          <cell r="A481" t="str">
            <v>Kokomo Conference Center</v>
          </cell>
          <cell r="B481">
            <v>2955</v>
          </cell>
        </row>
        <row r="482">
          <cell r="A482" t="str">
            <v>Kroozin Lawndale LLC</v>
          </cell>
          <cell r="B482">
            <v>2545</v>
          </cell>
        </row>
        <row r="483">
          <cell r="A483" t="str">
            <v>Krushiker Hospitality Group, Inc</v>
          </cell>
          <cell r="B483">
            <v>582</v>
          </cell>
        </row>
        <row r="484">
          <cell r="A484" t="str">
            <v>Krushiker Hospitality Group, Inc/ Homewood Suites- Fayetteville, AR</v>
          </cell>
          <cell r="B484">
            <v>3542</v>
          </cell>
        </row>
        <row r="485">
          <cell r="A485" t="str">
            <v>KSS Corporation</v>
          </cell>
          <cell r="B485">
            <v>2472</v>
          </cell>
        </row>
        <row r="486">
          <cell r="A486" t="str">
            <v>Kyle Hicks</v>
          </cell>
          <cell r="B486">
            <v>583</v>
          </cell>
        </row>
        <row r="487">
          <cell r="A487" t="str">
            <v>L &amp; H Construction &amp; Renovation, Inc.</v>
          </cell>
          <cell r="B487">
            <v>3077</v>
          </cell>
        </row>
        <row r="488">
          <cell r="A488" t="str">
            <v>L Peters Construction, Inc.</v>
          </cell>
          <cell r="B488">
            <v>2524</v>
          </cell>
        </row>
        <row r="489">
          <cell r="A489" t="str">
            <v>La Quinta</v>
          </cell>
          <cell r="B489">
            <v>3231</v>
          </cell>
        </row>
        <row r="490">
          <cell r="A490" t="str">
            <v>La Quinta - Chelsea, AL</v>
          </cell>
          <cell r="B490">
            <v>3165</v>
          </cell>
        </row>
        <row r="491">
          <cell r="A491" t="str">
            <v>La Quinta - Chelsea,AL</v>
          </cell>
          <cell r="B491">
            <v>3355</v>
          </cell>
        </row>
        <row r="492">
          <cell r="A492" t="str">
            <v>La Quinta - Fort Lauderdale - FL - Rob Song</v>
          </cell>
          <cell r="B492">
            <v>3630</v>
          </cell>
        </row>
        <row r="493">
          <cell r="A493" t="str">
            <v>La Quinta - Galt CA</v>
          </cell>
          <cell r="B493">
            <v>2046</v>
          </cell>
        </row>
        <row r="494">
          <cell r="A494" t="str">
            <v>La Quinta - Revere, MA</v>
          </cell>
          <cell r="B494">
            <v>2783</v>
          </cell>
        </row>
        <row r="495">
          <cell r="A495" t="str">
            <v>La Quinta - Terrell TX</v>
          </cell>
          <cell r="B495">
            <v>2045</v>
          </cell>
        </row>
        <row r="496">
          <cell r="A496" t="str">
            <v>La Quinta -Madison WI -Savan Patel</v>
          </cell>
          <cell r="B496">
            <v>3534</v>
          </cell>
        </row>
        <row r="497">
          <cell r="A497" t="str">
            <v>La Quinta Albq West</v>
          </cell>
          <cell r="B497">
            <v>2188</v>
          </cell>
        </row>
        <row r="498">
          <cell r="A498" t="str">
            <v>La Quinta Athens Alabama</v>
          </cell>
          <cell r="B498">
            <v>2442</v>
          </cell>
        </row>
        <row r="499">
          <cell r="A499" t="str">
            <v>La Quinta Auburn AL</v>
          </cell>
          <cell r="B499">
            <v>2171</v>
          </cell>
        </row>
        <row r="500">
          <cell r="A500" t="str">
            <v>La Quinta Bossier City</v>
          </cell>
          <cell r="B500">
            <v>3228</v>
          </cell>
        </row>
        <row r="501">
          <cell r="A501" t="str">
            <v>La Quinta Brookshire TX</v>
          </cell>
          <cell r="B501">
            <v>3541</v>
          </cell>
        </row>
        <row r="502">
          <cell r="A502" t="str">
            <v>La Quinta by Wyndham</v>
          </cell>
          <cell r="B502">
            <v>3356</v>
          </cell>
        </row>
        <row r="503">
          <cell r="A503" t="str">
            <v>La Quinta by Wyndham Dallas DFW Airport N</v>
          </cell>
          <cell r="B503">
            <v>3357</v>
          </cell>
        </row>
        <row r="504">
          <cell r="A504" t="str">
            <v>La Quinta Hawthorn - DeSoto,TX</v>
          </cell>
          <cell r="B504">
            <v>3119</v>
          </cell>
        </row>
        <row r="505">
          <cell r="A505" t="str">
            <v>La Quinta Hawthorn - Miamisburg OH</v>
          </cell>
          <cell r="B505">
            <v>2546</v>
          </cell>
        </row>
        <row r="506">
          <cell r="A506" t="str">
            <v>La Quinta Hawthorn - Miamisburg, OH</v>
          </cell>
          <cell r="B506">
            <v>3358</v>
          </cell>
        </row>
        <row r="507">
          <cell r="A507" t="str">
            <v>La Quinta Inn &amp; Suites</v>
          </cell>
          <cell r="B507">
            <v>584</v>
          </cell>
        </row>
        <row r="508">
          <cell r="A508" t="str">
            <v>La Quinta Inn &amp; Suites - Seatac Airport - Seattle WA</v>
          </cell>
          <cell r="B508">
            <v>2328</v>
          </cell>
        </row>
        <row r="509">
          <cell r="A509" t="str">
            <v>La Quinta Inn &amp; Suites-Mansfield, OH</v>
          </cell>
          <cell r="B509">
            <v>2349</v>
          </cell>
        </row>
        <row r="510">
          <cell r="A510" t="str">
            <v>La Quinta Inn - Sarasota FL - Raj Mukkirla</v>
          </cell>
          <cell r="B510">
            <v>2607</v>
          </cell>
        </row>
        <row r="511">
          <cell r="A511" t="str">
            <v>La Quinta Inn Dumas TX</v>
          </cell>
          <cell r="B511">
            <v>3241</v>
          </cell>
        </row>
        <row r="512">
          <cell r="A512" t="str">
            <v>La Quinta Inn Pharr TX</v>
          </cell>
          <cell r="B512">
            <v>2638</v>
          </cell>
        </row>
        <row r="513">
          <cell r="A513" t="str">
            <v>La Quinta Inn- Galveston, TX</v>
          </cell>
          <cell r="B513">
            <v>3359</v>
          </cell>
        </row>
        <row r="514">
          <cell r="A514" t="str">
            <v>La Quinta inn-Richmond</v>
          </cell>
          <cell r="B514">
            <v>3150</v>
          </cell>
        </row>
        <row r="515">
          <cell r="A515" t="str">
            <v>La Quinta INN-Springdale OH</v>
          </cell>
          <cell r="B515">
            <v>2956</v>
          </cell>
        </row>
        <row r="516">
          <cell r="A516" t="str">
            <v>LA QUINTA MODEL ROOM / GV HEADQUARTERS, HOUSTON</v>
          </cell>
          <cell r="B516">
            <v>3530</v>
          </cell>
        </row>
        <row r="517">
          <cell r="A517" t="str">
            <v>La Quinta Orlando</v>
          </cell>
          <cell r="B517">
            <v>2678</v>
          </cell>
        </row>
        <row r="518">
          <cell r="A518" t="str">
            <v>LA QUINTA ORLANDO</v>
          </cell>
          <cell r="B518">
            <v>2675</v>
          </cell>
        </row>
        <row r="519">
          <cell r="A519" t="str">
            <v>La Quinta Rockwall, TX</v>
          </cell>
          <cell r="B519">
            <v>2620</v>
          </cell>
        </row>
        <row r="520">
          <cell r="A520" t="str">
            <v>La Quinta San Antonio 1</v>
          </cell>
          <cell r="B520">
            <v>2618</v>
          </cell>
        </row>
        <row r="521">
          <cell r="A521" t="str">
            <v>LA QUINTA SHONTO AZ</v>
          </cell>
          <cell r="B521">
            <v>3360</v>
          </cell>
        </row>
        <row r="522">
          <cell r="A522" t="str">
            <v>LA Quinta Trinidad Co</v>
          </cell>
          <cell r="B522">
            <v>2614</v>
          </cell>
        </row>
        <row r="523">
          <cell r="A523" t="str">
            <v>La Quinta, Anaheim CA</v>
          </cell>
          <cell r="B523">
            <v>3361</v>
          </cell>
        </row>
        <row r="524">
          <cell r="A524" t="str">
            <v>La Quinta, Huntsville AL</v>
          </cell>
          <cell r="B524">
            <v>3362</v>
          </cell>
        </row>
        <row r="525">
          <cell r="A525" t="str">
            <v>La Quinta- Santa Rosa, CA</v>
          </cell>
          <cell r="B525">
            <v>2645</v>
          </cell>
        </row>
        <row r="526">
          <cell r="A526" t="str">
            <v>Laframe Structures Inc.</v>
          </cell>
          <cell r="B526">
            <v>585</v>
          </cell>
        </row>
        <row r="527">
          <cell r="A527" t="str">
            <v>Lakshmi Maddi</v>
          </cell>
          <cell r="B527">
            <v>2937</v>
          </cell>
        </row>
        <row r="528">
          <cell r="A528" t="str">
            <v>Landry's</v>
          </cell>
          <cell r="B528">
            <v>2290</v>
          </cell>
        </row>
        <row r="529">
          <cell r="A529" t="str">
            <v>Landrys</v>
          </cell>
          <cell r="B529">
            <v>2499</v>
          </cell>
        </row>
        <row r="530">
          <cell r="A530" t="str">
            <v>Lansdowne Resort</v>
          </cell>
          <cell r="B530">
            <v>586</v>
          </cell>
        </row>
        <row r="531">
          <cell r="A531" t="str">
            <v>Lansdowne Resort &amp; Spa</v>
          </cell>
          <cell r="B531">
            <v>3363</v>
          </cell>
        </row>
        <row r="532">
          <cell r="A532" t="str">
            <v>LaQuinta - Naples - FL - Raj Mukkirla</v>
          </cell>
          <cell r="B532">
            <v>3410</v>
          </cell>
        </row>
        <row r="533">
          <cell r="A533" t="str">
            <v>LaQuinta - Stafford - TX</v>
          </cell>
          <cell r="B533">
            <v>3544</v>
          </cell>
        </row>
        <row r="534">
          <cell r="A534" t="str">
            <v>Laquinta Homewood Alabama</v>
          </cell>
          <cell r="B534">
            <v>3364</v>
          </cell>
        </row>
        <row r="535">
          <cell r="A535" t="str">
            <v>Laquinta Inn</v>
          </cell>
          <cell r="B535">
            <v>3641</v>
          </cell>
        </row>
        <row r="536">
          <cell r="A536" t="str">
            <v>LaQuinta Inn &amp; Suite-Lubbock, Tx.</v>
          </cell>
          <cell r="B536">
            <v>3221</v>
          </cell>
        </row>
        <row r="537">
          <cell r="A537" t="str">
            <v>LaQuinta Inn &amp; Suites Oxford AL</v>
          </cell>
          <cell r="B537">
            <v>2752</v>
          </cell>
        </row>
        <row r="538">
          <cell r="A538" t="str">
            <v>LaQuinta Inn Pharr TX</v>
          </cell>
          <cell r="B538">
            <v>3365</v>
          </cell>
        </row>
        <row r="539">
          <cell r="A539" t="str">
            <v>LaQuinta McAllen</v>
          </cell>
          <cell r="B539">
            <v>3366</v>
          </cell>
        </row>
        <row r="540">
          <cell r="A540" t="str">
            <v>Laquinta Memphis</v>
          </cell>
          <cell r="B540">
            <v>3002</v>
          </cell>
        </row>
        <row r="541">
          <cell r="A541" t="str">
            <v>LAQUINTA TRINIDAD CO</v>
          </cell>
          <cell r="B541">
            <v>2707</v>
          </cell>
        </row>
        <row r="542">
          <cell r="A542" t="str">
            <v>LaQuinta Yakima WA</v>
          </cell>
          <cell r="B542">
            <v>2619</v>
          </cell>
        </row>
        <row r="543">
          <cell r="A543" t="str">
            <v>LAQUINTA YUMA AZ</v>
          </cell>
          <cell r="B543">
            <v>3531</v>
          </cell>
        </row>
        <row r="544">
          <cell r="A544" t="str">
            <v>LaQuinta/Hawthone - Knoxville TN - AMit</v>
          </cell>
          <cell r="B544">
            <v>3367</v>
          </cell>
        </row>
        <row r="545">
          <cell r="A545" t="str">
            <v>LaQuinta/Hawthorne - Knoxville TN</v>
          </cell>
          <cell r="B545">
            <v>2756</v>
          </cell>
        </row>
        <row r="546">
          <cell r="A546" t="str">
            <v>Laquita Kingsport</v>
          </cell>
          <cell r="B546">
            <v>3166</v>
          </cell>
        </row>
        <row r="547">
          <cell r="A547" t="str">
            <v>Las Vegas Resort Holdings, LLC</v>
          </cell>
          <cell r="B547">
            <v>3368</v>
          </cell>
        </row>
        <row r="548">
          <cell r="A548" t="str">
            <v>Laszlos Marble, Tile and Granite Inc.</v>
          </cell>
          <cell r="B548">
            <v>588</v>
          </cell>
        </row>
        <row r="549">
          <cell r="A549" t="str">
            <v>Layered Dimensions Interior Design</v>
          </cell>
          <cell r="B549">
            <v>3540</v>
          </cell>
        </row>
        <row r="550">
          <cell r="A550" t="str">
            <v>Level 5 Carpentry Corp.</v>
          </cell>
          <cell r="B550">
            <v>589</v>
          </cell>
        </row>
        <row r="551">
          <cell r="A551" t="str">
            <v>Level Construction, Inc.</v>
          </cell>
          <cell r="B551">
            <v>746</v>
          </cell>
        </row>
        <row r="552">
          <cell r="A552" t="str">
            <v>LHG Columbus LLC</v>
          </cell>
          <cell r="B552">
            <v>2854</v>
          </cell>
        </row>
        <row r="553">
          <cell r="A553" t="str">
            <v>Life Time Property Development</v>
          </cell>
          <cell r="B553">
            <v>747</v>
          </cell>
        </row>
        <row r="554">
          <cell r="A554" t="str">
            <v>Lifetime Inc</v>
          </cell>
          <cell r="B554">
            <v>3098</v>
          </cell>
        </row>
        <row r="555">
          <cell r="A555" t="str">
            <v>Lindsey Lane Hospitality LLC.</v>
          </cell>
          <cell r="B555">
            <v>2765</v>
          </cell>
        </row>
        <row r="556">
          <cell r="A556" t="str">
            <v>Link Floors</v>
          </cell>
          <cell r="B556">
            <v>3564</v>
          </cell>
        </row>
        <row r="557">
          <cell r="A557" t="str">
            <v>LIVING STONE SUFRACE &amp; CABNIETS</v>
          </cell>
          <cell r="B557">
            <v>2507</v>
          </cell>
        </row>
        <row r="558">
          <cell r="A558" t="str">
            <v>LM House Designs</v>
          </cell>
          <cell r="B558">
            <v>590</v>
          </cell>
        </row>
        <row r="559">
          <cell r="A559" t="str">
            <v>LMG Construction Services</v>
          </cell>
          <cell r="B559">
            <v>2564</v>
          </cell>
        </row>
        <row r="560">
          <cell r="A560" t="str">
            <v>LQ Brownsville</v>
          </cell>
          <cell r="B560">
            <v>2178</v>
          </cell>
        </row>
        <row r="561">
          <cell r="A561" t="str">
            <v>LQ Columbia Fort Jackson SC</v>
          </cell>
          <cell r="B561">
            <v>2672</v>
          </cell>
        </row>
        <row r="562">
          <cell r="A562" t="str">
            <v>LQ Hawthorne Leavenworth</v>
          </cell>
          <cell r="B562">
            <v>3412</v>
          </cell>
        </row>
        <row r="563">
          <cell r="A563" t="str">
            <v>LQ Huntsville</v>
          </cell>
          <cell r="B563">
            <v>2451</v>
          </cell>
        </row>
        <row r="564">
          <cell r="A564" t="str">
            <v>LQ Indianapolis</v>
          </cell>
          <cell r="B564">
            <v>2165</v>
          </cell>
        </row>
        <row r="565">
          <cell r="A565" t="str">
            <v>LQ Kingston</v>
          </cell>
          <cell r="B565">
            <v>2358</v>
          </cell>
        </row>
        <row r="566">
          <cell r="A566" t="str">
            <v>LQ Laredo</v>
          </cell>
          <cell r="B566">
            <v>2337</v>
          </cell>
        </row>
        <row r="567">
          <cell r="A567" t="str">
            <v>LQ Management, LLC C/o HSI Design Group</v>
          </cell>
          <cell r="B567">
            <v>3369</v>
          </cell>
        </row>
        <row r="568">
          <cell r="A568" t="str">
            <v>LQ Nashville TN</v>
          </cell>
          <cell r="B568">
            <v>2216</v>
          </cell>
        </row>
        <row r="569">
          <cell r="A569" t="str">
            <v>Lucky Construction, Inc.</v>
          </cell>
          <cell r="B569">
            <v>2207</v>
          </cell>
        </row>
        <row r="570">
          <cell r="A570" t="str">
            <v>Lynden Hospitality 2, LLC</v>
          </cell>
          <cell r="B570">
            <v>3550</v>
          </cell>
        </row>
        <row r="571">
          <cell r="A571" t="str">
            <v>M CREATIVE CONSTRUCTION LLC</v>
          </cell>
          <cell r="B571">
            <v>3032</v>
          </cell>
        </row>
        <row r="572">
          <cell r="A572" t="str">
            <v>M G CONSTRUCTION CO , LLC</v>
          </cell>
          <cell r="B572">
            <v>2733</v>
          </cell>
        </row>
        <row r="573">
          <cell r="A573" t="str">
            <v>Madhvika Singla</v>
          </cell>
          <cell r="B573">
            <v>2811</v>
          </cell>
        </row>
        <row r="574">
          <cell r="A574" t="str">
            <v>Magnolia LXR Dallas TX -</v>
          </cell>
          <cell r="B574">
            <v>3370</v>
          </cell>
        </row>
        <row r="575">
          <cell r="A575" t="str">
            <v>Mahesh Patel</v>
          </cell>
          <cell r="B575">
            <v>591</v>
          </cell>
        </row>
        <row r="576">
          <cell r="A576" t="str">
            <v>Mahesh Patel - Facades</v>
          </cell>
          <cell r="B576">
            <v>2732</v>
          </cell>
        </row>
        <row r="577">
          <cell r="A577" t="str">
            <v>Malibu Floors</v>
          </cell>
          <cell r="B577">
            <v>2735</v>
          </cell>
        </row>
        <row r="578">
          <cell r="A578" t="str">
            <v>Malwa Colton LLC</v>
          </cell>
          <cell r="B578">
            <v>2832</v>
          </cell>
        </row>
        <row r="579">
          <cell r="A579" t="str">
            <v>Marino Construction</v>
          </cell>
          <cell r="B579">
            <v>2335</v>
          </cell>
        </row>
        <row r="580">
          <cell r="A580" t="str">
            <v>Mark Smith Custom Contracting</v>
          </cell>
          <cell r="B580">
            <v>592</v>
          </cell>
        </row>
        <row r="581">
          <cell r="A581" t="str">
            <v>Mark Turner Construction, LLC</v>
          </cell>
          <cell r="B581">
            <v>593</v>
          </cell>
        </row>
        <row r="582">
          <cell r="A582" t="str">
            <v>Marksman Indoor Gun Range</v>
          </cell>
          <cell r="B582">
            <v>594</v>
          </cell>
        </row>
        <row r="583">
          <cell r="A583" t="str">
            <v>Marriott</v>
          </cell>
          <cell r="B583">
            <v>595</v>
          </cell>
        </row>
        <row r="584">
          <cell r="A584" t="str">
            <v>Marriott Fairfield Harrisburg PA</v>
          </cell>
          <cell r="B584">
            <v>3529</v>
          </cell>
        </row>
        <row r="585">
          <cell r="A585" t="str">
            <v>Martin Santillan</v>
          </cell>
          <cell r="B585">
            <v>2813</v>
          </cell>
        </row>
        <row r="586">
          <cell r="A586" t="str">
            <v>Marvin Guevara</v>
          </cell>
          <cell r="B586">
            <v>2590</v>
          </cell>
        </row>
        <row r="587">
          <cell r="A587" t="str">
            <v>MBJM CORPORATION</v>
          </cell>
          <cell r="B587">
            <v>2539</v>
          </cell>
        </row>
        <row r="588">
          <cell r="A588" t="str">
            <v>MCM ELEMENT COURTYARD ELEGANTE HOTEL</v>
          </cell>
          <cell r="B588">
            <v>3225</v>
          </cell>
        </row>
        <row r="589">
          <cell r="A589" t="str">
            <v>MCP Group</v>
          </cell>
          <cell r="B589">
            <v>596</v>
          </cell>
        </row>
        <row r="590">
          <cell r="A590" t="str">
            <v>McRav Lodging</v>
          </cell>
          <cell r="B590">
            <v>2814</v>
          </cell>
        </row>
        <row r="591">
          <cell r="A591" t="str">
            <v>Medallion Hospitality</v>
          </cell>
          <cell r="B591">
            <v>2445</v>
          </cell>
        </row>
        <row r="592">
          <cell r="A592" t="str">
            <v>Megha Raja</v>
          </cell>
          <cell r="B592">
            <v>2589</v>
          </cell>
        </row>
        <row r="593">
          <cell r="A593" t="str">
            <v>Meghani</v>
          </cell>
          <cell r="B593">
            <v>3252</v>
          </cell>
        </row>
        <row r="594">
          <cell r="A594" t="str">
            <v>Mehr Consultancy</v>
          </cell>
          <cell r="B594">
            <v>1934</v>
          </cell>
        </row>
        <row r="595">
          <cell r="A595" t="str">
            <v>Melanie  Manuel</v>
          </cell>
          <cell r="B595">
            <v>1700</v>
          </cell>
        </row>
        <row r="596">
          <cell r="A596" t="str">
            <v>Mesken, LLC</v>
          </cell>
          <cell r="B596">
            <v>2966</v>
          </cell>
        </row>
        <row r="597">
          <cell r="A597" t="str">
            <v>Mesquite Gaming</v>
          </cell>
          <cell r="B597">
            <v>1554</v>
          </cell>
        </row>
        <row r="598">
          <cell r="A598" t="str">
            <v>MIC Hotel Corp.</v>
          </cell>
          <cell r="B598">
            <v>1696</v>
          </cell>
        </row>
        <row r="599">
          <cell r="A599" t="str">
            <v>Microtel - Tracy Ca</v>
          </cell>
          <cell r="B599">
            <v>3371</v>
          </cell>
        </row>
        <row r="600">
          <cell r="A600" t="str">
            <v>Mike Patel</v>
          </cell>
          <cell r="B600">
            <v>597</v>
          </cell>
        </row>
        <row r="601">
          <cell r="A601" t="str">
            <v>Milender White Construction Company</v>
          </cell>
          <cell r="B601">
            <v>1559</v>
          </cell>
        </row>
        <row r="602">
          <cell r="A602" t="str">
            <v>Milender-White</v>
          </cell>
          <cell r="B602">
            <v>3372</v>
          </cell>
        </row>
        <row r="603">
          <cell r="A603" t="str">
            <v>Mital  Patel</v>
          </cell>
          <cell r="B603">
            <v>2355</v>
          </cell>
        </row>
        <row r="604">
          <cell r="A604" t="str">
            <v>Mitch Cox Construction</v>
          </cell>
          <cell r="B604">
            <v>2399</v>
          </cell>
        </row>
        <row r="605">
          <cell r="A605" t="str">
            <v>Moderno Porcelain Works</v>
          </cell>
          <cell r="B605">
            <v>932</v>
          </cell>
        </row>
        <row r="606">
          <cell r="A606" t="str">
            <v>Monarch HGI Conversion / Hilton Garden Inn</v>
          </cell>
          <cell r="B606">
            <v>2486</v>
          </cell>
        </row>
        <row r="607">
          <cell r="A607" t="str">
            <v>Monica Wilcox Interiors</v>
          </cell>
          <cell r="B607">
            <v>1564</v>
          </cell>
        </row>
        <row r="608">
          <cell r="A608" t="str">
            <v>Monsoon Flower LLC</v>
          </cell>
          <cell r="B608">
            <v>1720</v>
          </cell>
        </row>
        <row r="609">
          <cell r="A609" t="str">
            <v>Moody Gardens Galveston Island</v>
          </cell>
          <cell r="B609">
            <v>2603</v>
          </cell>
        </row>
        <row r="610">
          <cell r="A610" t="str">
            <v>Mosaic Hospitality LLC.</v>
          </cell>
          <cell r="B610">
            <v>2923</v>
          </cell>
        </row>
        <row r="611">
          <cell r="A611" t="str">
            <v>Motel6</v>
          </cell>
          <cell r="B611">
            <v>2906</v>
          </cell>
        </row>
        <row r="612">
          <cell r="A612" t="str">
            <v>Motiv Construction LLC</v>
          </cell>
          <cell r="B612">
            <v>2353</v>
          </cell>
        </row>
        <row r="613">
          <cell r="A613" t="str">
            <v>Mount Empor</v>
          </cell>
          <cell r="B613">
            <v>2689</v>
          </cell>
        </row>
        <row r="614">
          <cell r="A614" t="str">
            <v>MQ GROUP</v>
          </cell>
          <cell r="B614">
            <v>3251</v>
          </cell>
        </row>
        <row r="615">
          <cell r="A615" t="str">
            <v>MS  MARLA</v>
          </cell>
          <cell r="B615">
            <v>2522</v>
          </cell>
        </row>
        <row r="616">
          <cell r="A616" t="str">
            <v>MTZ Tile Stone LLC</v>
          </cell>
          <cell r="B616">
            <v>2357</v>
          </cell>
        </row>
        <row r="617">
          <cell r="A617" t="str">
            <v>Mubarak Manasia</v>
          </cell>
          <cell r="B617">
            <v>3135</v>
          </cell>
        </row>
        <row r="618">
          <cell r="A618" t="str">
            <v>Mukesh ‘Mike’ Patel</v>
          </cell>
          <cell r="B618">
            <v>2443</v>
          </cell>
        </row>
        <row r="619">
          <cell r="A619" t="str">
            <v>My Grout Guyz Inc</v>
          </cell>
          <cell r="B619">
            <v>2377</v>
          </cell>
        </row>
        <row r="620">
          <cell r="A620" t="str">
            <v>Namou Hotels</v>
          </cell>
          <cell r="B620">
            <v>2894</v>
          </cell>
        </row>
        <row r="621">
          <cell r="A621" t="str">
            <v>Nancy Paolino</v>
          </cell>
          <cell r="B621">
            <v>2702</v>
          </cell>
        </row>
        <row r="622">
          <cell r="A622" t="str">
            <v>Nandas Holding Ltd.c/o Sunray Group</v>
          </cell>
          <cell r="B622">
            <v>3535</v>
          </cell>
        </row>
        <row r="623">
          <cell r="A623" t="str">
            <v>Napa Design</v>
          </cell>
          <cell r="B623">
            <v>599</v>
          </cell>
        </row>
        <row r="624">
          <cell r="A624" t="str">
            <v>Nathan  Kanengiser</v>
          </cell>
          <cell r="B624">
            <v>2559</v>
          </cell>
        </row>
        <row r="625">
          <cell r="A625" t="str">
            <v>National Lodging Renovation Management</v>
          </cell>
          <cell r="B625">
            <v>600</v>
          </cell>
        </row>
        <row r="626">
          <cell r="A626" t="str">
            <v>National Terrazzo Tile &amp; Marble, Inc.</v>
          </cell>
          <cell r="B626">
            <v>601</v>
          </cell>
        </row>
        <row r="627">
          <cell r="A627" t="str">
            <v>Nature of Marble</v>
          </cell>
          <cell r="B627">
            <v>2664</v>
          </cell>
        </row>
        <row r="628">
          <cell r="A628" t="str">
            <v>NCM, Inc.</v>
          </cell>
          <cell r="B628">
            <v>602</v>
          </cell>
        </row>
        <row r="629">
          <cell r="A629" t="str">
            <v>Neal Patel</v>
          </cell>
          <cell r="B629">
            <v>3179</v>
          </cell>
        </row>
        <row r="630">
          <cell r="A630" t="str">
            <v>New crest image Magnolia Dallas</v>
          </cell>
          <cell r="B630">
            <v>3373</v>
          </cell>
        </row>
        <row r="631">
          <cell r="A631" t="str">
            <v>New holland 626 Inn LLC</v>
          </cell>
          <cell r="B631">
            <v>2910</v>
          </cell>
        </row>
        <row r="632">
          <cell r="A632" t="str">
            <v>New Rock Tile</v>
          </cell>
          <cell r="B632">
            <v>603</v>
          </cell>
        </row>
        <row r="633">
          <cell r="A633" t="str">
            <v>NewCrest Image</v>
          </cell>
          <cell r="B633">
            <v>604</v>
          </cell>
        </row>
        <row r="634">
          <cell r="A634" t="str">
            <v>Newcrest Management, LLC</v>
          </cell>
          <cell r="B634">
            <v>3374</v>
          </cell>
        </row>
        <row r="635">
          <cell r="A635" t="str">
            <v>NHU  NGUYEN</v>
          </cell>
          <cell r="B635">
            <v>3022</v>
          </cell>
        </row>
        <row r="636">
          <cell r="A636" t="str">
            <v>Nick Platt Construction</v>
          </cell>
          <cell r="B636">
            <v>2457</v>
          </cell>
        </row>
        <row r="637">
          <cell r="A637" t="str">
            <v>Nicola de Pellegrini</v>
          </cell>
          <cell r="B637">
            <v>3238</v>
          </cell>
        </row>
        <row r="638">
          <cell r="A638" t="str">
            <v>Nicole Bailey Interiors</v>
          </cell>
          <cell r="B638">
            <v>605</v>
          </cell>
        </row>
        <row r="639">
          <cell r="A639" t="str">
            <v>Nirmal Patel</v>
          </cell>
          <cell r="B639">
            <v>748</v>
          </cell>
        </row>
        <row r="640">
          <cell r="A640" t="str">
            <v>Nispoint LLC Holdings</v>
          </cell>
          <cell r="B640">
            <v>606</v>
          </cell>
        </row>
        <row r="641">
          <cell r="A641" t="str">
            <v>Noordin Prasla</v>
          </cell>
          <cell r="B641">
            <v>607</v>
          </cell>
        </row>
        <row r="642">
          <cell r="A642" t="str">
            <v>North Texas HOCO, LLC</v>
          </cell>
          <cell r="B642">
            <v>2481</v>
          </cell>
        </row>
        <row r="643">
          <cell r="A643" t="str">
            <v>Northlake Innkeepers I Ltd.</v>
          </cell>
          <cell r="B643">
            <v>3375</v>
          </cell>
        </row>
        <row r="644">
          <cell r="A644" t="str">
            <v>Northlake Innkeepers Ltd.</v>
          </cell>
          <cell r="B644">
            <v>608</v>
          </cell>
        </row>
        <row r="645">
          <cell r="A645" t="str">
            <v>NORTHSOUTH CONSTRUCTION, INC.</v>
          </cell>
          <cell r="B645">
            <v>2866</v>
          </cell>
        </row>
        <row r="646">
          <cell r="A646" t="str">
            <v>NYLO Dallas Plano Hotel Tapestry</v>
          </cell>
          <cell r="B646">
            <v>2797</v>
          </cell>
        </row>
        <row r="647">
          <cell r="A647" t="str">
            <v>Odom Services LLC</v>
          </cell>
          <cell r="B647">
            <v>2951</v>
          </cell>
        </row>
        <row r="648">
          <cell r="A648" t="str">
            <v>OKCDT ENTERPRISE,LLC</v>
          </cell>
          <cell r="B648">
            <v>3151</v>
          </cell>
        </row>
        <row r="649">
          <cell r="A649" t="str">
            <v>OM Hospitality Inc</v>
          </cell>
          <cell r="B649">
            <v>2744</v>
          </cell>
        </row>
        <row r="650">
          <cell r="A650" t="str">
            <v>Om Sairam Hospitality Inc.</v>
          </cell>
          <cell r="B650">
            <v>2529</v>
          </cell>
        </row>
        <row r="651">
          <cell r="A651" t="str">
            <v>Omkar Group LLC</v>
          </cell>
          <cell r="B651">
            <v>2738</v>
          </cell>
        </row>
        <row r="652">
          <cell r="A652" t="str">
            <v>Omkar LLC</v>
          </cell>
          <cell r="B652">
            <v>609</v>
          </cell>
        </row>
        <row r="653">
          <cell r="A653" t="str">
            <v>One Source Commercial Flooring Inc</v>
          </cell>
          <cell r="B653">
            <v>610</v>
          </cell>
        </row>
        <row r="654">
          <cell r="A654" t="str">
            <v>Opus Industries</v>
          </cell>
          <cell r="B654">
            <v>611</v>
          </cell>
        </row>
        <row r="655">
          <cell r="A655" t="str">
            <v>Oshkosh Lodging LLC</v>
          </cell>
          <cell r="B655">
            <v>2739</v>
          </cell>
        </row>
        <row r="656">
          <cell r="A656" t="str">
            <v>Overland Park KS</v>
          </cell>
          <cell r="B656">
            <v>612</v>
          </cell>
        </row>
        <row r="657">
          <cell r="A657" t="str">
            <v>P &amp; L Home and Business</v>
          </cell>
          <cell r="B657">
            <v>613</v>
          </cell>
        </row>
        <row r="658">
          <cell r="A658" t="str">
            <v>P.A. Commercial Flooring Inc</v>
          </cell>
          <cell r="B658">
            <v>614</v>
          </cell>
        </row>
        <row r="659">
          <cell r="A659" t="str">
            <v>Padua Realty</v>
          </cell>
          <cell r="B659">
            <v>725</v>
          </cell>
        </row>
        <row r="660">
          <cell r="A660" t="str">
            <v>Padua Realty Company</v>
          </cell>
          <cell r="B660">
            <v>3376</v>
          </cell>
        </row>
        <row r="661">
          <cell r="A661" t="str">
            <v>Palace Inn</v>
          </cell>
          <cell r="B661">
            <v>616</v>
          </cell>
        </row>
        <row r="662">
          <cell r="A662" t="str">
            <v>Palace Inn Franchising, LLC</v>
          </cell>
          <cell r="B662">
            <v>3053</v>
          </cell>
        </row>
        <row r="663">
          <cell r="A663" t="str">
            <v>Palma Settimi Inc.</v>
          </cell>
          <cell r="B663">
            <v>3301</v>
          </cell>
        </row>
        <row r="664">
          <cell r="A664" t="str">
            <v>Pandya Hospitality</v>
          </cell>
          <cell r="B664">
            <v>617</v>
          </cell>
        </row>
        <row r="665">
          <cell r="A665" t="str">
            <v>Paresha Desai</v>
          </cell>
          <cell r="B665">
            <v>618</v>
          </cell>
        </row>
        <row r="666">
          <cell r="A666" t="str">
            <v>Parkway Apartments</v>
          </cell>
          <cell r="B666">
            <v>619</v>
          </cell>
        </row>
        <row r="667">
          <cell r="A667" t="str">
            <v>Parth Kikani</v>
          </cell>
          <cell r="B667">
            <v>620</v>
          </cell>
        </row>
        <row r="668">
          <cell r="A668" t="str">
            <v>Parvin Parmar</v>
          </cell>
          <cell r="B668">
            <v>621</v>
          </cell>
        </row>
        <row r="669">
          <cell r="A669" t="str">
            <v>Patel Residence</v>
          </cell>
          <cell r="B669">
            <v>2791</v>
          </cell>
        </row>
        <row r="670">
          <cell r="A670" t="str">
            <v>Paul Graham Company</v>
          </cell>
          <cell r="B670">
            <v>622</v>
          </cell>
        </row>
        <row r="671">
          <cell r="A671" t="str">
            <v>Paul Kenderdine</v>
          </cell>
          <cell r="B671">
            <v>623</v>
          </cell>
        </row>
        <row r="672">
          <cell r="A672" t="str">
            <v>Paul Urick</v>
          </cell>
          <cell r="B672">
            <v>624</v>
          </cell>
        </row>
        <row r="673">
          <cell r="A673" t="str">
            <v>Pawan Kumar Pool House</v>
          </cell>
          <cell r="B673">
            <v>625</v>
          </cell>
        </row>
        <row r="674">
          <cell r="A674" t="str">
            <v>PDL Designs</v>
          </cell>
          <cell r="B674">
            <v>626</v>
          </cell>
        </row>
        <row r="675">
          <cell r="A675" t="str">
            <v>Peachtree Hotel Group, LLC</v>
          </cell>
          <cell r="B675">
            <v>627</v>
          </cell>
        </row>
        <row r="676">
          <cell r="A676" t="str">
            <v>Pearl and Posh L.L.C (BODENVY)</v>
          </cell>
          <cell r="B676">
            <v>3112</v>
          </cell>
        </row>
        <row r="677">
          <cell r="A677" t="str">
            <v>Penberthy Custom Builders</v>
          </cell>
          <cell r="B677">
            <v>2764</v>
          </cell>
        </row>
        <row r="678">
          <cell r="A678" t="str">
            <v>Pentex Builders</v>
          </cell>
          <cell r="B678">
            <v>2299</v>
          </cell>
        </row>
        <row r="679">
          <cell r="A679" t="str">
            <v>PerfClay (Performance Clay Products)</v>
          </cell>
          <cell r="B679">
            <v>628</v>
          </cell>
        </row>
        <row r="680">
          <cell r="A680" t="str">
            <v>Periyar Dharma LLC</v>
          </cell>
          <cell r="B680">
            <v>3010</v>
          </cell>
        </row>
        <row r="681">
          <cell r="A681" t="str">
            <v>Perkins Eastman</v>
          </cell>
          <cell r="B681">
            <v>2850</v>
          </cell>
        </row>
        <row r="682">
          <cell r="A682" t="str">
            <v>Persona Triangle</v>
          </cell>
          <cell r="B682">
            <v>749</v>
          </cell>
        </row>
        <row r="683">
          <cell r="A683" t="str">
            <v>Pete Patel</v>
          </cell>
          <cell r="B683">
            <v>629</v>
          </cell>
        </row>
        <row r="684">
          <cell r="A684" t="str">
            <v>PGI Wells, LLC</v>
          </cell>
          <cell r="B684">
            <v>2695</v>
          </cell>
        </row>
        <row r="685">
          <cell r="A685" t="str">
            <v>Philip Uddin</v>
          </cell>
          <cell r="B685">
            <v>630</v>
          </cell>
        </row>
        <row r="686">
          <cell r="A686" t="str">
            <v>Phx Pros Contracting &amp; Remodeling LLC</v>
          </cell>
          <cell r="B686">
            <v>3144</v>
          </cell>
        </row>
        <row r="687">
          <cell r="A687" t="str">
            <v>Pillar Construction</v>
          </cell>
          <cell r="B687">
            <v>2401</v>
          </cell>
        </row>
        <row r="688">
          <cell r="A688" t="str">
            <v>Pinnacle Carothers McEwen LLC</v>
          </cell>
          <cell r="B688">
            <v>3064</v>
          </cell>
        </row>
        <row r="689">
          <cell r="A689" t="str">
            <v>Pinnacle Hospitality Partners</v>
          </cell>
          <cell r="B689">
            <v>631</v>
          </cell>
        </row>
        <row r="690">
          <cell r="A690" t="str">
            <v>Pinnacle Hospitality Partners / Hilton Garden inn Nashville</v>
          </cell>
          <cell r="B690">
            <v>3547</v>
          </cell>
        </row>
        <row r="691">
          <cell r="A691" t="str">
            <v>Pinnacle Marble &amp; Granite, Inc.</v>
          </cell>
          <cell r="B691">
            <v>2273</v>
          </cell>
        </row>
        <row r="692">
          <cell r="A692" t="str">
            <v>Pinnacle Marble And Granite, Inc</v>
          </cell>
          <cell r="B692">
            <v>632</v>
          </cell>
        </row>
        <row r="693">
          <cell r="A693" t="str">
            <v>Pinnacle Restaurant Solutions Inc.</v>
          </cell>
          <cell r="B693">
            <v>633</v>
          </cell>
        </row>
        <row r="694">
          <cell r="A694" t="str">
            <v>Pinnacle Tile &amp; Flooring Inc</v>
          </cell>
          <cell r="B694">
            <v>634</v>
          </cell>
        </row>
        <row r="695">
          <cell r="A695" t="str">
            <v>Pitt-Cran Hospitality, LLC</v>
          </cell>
          <cell r="B695">
            <v>635</v>
          </cell>
        </row>
        <row r="696">
          <cell r="A696" t="str">
            <v>Pitt-Cran Hospitality, LLC/ Wingate Cranberry</v>
          </cell>
          <cell r="B696">
            <v>3377</v>
          </cell>
        </row>
        <row r="697">
          <cell r="A697" t="str">
            <v>Platinum Hospitality</v>
          </cell>
          <cell r="B697">
            <v>2504</v>
          </cell>
        </row>
        <row r="698">
          <cell r="A698" t="str">
            <v>Platinum Hospitality Management</v>
          </cell>
          <cell r="B698">
            <v>636</v>
          </cell>
        </row>
        <row r="699">
          <cell r="A699" t="str">
            <v>Platinum Pittsburg, LLC</v>
          </cell>
          <cell r="B699">
            <v>2736</v>
          </cell>
        </row>
        <row r="700">
          <cell r="A700" t="str">
            <v>Platinum Pools</v>
          </cell>
          <cell r="B700">
            <v>637</v>
          </cell>
        </row>
        <row r="701">
          <cell r="A701" t="str">
            <v>Platow Tile</v>
          </cell>
          <cell r="B701">
            <v>638</v>
          </cell>
        </row>
        <row r="702">
          <cell r="A702" t="str">
            <v>Plumbers Supply Company</v>
          </cell>
          <cell r="B702">
            <v>639</v>
          </cell>
        </row>
        <row r="703">
          <cell r="A703" t="str">
            <v>Polish Highlander LLC</v>
          </cell>
          <cell r="B703">
            <v>640</v>
          </cell>
        </row>
        <row r="704">
          <cell r="A704" t="str">
            <v>Pono Stone LLC</v>
          </cell>
          <cell r="B704">
            <v>2709</v>
          </cell>
        </row>
        <row r="705">
          <cell r="A705" t="str">
            <v>Porcelain of Texas</v>
          </cell>
          <cell r="B705">
            <v>641</v>
          </cell>
        </row>
        <row r="706">
          <cell r="A706" t="str">
            <v>Port Arthur Hospitality LLC</v>
          </cell>
          <cell r="B706">
            <v>642</v>
          </cell>
        </row>
        <row r="707">
          <cell r="A707" t="str">
            <v>Postcard Inn</v>
          </cell>
          <cell r="B707">
            <v>643</v>
          </cell>
        </row>
        <row r="708">
          <cell r="A708" t="str">
            <v>Pragyan Mainali</v>
          </cell>
          <cell r="B708">
            <v>1710</v>
          </cell>
        </row>
        <row r="709">
          <cell r="A709" t="str">
            <v>Precision Specialty Floors</v>
          </cell>
          <cell r="B709">
            <v>644</v>
          </cell>
        </row>
        <row r="710">
          <cell r="A710" t="str">
            <v>PREDOCK</v>
          </cell>
          <cell r="B710">
            <v>2162</v>
          </cell>
        </row>
        <row r="711">
          <cell r="A711" t="str">
            <v>Preeminent Construction</v>
          </cell>
          <cell r="B711">
            <v>2187</v>
          </cell>
        </row>
        <row r="712">
          <cell r="A712" t="str">
            <v>Premier Commercial Floors LLC</v>
          </cell>
          <cell r="B712">
            <v>645</v>
          </cell>
        </row>
        <row r="713">
          <cell r="A713" t="str">
            <v>Premier Patios &amp; Outdoors</v>
          </cell>
          <cell r="B713">
            <v>646</v>
          </cell>
        </row>
        <row r="714">
          <cell r="A714" t="str">
            <v>Premier Project Management</v>
          </cell>
          <cell r="B714">
            <v>647</v>
          </cell>
        </row>
        <row r="715">
          <cell r="A715" t="str">
            <v>Premium Hospitality Solutions dba Hospitality Plus</v>
          </cell>
          <cell r="B715">
            <v>2725</v>
          </cell>
        </row>
        <row r="716">
          <cell r="A716" t="str">
            <v>Prevail Waxahachie LLC</v>
          </cell>
          <cell r="B716">
            <v>2800</v>
          </cell>
        </row>
        <row r="717">
          <cell r="A717" t="str">
            <v>Prime Group</v>
          </cell>
          <cell r="B717">
            <v>648</v>
          </cell>
        </row>
        <row r="718">
          <cell r="A718" t="str">
            <v>PRIME SAY LLC</v>
          </cell>
          <cell r="B718">
            <v>2455</v>
          </cell>
        </row>
        <row r="719">
          <cell r="A719" t="str">
            <v>Prince Preferred Hotels</v>
          </cell>
          <cell r="B719">
            <v>649</v>
          </cell>
        </row>
        <row r="720">
          <cell r="A720" t="str">
            <v>Priya Vaswani_Hawthorn Suites Brownsville, TX</v>
          </cell>
          <cell r="B720">
            <v>3304</v>
          </cell>
        </row>
        <row r="721">
          <cell r="A721" t="str">
            <v>PRM Contracting</v>
          </cell>
          <cell r="B721">
            <v>650</v>
          </cell>
        </row>
        <row r="722">
          <cell r="A722" t="str">
            <v>PVA Construction</v>
          </cell>
          <cell r="B722">
            <v>651</v>
          </cell>
        </row>
        <row r="723">
          <cell r="A723" t="str">
            <v>Pyarali Charania</v>
          </cell>
          <cell r="B723">
            <v>652</v>
          </cell>
        </row>
        <row r="724">
          <cell r="A724" t="str">
            <v>Q Hotels</v>
          </cell>
          <cell r="B724">
            <v>653</v>
          </cell>
        </row>
        <row r="725">
          <cell r="A725" t="str">
            <v>Qualified Interiors Inc</v>
          </cell>
          <cell r="B725">
            <v>654</v>
          </cell>
        </row>
        <row r="726">
          <cell r="A726" t="str">
            <v>Quality Floors Contract, Inc.</v>
          </cell>
          <cell r="B726">
            <v>655</v>
          </cell>
        </row>
        <row r="727">
          <cell r="A727" t="str">
            <v>Quality Inn Del Valle</v>
          </cell>
          <cell r="B727">
            <v>2626</v>
          </cell>
        </row>
        <row r="728">
          <cell r="A728" t="str">
            <v>Quality Service Floor Covering</v>
          </cell>
          <cell r="B728">
            <v>2639</v>
          </cell>
        </row>
        <row r="729">
          <cell r="A729" t="str">
            <v>Quality Tile, Marble, Slate &amp; Granite</v>
          </cell>
          <cell r="B729">
            <v>656</v>
          </cell>
        </row>
        <row r="730">
          <cell r="A730" t="str">
            <v>Quanism</v>
          </cell>
          <cell r="B730">
            <v>657</v>
          </cell>
        </row>
        <row r="731">
          <cell r="A731" t="str">
            <v>Queen City Winnelson</v>
          </cell>
          <cell r="B731">
            <v>2336</v>
          </cell>
        </row>
        <row r="732">
          <cell r="A732" t="str">
            <v>R Builders</v>
          </cell>
          <cell r="B732">
            <v>658</v>
          </cell>
        </row>
        <row r="733">
          <cell r="A733" t="str">
            <v>Rafael Figueroa</v>
          </cell>
          <cell r="B733">
            <v>659</v>
          </cell>
        </row>
        <row r="734">
          <cell r="A734" t="str">
            <v>Rahi Hospitality LLC</v>
          </cell>
          <cell r="B734">
            <v>3048</v>
          </cell>
        </row>
        <row r="735">
          <cell r="A735" t="str">
            <v>Raj Patel</v>
          </cell>
          <cell r="B735">
            <v>660</v>
          </cell>
        </row>
        <row r="736">
          <cell r="A736" t="str">
            <v>Raja Foods</v>
          </cell>
          <cell r="B736">
            <v>661</v>
          </cell>
        </row>
        <row r="737">
          <cell r="A737" t="str">
            <v>Raju Sheth</v>
          </cell>
          <cell r="B737">
            <v>1712</v>
          </cell>
        </row>
        <row r="738">
          <cell r="A738" t="str">
            <v>Ramada Plaza Resort &amp; Suites Orlando/ MIC Hotel Corp</v>
          </cell>
          <cell r="B738">
            <v>3556</v>
          </cell>
        </row>
        <row r="739">
          <cell r="A739" t="str">
            <v>Ramada Plaza Resorts &amp; Suites</v>
          </cell>
          <cell r="B739">
            <v>662</v>
          </cell>
        </row>
        <row r="740">
          <cell r="A740" t="str">
            <v>RAMS Hotel Management</v>
          </cell>
          <cell r="B740">
            <v>663</v>
          </cell>
        </row>
        <row r="741">
          <cell r="A741" t="str">
            <v>Ramsey Lawless</v>
          </cell>
          <cell r="B741">
            <v>664</v>
          </cell>
        </row>
        <row r="742">
          <cell r="A742" t="str">
            <v>Ray Dayal</v>
          </cell>
          <cell r="B742">
            <v>665</v>
          </cell>
        </row>
        <row r="743">
          <cell r="A743" t="str">
            <v>RCH Design Build</v>
          </cell>
          <cell r="B743">
            <v>666</v>
          </cell>
        </row>
        <row r="744">
          <cell r="A744" t="str">
            <v>Reagan Gabriels Real Estate LLC</v>
          </cell>
          <cell r="B744">
            <v>667</v>
          </cell>
        </row>
        <row r="745">
          <cell r="A745" t="str">
            <v>Real Floors Commercial, Inc.</v>
          </cell>
          <cell r="B745">
            <v>668</v>
          </cell>
        </row>
        <row r="746">
          <cell r="A746" t="str">
            <v>Red Roof Inn</v>
          </cell>
          <cell r="B746">
            <v>669</v>
          </cell>
        </row>
        <row r="747">
          <cell r="A747" t="str">
            <v>Red Roof Plus-Manassas</v>
          </cell>
          <cell r="B747">
            <v>3379</v>
          </cell>
        </row>
        <row r="748">
          <cell r="A748" t="str">
            <v>Redco Distribution</v>
          </cell>
          <cell r="B748">
            <v>670</v>
          </cell>
        </row>
        <row r="749">
          <cell r="A749" t="str">
            <v>Reena Patel</v>
          </cell>
          <cell r="B749">
            <v>1701</v>
          </cell>
        </row>
        <row r="750">
          <cell r="A750" t="str">
            <v>Reeva Inc.</v>
          </cell>
          <cell r="B750">
            <v>671</v>
          </cell>
        </row>
        <row r="751">
          <cell r="A751" t="str">
            <v>Regency Inn and Suites</v>
          </cell>
          <cell r="B751">
            <v>672</v>
          </cell>
        </row>
        <row r="752">
          <cell r="A752" t="str">
            <v>RELATED Companies</v>
          </cell>
          <cell r="B752">
            <v>2706</v>
          </cell>
        </row>
        <row r="753">
          <cell r="A753" t="str">
            <v>Reliant Hardwood Flooring Inc</v>
          </cell>
          <cell r="B753">
            <v>673</v>
          </cell>
        </row>
        <row r="754">
          <cell r="A754" t="str">
            <v>Remodeler's Dream</v>
          </cell>
          <cell r="B754">
            <v>2674</v>
          </cell>
        </row>
        <row r="755">
          <cell r="A755" t="str">
            <v>Renfrow Decorative Center</v>
          </cell>
          <cell r="B755">
            <v>674</v>
          </cell>
        </row>
        <row r="756">
          <cell r="A756" t="str">
            <v>Renu</v>
          </cell>
          <cell r="B756">
            <v>675</v>
          </cell>
        </row>
        <row r="757">
          <cell r="A757" t="str">
            <v>Residence Inn</v>
          </cell>
          <cell r="B757">
            <v>676</v>
          </cell>
        </row>
        <row r="758">
          <cell r="A758" t="str">
            <v>Residence Inn - San Marcos TX</v>
          </cell>
          <cell r="B758">
            <v>2338</v>
          </cell>
        </row>
        <row r="759">
          <cell r="A759" t="str">
            <v>Residence Inn Indianapolis, IN</v>
          </cell>
          <cell r="B759">
            <v>2609</v>
          </cell>
        </row>
        <row r="760">
          <cell r="A760" t="str">
            <v>Residence Inn Montgomery</v>
          </cell>
          <cell r="B760">
            <v>2760</v>
          </cell>
        </row>
        <row r="761">
          <cell r="A761" t="str">
            <v>Residence Inn Pearland, TX</v>
          </cell>
          <cell r="B761">
            <v>2466</v>
          </cell>
        </row>
        <row r="762">
          <cell r="A762" t="str">
            <v>Restaurant Renovations Inc</v>
          </cell>
          <cell r="B762">
            <v>3125</v>
          </cell>
        </row>
        <row r="763">
          <cell r="A763" t="str">
            <v>Rexel</v>
          </cell>
          <cell r="B763">
            <v>677</v>
          </cell>
        </row>
        <row r="764">
          <cell r="A764" t="str">
            <v>Rio Vista Holdings LLC</v>
          </cell>
          <cell r="B764">
            <v>678</v>
          </cell>
        </row>
        <row r="765">
          <cell r="A765" t="str">
            <v>Ritz-Carlton Hotel Company</v>
          </cell>
          <cell r="B765">
            <v>679</v>
          </cell>
        </row>
        <row r="766">
          <cell r="A766" t="str">
            <v>Ritzway Group, LLC</v>
          </cell>
          <cell r="B766">
            <v>680</v>
          </cell>
        </row>
        <row r="767">
          <cell r="A767" t="str">
            <v>Ritzway Group, LLC / Crowne Plaza Galleria Area</v>
          </cell>
          <cell r="B767">
            <v>3381</v>
          </cell>
        </row>
        <row r="768">
          <cell r="A768" t="str">
            <v>Ritzway Group, LLC / Sheraton Columbus</v>
          </cell>
          <cell r="B768">
            <v>3551</v>
          </cell>
        </row>
        <row r="769">
          <cell r="A769" t="str">
            <v>RJ Capital Holdings</v>
          </cell>
          <cell r="B769">
            <v>2617</v>
          </cell>
        </row>
        <row r="770">
          <cell r="A770" t="str">
            <v>RMZ Construction</v>
          </cell>
          <cell r="B770">
            <v>681</v>
          </cell>
        </row>
        <row r="771">
          <cell r="A771" t="str">
            <v>Roadrunner Furnishings</v>
          </cell>
          <cell r="B771">
            <v>682</v>
          </cell>
        </row>
        <row r="772">
          <cell r="A772" t="str">
            <v>Rock River Valley Flooring Inc</v>
          </cell>
          <cell r="B772">
            <v>2288</v>
          </cell>
        </row>
        <row r="773">
          <cell r="A773" t="str">
            <v>Roundrock Gold Hospitality LLC</v>
          </cell>
          <cell r="B773">
            <v>683</v>
          </cell>
        </row>
        <row r="774">
          <cell r="A774" t="str">
            <v>Rubina Byramji</v>
          </cell>
          <cell r="B774">
            <v>684</v>
          </cell>
        </row>
        <row r="775">
          <cell r="A775" t="str">
            <v>Ryan Company</v>
          </cell>
          <cell r="B775">
            <v>685</v>
          </cell>
        </row>
        <row r="776">
          <cell r="A776" t="str">
            <v>Sahara Las Vegas</v>
          </cell>
          <cell r="B776">
            <v>2501</v>
          </cell>
        </row>
        <row r="777">
          <cell r="A777" t="str">
            <v>Said Develpers LLC</v>
          </cell>
          <cell r="B777">
            <v>750</v>
          </cell>
        </row>
        <row r="778">
          <cell r="A778" t="str">
            <v>Saikrupa Iah Inc</v>
          </cell>
          <cell r="B778">
            <v>2769</v>
          </cell>
        </row>
        <row r="779">
          <cell r="A779" t="str">
            <v>Sam  Shah</v>
          </cell>
          <cell r="B779">
            <v>2332</v>
          </cell>
        </row>
        <row r="780">
          <cell r="A780" t="str">
            <v>Sam Shah</v>
          </cell>
          <cell r="B780">
            <v>3382</v>
          </cell>
        </row>
        <row r="781">
          <cell r="A781" t="str">
            <v>SAM SHAH / ISHA REALTY INC. -COMFORT INN - GALVESTON</v>
          </cell>
          <cell r="B781">
            <v>3383</v>
          </cell>
        </row>
        <row r="782">
          <cell r="A782" t="str">
            <v>Sam Shah Residence</v>
          </cell>
          <cell r="B782">
            <v>3384</v>
          </cell>
        </row>
        <row r="783">
          <cell r="A783" t="str">
            <v>Samshah Patel</v>
          </cell>
          <cell r="B783">
            <v>686</v>
          </cell>
        </row>
        <row r="784">
          <cell r="A784" t="str">
            <v>SAPIEN STONE INC</v>
          </cell>
          <cell r="B784">
            <v>3385</v>
          </cell>
        </row>
        <row r="785">
          <cell r="A785" t="str">
            <v>Sarina Hospitality &amp; Management, Inc.</v>
          </cell>
          <cell r="B785">
            <v>3025</v>
          </cell>
        </row>
        <row r="786">
          <cell r="A786" t="str">
            <v>Satesh Limited</v>
          </cell>
          <cell r="B786">
            <v>2799</v>
          </cell>
        </row>
        <row r="787">
          <cell r="A787" t="str">
            <v>Saudi Marketing Company</v>
          </cell>
          <cell r="B787">
            <v>2585</v>
          </cell>
        </row>
        <row r="788">
          <cell r="A788" t="str">
            <v>Schoenfelder Renovations</v>
          </cell>
          <cell r="B788">
            <v>2599</v>
          </cell>
        </row>
        <row r="789">
          <cell r="A789" t="str">
            <v>Scout Design Studio</v>
          </cell>
          <cell r="B789">
            <v>1551</v>
          </cell>
        </row>
        <row r="790">
          <cell r="A790" t="str">
            <v>Sea Glass Beach Place LLC</v>
          </cell>
          <cell r="B790">
            <v>2629</v>
          </cell>
        </row>
        <row r="791">
          <cell r="A791" t="str">
            <v>SET Floors</v>
          </cell>
          <cell r="B791">
            <v>933</v>
          </cell>
        </row>
        <row r="792">
          <cell r="A792" t="str">
            <v>Sevan Multi Site Solutions.</v>
          </cell>
          <cell r="B792">
            <v>3141</v>
          </cell>
        </row>
        <row r="793">
          <cell r="A793" t="str">
            <v>Sheetal Patel</v>
          </cell>
          <cell r="B793">
            <v>688</v>
          </cell>
        </row>
        <row r="794">
          <cell r="A794" t="str">
            <v>SHELCO LLC</v>
          </cell>
          <cell r="B794">
            <v>2613</v>
          </cell>
        </row>
        <row r="795">
          <cell r="A795" t="str">
            <v>Shera LLC</v>
          </cell>
          <cell r="B795">
            <v>1703</v>
          </cell>
        </row>
        <row r="796">
          <cell r="A796" t="str">
            <v>Shiva Hotels Inc.</v>
          </cell>
          <cell r="B796">
            <v>2169</v>
          </cell>
        </row>
        <row r="797">
          <cell r="A797" t="str">
            <v>Shivani Patel - La Quinta Fogelsville, PA</v>
          </cell>
          <cell r="B797">
            <v>3652</v>
          </cell>
        </row>
        <row r="798">
          <cell r="A798" t="str">
            <v>Shree Homes</v>
          </cell>
          <cell r="B798">
            <v>3290</v>
          </cell>
        </row>
        <row r="799">
          <cell r="A799" t="str">
            <v>Shree Om 3530 LLC</v>
          </cell>
          <cell r="B799">
            <v>1718</v>
          </cell>
        </row>
        <row r="800">
          <cell r="A800" t="str">
            <v>Shreya Construction LLC</v>
          </cell>
          <cell r="B800">
            <v>2691</v>
          </cell>
        </row>
        <row r="801">
          <cell r="A801" t="str">
            <v>Shri Omkara LLC</v>
          </cell>
          <cell r="B801">
            <v>2554</v>
          </cell>
        </row>
        <row r="802">
          <cell r="A802" t="str">
            <v>Shular Hospitality</v>
          </cell>
          <cell r="B802">
            <v>1715</v>
          </cell>
        </row>
        <row r="803">
          <cell r="A803" t="str">
            <v>Sigma Marble Granite and Tile</v>
          </cell>
          <cell r="B803">
            <v>3386</v>
          </cell>
        </row>
        <row r="804">
          <cell r="A804" t="str">
            <v>Sinclair Construction Management</v>
          </cell>
          <cell r="B804">
            <v>2753</v>
          </cell>
        </row>
        <row r="805">
          <cell r="A805" t="str">
            <v>SKIMS Retail</v>
          </cell>
          <cell r="B805">
            <v>2597</v>
          </cell>
        </row>
        <row r="806">
          <cell r="A806" t="str">
            <v>SKIMS Retail - Bulk-3</v>
          </cell>
          <cell r="B806">
            <v>3069</v>
          </cell>
        </row>
        <row r="807">
          <cell r="A807" t="str">
            <v>Sleep Inn &amp; Suites</v>
          </cell>
          <cell r="B807">
            <v>2690</v>
          </cell>
        </row>
        <row r="808">
          <cell r="A808" t="str">
            <v>Sleep Inn and Suites</v>
          </cell>
          <cell r="B808">
            <v>2719</v>
          </cell>
        </row>
        <row r="809">
          <cell r="A809" t="str">
            <v>Sleep Inn-- Emerson, GA</v>
          </cell>
          <cell r="B809">
            <v>3646</v>
          </cell>
        </row>
        <row r="810">
          <cell r="A810" t="str">
            <v>Sletten Construction Company</v>
          </cell>
          <cell r="B810">
            <v>751</v>
          </cell>
        </row>
        <row r="811">
          <cell r="A811" t="str">
            <v>Smart Remodeling LLC</v>
          </cell>
          <cell r="B811">
            <v>1577</v>
          </cell>
        </row>
        <row r="812">
          <cell r="A812" t="str">
            <v>Smart Stop</v>
          </cell>
          <cell r="B812">
            <v>2728</v>
          </cell>
        </row>
        <row r="813">
          <cell r="A813" t="str">
            <v>SMD Contracting, Inc</v>
          </cell>
          <cell r="B813">
            <v>3387</v>
          </cell>
        </row>
        <row r="814">
          <cell r="A814" t="str">
            <v>SMD Contracting, Inc.</v>
          </cell>
          <cell r="B814">
            <v>689</v>
          </cell>
        </row>
        <row r="815">
          <cell r="A815" t="str">
            <v>Soma construction</v>
          </cell>
          <cell r="B815">
            <v>2306</v>
          </cell>
        </row>
        <row r="816">
          <cell r="A816" t="str">
            <v>Soma Construction- Facades</v>
          </cell>
          <cell r="B816">
            <v>2780</v>
          </cell>
        </row>
        <row r="817">
          <cell r="A817" t="str">
            <v>Someshwar Motel LLC</v>
          </cell>
          <cell r="B817">
            <v>1698</v>
          </cell>
        </row>
        <row r="818">
          <cell r="A818" t="str">
            <v>Someshwar Motel LLC - Comfort Inn Ogallala, NE</v>
          </cell>
          <cell r="B818">
            <v>3388</v>
          </cell>
        </row>
        <row r="819">
          <cell r="A819" t="str">
            <v>Sonder</v>
          </cell>
          <cell r="B819">
            <v>690</v>
          </cell>
        </row>
        <row r="820">
          <cell r="A820" t="str">
            <v>Sosa Construction</v>
          </cell>
          <cell r="B820">
            <v>1578</v>
          </cell>
        </row>
        <row r="821">
          <cell r="A821" t="str">
            <v>Southwest Contracting LP</v>
          </cell>
          <cell r="B821">
            <v>2334</v>
          </cell>
        </row>
        <row r="822">
          <cell r="A822" t="str">
            <v>Spartan Surfaces</v>
          </cell>
          <cell r="B822">
            <v>2847</v>
          </cell>
        </row>
        <row r="823">
          <cell r="A823" t="str">
            <v>Specialty Tile Products</v>
          </cell>
          <cell r="B823">
            <v>2523</v>
          </cell>
        </row>
        <row r="824">
          <cell r="A824" t="str">
            <v>Specialty Tile Products Inc.</v>
          </cell>
          <cell r="B824">
            <v>3566</v>
          </cell>
        </row>
        <row r="825">
          <cell r="A825" t="str">
            <v>Spectra Contract flooring</v>
          </cell>
          <cell r="B825">
            <v>2793</v>
          </cell>
        </row>
        <row r="826">
          <cell r="A826" t="str">
            <v>Spectra Contract Flooring - Houston</v>
          </cell>
          <cell r="B826">
            <v>2627</v>
          </cell>
        </row>
        <row r="827">
          <cell r="A827" t="str">
            <v>Spring Hill Hotel Partners LLC</v>
          </cell>
          <cell r="B827">
            <v>2889</v>
          </cell>
        </row>
        <row r="828">
          <cell r="A828" t="str">
            <v>Springhill Greensboro NC</v>
          </cell>
          <cell r="B828">
            <v>2450</v>
          </cell>
        </row>
        <row r="829">
          <cell r="A829" t="str">
            <v>SSC Construction</v>
          </cell>
          <cell r="B829">
            <v>2415</v>
          </cell>
        </row>
        <row r="830">
          <cell r="A830" t="str">
            <v>SSG Hotels LLC</v>
          </cell>
          <cell r="B830">
            <v>2297</v>
          </cell>
        </row>
        <row r="831">
          <cell r="A831" t="str">
            <v>Stay Bridge - Manteca - CA - Aman Dhillon</v>
          </cell>
          <cell r="B831">
            <v>3389</v>
          </cell>
        </row>
        <row r="832">
          <cell r="A832" t="str">
            <v>STAYBRIDGE - HOUSTON</v>
          </cell>
          <cell r="B832">
            <v>2795</v>
          </cell>
        </row>
        <row r="833">
          <cell r="A833" t="str">
            <v>Staybridge Suites c/o Ravi Designs</v>
          </cell>
          <cell r="B833">
            <v>2606</v>
          </cell>
        </row>
        <row r="834">
          <cell r="A834" t="str">
            <v>Stealth Construction</v>
          </cell>
          <cell r="B834">
            <v>3247</v>
          </cell>
        </row>
        <row r="835">
          <cell r="A835" t="str">
            <v>Steve Hari - Facades</v>
          </cell>
          <cell r="B835">
            <v>2831</v>
          </cell>
        </row>
        <row r="836">
          <cell r="A836" t="str">
            <v>Steve Hari Residence</v>
          </cell>
          <cell r="B836">
            <v>2532</v>
          </cell>
        </row>
        <row r="837">
          <cell r="A837" t="str">
            <v>Steve Hari/ Best Western TN</v>
          </cell>
          <cell r="B837">
            <v>3570</v>
          </cell>
        </row>
        <row r="838">
          <cell r="A838" t="str">
            <v>Stone Edge Countertops</v>
          </cell>
          <cell r="B838">
            <v>691</v>
          </cell>
        </row>
        <row r="839">
          <cell r="A839" t="str">
            <v>STONE EDGE COUNTERTTOPS</v>
          </cell>
          <cell r="B839">
            <v>3390</v>
          </cell>
        </row>
        <row r="840">
          <cell r="A840" t="str">
            <v>Stone Peak Ceramics, Inc.</v>
          </cell>
          <cell r="B840">
            <v>692</v>
          </cell>
        </row>
        <row r="841">
          <cell r="A841" t="str">
            <v>Stone Solutions, Inc / Austin</v>
          </cell>
          <cell r="B841">
            <v>2594</v>
          </cell>
        </row>
        <row r="842">
          <cell r="A842" t="str">
            <v>Stone Store</v>
          </cell>
          <cell r="B842">
            <v>2965</v>
          </cell>
        </row>
        <row r="843">
          <cell r="A843" t="str">
            <v>StoneRidge Hospitality Group</v>
          </cell>
          <cell r="B843">
            <v>693</v>
          </cell>
        </row>
        <row r="844">
          <cell r="A844" t="str">
            <v>SUBLIME CUSTOM STONE</v>
          </cell>
          <cell r="B844">
            <v>3555</v>
          </cell>
        </row>
        <row r="845">
          <cell r="A845" t="str">
            <v>Summit Construction Co., Inc.</v>
          </cell>
          <cell r="B845">
            <v>2841</v>
          </cell>
        </row>
        <row r="846">
          <cell r="A846" t="str">
            <v>Summit Construction Company</v>
          </cell>
          <cell r="B846">
            <v>2604</v>
          </cell>
        </row>
        <row r="847">
          <cell r="A847" t="str">
            <v>Sunbridge Venetian LP Inc.</v>
          </cell>
          <cell r="B847">
            <v>736</v>
          </cell>
        </row>
        <row r="848">
          <cell r="A848" t="str">
            <v>Sunbridge Venetian LP Inc.1</v>
          </cell>
          <cell r="B848">
            <v>3512</v>
          </cell>
        </row>
        <row r="849">
          <cell r="A849" t="str">
            <v>Sundaram Builders, Inc.</v>
          </cell>
          <cell r="B849">
            <v>752</v>
          </cell>
        </row>
        <row r="850">
          <cell r="A850" t="str">
            <v>Sunil Tolani</v>
          </cell>
          <cell r="B850">
            <v>3036</v>
          </cell>
        </row>
        <row r="851">
          <cell r="A851" t="str">
            <v>Sunny Patel</v>
          </cell>
          <cell r="B851">
            <v>1704</v>
          </cell>
        </row>
        <row r="852">
          <cell r="A852" t="str">
            <v>Sunray Group / Holiday Inn Burlington Hotel &amp; Conference Centre CANADA</v>
          </cell>
          <cell r="B852">
            <v>3392</v>
          </cell>
        </row>
        <row r="853">
          <cell r="A853" t="str">
            <v>Sunray Group of Hotels</v>
          </cell>
          <cell r="B853">
            <v>694</v>
          </cell>
        </row>
        <row r="854">
          <cell r="A854" t="str">
            <v>Super 8</v>
          </cell>
          <cell r="B854">
            <v>2578</v>
          </cell>
        </row>
        <row r="855">
          <cell r="A855" t="str">
            <v>Super 8 motel - TN</v>
          </cell>
          <cell r="B855">
            <v>2631</v>
          </cell>
        </row>
        <row r="856">
          <cell r="A856" t="str">
            <v>Supreme Bright Albuquerque I, LLC</v>
          </cell>
          <cell r="B856">
            <v>2537</v>
          </cell>
        </row>
        <row r="857">
          <cell r="A857" t="str">
            <v>SUPREME BRIGHT ATLANTIC CITY LLC</v>
          </cell>
          <cell r="B857">
            <v>2314</v>
          </cell>
        </row>
        <row r="858">
          <cell r="A858" t="str">
            <v>SUPREME BRIGHT ATLANTIC CITY LLC (TRIBUTE SEAHAUS)</v>
          </cell>
          <cell r="B858">
            <v>3393</v>
          </cell>
        </row>
        <row r="859">
          <cell r="A859" t="str">
            <v>Supreme Bright LAX I, LLC</v>
          </cell>
          <cell r="B859">
            <v>2516</v>
          </cell>
        </row>
        <row r="860">
          <cell r="A860" t="str">
            <v>Supreme Bright LAX, LLC</v>
          </cell>
          <cell r="B860">
            <v>2665</v>
          </cell>
        </row>
        <row r="861">
          <cell r="A861" t="str">
            <v>Supreme Bright Westlake I LLC</v>
          </cell>
          <cell r="B861">
            <v>3394</v>
          </cell>
        </row>
        <row r="862">
          <cell r="A862" t="str">
            <v>Supreme Bright Westlake LLC</v>
          </cell>
          <cell r="B862">
            <v>1694</v>
          </cell>
        </row>
        <row r="863">
          <cell r="A863" t="str">
            <v>Sweet Six Properties,LLC</v>
          </cell>
          <cell r="B863">
            <v>2681</v>
          </cell>
        </row>
        <row r="864">
          <cell r="A864" t="str">
            <v>Swift DBM LLC</v>
          </cell>
          <cell r="B864">
            <v>695</v>
          </cell>
        </row>
        <row r="865">
          <cell r="A865" t="str">
            <v>Swinerton</v>
          </cell>
          <cell r="B865">
            <v>696</v>
          </cell>
        </row>
        <row r="866">
          <cell r="A866" t="str">
            <v>T. Nickolas Co. Tile &amp; Marble</v>
          </cell>
          <cell r="B866">
            <v>697</v>
          </cell>
        </row>
        <row r="867">
          <cell r="A867" t="str">
            <v>Tampa Enterprises, Inc.</v>
          </cell>
          <cell r="B867">
            <v>753</v>
          </cell>
        </row>
        <row r="868">
          <cell r="A868" t="str">
            <v>Tayler Insignia LLC</v>
          </cell>
          <cell r="B868">
            <v>2653</v>
          </cell>
        </row>
        <row r="869">
          <cell r="A869" t="str">
            <v>TCC Multi-Family Interiors</v>
          </cell>
          <cell r="B869">
            <v>2510</v>
          </cell>
        </row>
        <row r="870">
          <cell r="A870" t="str">
            <v>Tech Design LLC</v>
          </cell>
          <cell r="B870">
            <v>698</v>
          </cell>
        </row>
        <row r="871">
          <cell r="A871" t="str">
            <v>Terena Molo</v>
          </cell>
          <cell r="B871">
            <v>699</v>
          </cell>
        </row>
        <row r="872">
          <cell r="A872" t="str">
            <v>TerraCORE Panels</v>
          </cell>
          <cell r="B872">
            <v>754</v>
          </cell>
        </row>
        <row r="873">
          <cell r="A873" t="str">
            <v>Texas Floor Covering INC.</v>
          </cell>
          <cell r="B873">
            <v>2541</v>
          </cell>
        </row>
        <row r="874">
          <cell r="A874" t="str">
            <v>Texas Health and Human Services Commission</v>
          </cell>
          <cell r="B874">
            <v>757</v>
          </cell>
        </row>
        <row r="875">
          <cell r="A875" t="str">
            <v>TGC Group LLC</v>
          </cell>
          <cell r="B875">
            <v>2271</v>
          </cell>
        </row>
        <row r="876">
          <cell r="A876" t="str">
            <v>The C.A. Harrison Companies, LLC</v>
          </cell>
          <cell r="B876">
            <v>700</v>
          </cell>
        </row>
        <row r="877">
          <cell r="A877" t="str">
            <v>The Capitol Hotel</v>
          </cell>
          <cell r="B877">
            <v>701</v>
          </cell>
        </row>
        <row r="878">
          <cell r="A878" t="str">
            <v>The DOI Residence/ DEAZLY INC.</v>
          </cell>
          <cell r="B878">
            <v>2346</v>
          </cell>
        </row>
        <row r="879">
          <cell r="A879" t="str">
            <v>The Eden</v>
          </cell>
          <cell r="B879">
            <v>3395</v>
          </cell>
        </row>
        <row r="880">
          <cell r="A880" t="str">
            <v>The Habitus Collection</v>
          </cell>
          <cell r="B880">
            <v>2592</v>
          </cell>
        </row>
        <row r="881">
          <cell r="A881" t="str">
            <v>The Mehling Group</v>
          </cell>
          <cell r="B881">
            <v>2836</v>
          </cell>
        </row>
        <row r="882">
          <cell r="A882" t="str">
            <v>The Ness Group</v>
          </cell>
          <cell r="B882">
            <v>702</v>
          </cell>
        </row>
        <row r="883">
          <cell r="A883" t="str">
            <v>The Place Port A, LLC</v>
          </cell>
          <cell r="B883">
            <v>703</v>
          </cell>
        </row>
        <row r="884">
          <cell r="A884" t="str">
            <v>The Place Port Aransas TX</v>
          </cell>
          <cell r="B884">
            <v>3396</v>
          </cell>
        </row>
        <row r="885">
          <cell r="A885" t="str">
            <v>The Stroud Group</v>
          </cell>
          <cell r="B885">
            <v>704</v>
          </cell>
        </row>
        <row r="886">
          <cell r="A886" t="str">
            <v>THE TD GROUP</v>
          </cell>
          <cell r="B886">
            <v>3539</v>
          </cell>
        </row>
        <row r="887">
          <cell r="A887" t="str">
            <v>Thomas Builders Inc.</v>
          </cell>
          <cell r="B887">
            <v>2459</v>
          </cell>
        </row>
        <row r="888">
          <cell r="A888" t="str">
            <v>Thoroughbred Hospitality Group</v>
          </cell>
          <cell r="B888">
            <v>705</v>
          </cell>
        </row>
        <row r="889">
          <cell r="A889" t="str">
            <v>Tico c</v>
          </cell>
          <cell r="B889">
            <v>3631</v>
          </cell>
        </row>
        <row r="890">
          <cell r="A890" t="str">
            <v>Tilestone Distributors Inc.</v>
          </cell>
          <cell r="B890">
            <v>706</v>
          </cell>
        </row>
        <row r="891">
          <cell r="A891" t="str">
            <v>Tishman Speyer</v>
          </cell>
          <cell r="B891">
            <v>1691</v>
          </cell>
        </row>
        <row r="892">
          <cell r="A892" t="str">
            <v>Tom Alaimo</v>
          </cell>
          <cell r="B892">
            <v>2410</v>
          </cell>
        </row>
        <row r="893">
          <cell r="A893" t="str">
            <v>Tommy Wong</v>
          </cell>
          <cell r="B893">
            <v>3563</v>
          </cell>
        </row>
        <row r="894">
          <cell r="A894" t="str">
            <v>Total Floors</v>
          </cell>
          <cell r="B894">
            <v>2210</v>
          </cell>
        </row>
        <row r="895">
          <cell r="A895" t="str">
            <v>Total Floors</v>
          </cell>
          <cell r="B895">
            <v>2212</v>
          </cell>
        </row>
        <row r="896">
          <cell r="A896" t="str">
            <v>Toweplace Suites</v>
          </cell>
          <cell r="B896">
            <v>707</v>
          </cell>
        </row>
        <row r="897">
          <cell r="A897" t="str">
            <v>TOWNEPLACE SUITES - OKC</v>
          </cell>
          <cell r="B897">
            <v>3273</v>
          </cell>
        </row>
        <row r="898">
          <cell r="A898" t="str">
            <v>Towneplace Suites Temple, TX</v>
          </cell>
          <cell r="B898">
            <v>2498</v>
          </cell>
        </row>
        <row r="899">
          <cell r="A899" t="str">
            <v>TOWNEPLACE SUITES, DALLAS</v>
          </cell>
          <cell r="B899">
            <v>3560</v>
          </cell>
        </row>
        <row r="900">
          <cell r="A900" t="str">
            <v>Townplace San Antonio</v>
          </cell>
          <cell r="B900">
            <v>2426</v>
          </cell>
        </row>
        <row r="901">
          <cell r="A901" t="str">
            <v>Townplace Suites Fairburn IN</v>
          </cell>
          <cell r="B901">
            <v>2444</v>
          </cell>
        </row>
        <row r="902">
          <cell r="A902" t="str">
            <v>Treco Enterprises Inc.</v>
          </cell>
          <cell r="B902">
            <v>2185</v>
          </cell>
        </row>
        <row r="903">
          <cell r="A903" t="str">
            <v>Tribute La Crosse</v>
          </cell>
          <cell r="B903">
            <v>3233</v>
          </cell>
        </row>
        <row r="904">
          <cell r="A904" t="str">
            <v>Trilogy Autograph Huntsville</v>
          </cell>
          <cell r="B904">
            <v>2453</v>
          </cell>
        </row>
        <row r="905">
          <cell r="A905" t="str">
            <v>Trilogy Hotel Montgomery</v>
          </cell>
          <cell r="B905">
            <v>708</v>
          </cell>
        </row>
        <row r="906">
          <cell r="A906" t="str">
            <v>Trinity Contract Flooring</v>
          </cell>
          <cell r="B906">
            <v>2379</v>
          </cell>
        </row>
        <row r="907">
          <cell r="A907" t="str">
            <v>Trinity Drywall &amp; Plastering Systems, LP</v>
          </cell>
          <cell r="B907">
            <v>709</v>
          </cell>
        </row>
        <row r="908">
          <cell r="A908" t="str">
            <v>Trinity Tile Group LLC</v>
          </cell>
          <cell r="B908">
            <v>3068</v>
          </cell>
        </row>
        <row r="909">
          <cell r="A909" t="str">
            <v>Triton Stone</v>
          </cell>
          <cell r="B909">
            <v>2437</v>
          </cell>
        </row>
        <row r="910">
          <cell r="A910" t="str">
            <v>TRU</v>
          </cell>
          <cell r="B910">
            <v>710</v>
          </cell>
        </row>
        <row r="911">
          <cell r="A911" t="str">
            <v>Trylon LLC/ RJ Construction LTD</v>
          </cell>
          <cell r="B911">
            <v>1688</v>
          </cell>
        </row>
        <row r="912">
          <cell r="A912" t="str">
            <v>Turkey Creek Hospitality</v>
          </cell>
          <cell r="B912">
            <v>2565</v>
          </cell>
        </row>
        <row r="913">
          <cell r="A913" t="str">
            <v>Two one two</v>
          </cell>
          <cell r="B913">
            <v>3397</v>
          </cell>
        </row>
        <row r="914">
          <cell r="A914" t="str">
            <v>Two One Two Design</v>
          </cell>
          <cell r="B914">
            <v>711</v>
          </cell>
        </row>
        <row r="915">
          <cell r="A915" t="str">
            <v>UAC BUILDERS</v>
          </cell>
          <cell r="B915">
            <v>3201</v>
          </cell>
        </row>
        <row r="916">
          <cell r="A916" t="str">
            <v>ULH Community Center</v>
          </cell>
          <cell r="B916">
            <v>712</v>
          </cell>
        </row>
        <row r="917">
          <cell r="A917" t="str">
            <v>Umang patel</v>
          </cell>
          <cell r="B917">
            <v>2821</v>
          </cell>
        </row>
        <row r="918">
          <cell r="A918" t="str">
            <v>United Lynn-Con Corporation</v>
          </cell>
          <cell r="B918">
            <v>713</v>
          </cell>
        </row>
        <row r="919">
          <cell r="A919" t="str">
            <v>UPNEXT HOSPITALITY - STAYBRIDGE</v>
          </cell>
          <cell r="B919">
            <v>3554</v>
          </cell>
        </row>
        <row r="920">
          <cell r="A920" t="str">
            <v>Urban Atelier Group LLC</v>
          </cell>
          <cell r="B920">
            <v>714</v>
          </cell>
        </row>
        <row r="921">
          <cell r="A921" t="str">
            <v>Urban Construction Inc.</v>
          </cell>
          <cell r="B921">
            <v>715</v>
          </cell>
        </row>
        <row r="922">
          <cell r="A922" t="str">
            <v>V&amp;V Ceramic Floors LLC</v>
          </cell>
          <cell r="B922">
            <v>2878</v>
          </cell>
        </row>
        <row r="923">
          <cell r="A923" t="str">
            <v>Vantage Point Hospitality, LLC</v>
          </cell>
          <cell r="B923">
            <v>3184</v>
          </cell>
        </row>
        <row r="924">
          <cell r="A924" t="str">
            <v>Vector Construction Management LLC</v>
          </cell>
          <cell r="B924">
            <v>1550</v>
          </cell>
        </row>
        <row r="925">
          <cell r="A925" t="str">
            <v>Vedi Hospitality LLC</v>
          </cell>
          <cell r="B925">
            <v>2316</v>
          </cell>
        </row>
        <row r="926">
          <cell r="A926" t="str">
            <v>Vedi Hospitality Plano LLC</v>
          </cell>
          <cell r="B926">
            <v>2414</v>
          </cell>
        </row>
        <row r="927">
          <cell r="A927" t="str">
            <v>Veena Investments, Inc.</v>
          </cell>
          <cell r="B927">
            <v>2987</v>
          </cell>
        </row>
        <row r="928">
          <cell r="A928" t="str">
            <v>Veranda Homes</v>
          </cell>
          <cell r="B928">
            <v>2275</v>
          </cell>
        </row>
        <row r="929">
          <cell r="A929" t="str">
            <v>Vic and Nilam Patel</v>
          </cell>
          <cell r="B929">
            <v>2932</v>
          </cell>
        </row>
        <row r="930">
          <cell r="A930" t="str">
            <v>Vijay Patel</v>
          </cell>
          <cell r="B930">
            <v>716</v>
          </cell>
        </row>
        <row r="931">
          <cell r="A931" t="str">
            <v>Vimal Bhakta</v>
          </cell>
          <cell r="B931">
            <v>717</v>
          </cell>
        </row>
        <row r="932">
          <cell r="A932" t="str">
            <v>Vivek Tomer</v>
          </cell>
          <cell r="B932">
            <v>718</v>
          </cell>
        </row>
        <row r="933">
          <cell r="A933" t="str">
            <v>Vivid Surfaces</v>
          </cell>
          <cell r="B933">
            <v>719</v>
          </cell>
        </row>
        <row r="934">
          <cell r="A934" t="str">
            <v>Walker Hospitality Group</v>
          </cell>
          <cell r="B934">
            <v>2807</v>
          </cell>
        </row>
        <row r="935">
          <cell r="A935" t="str">
            <v>Watermark Commercial Contractors LLC</v>
          </cell>
          <cell r="B935">
            <v>3398</v>
          </cell>
        </row>
        <row r="936">
          <cell r="A936" t="str">
            <v>Watermark Commericial Contractors LLC</v>
          </cell>
          <cell r="B936">
            <v>720</v>
          </cell>
        </row>
        <row r="937">
          <cell r="A937" t="str">
            <v>Wathco</v>
          </cell>
          <cell r="B937">
            <v>3143</v>
          </cell>
        </row>
        <row r="938">
          <cell r="A938" t="str">
            <v>Weaver Cooke Construction, LLC&gt;</v>
          </cell>
          <cell r="B938">
            <v>3399</v>
          </cell>
        </row>
        <row r="939">
          <cell r="A939" t="str">
            <v>Weavercooke Construction, LLC</v>
          </cell>
          <cell r="B939">
            <v>721</v>
          </cell>
        </row>
        <row r="940">
          <cell r="A940" t="str">
            <v>Wellness Shark QC LLC</v>
          </cell>
          <cell r="B940">
            <v>3259</v>
          </cell>
        </row>
        <row r="941">
          <cell r="A941" t="str">
            <v>Wesley Young</v>
          </cell>
          <cell r="B941">
            <v>3285</v>
          </cell>
        </row>
        <row r="942">
          <cell r="A942" t="str">
            <v>West Georgia Granite</v>
          </cell>
          <cell r="B942">
            <v>722</v>
          </cell>
        </row>
        <row r="943">
          <cell r="A943" t="str">
            <v>West Katy Builders, LLC</v>
          </cell>
          <cell r="B943">
            <v>2663</v>
          </cell>
        </row>
        <row r="944">
          <cell r="A944" t="str">
            <v>Westport KC</v>
          </cell>
          <cell r="B944">
            <v>723</v>
          </cell>
        </row>
        <row r="945">
          <cell r="A945" t="str">
            <v>Wheel Fish Group</v>
          </cell>
          <cell r="B945">
            <v>2166</v>
          </cell>
        </row>
        <row r="946">
          <cell r="A946" t="str">
            <v>White River Flooring, Inc.</v>
          </cell>
          <cell r="B946">
            <v>2553</v>
          </cell>
        </row>
        <row r="947">
          <cell r="A947" t="str">
            <v>Windson Property Holdings LLC</v>
          </cell>
          <cell r="B947">
            <v>2567</v>
          </cell>
        </row>
        <row r="948">
          <cell r="A948" t="str">
            <v>Wingate</v>
          </cell>
          <cell r="B948">
            <v>724</v>
          </cell>
        </row>
        <row r="949">
          <cell r="A949" t="str">
            <v>Wingate &amp; Hawthorn Austin</v>
          </cell>
          <cell r="B949">
            <v>2977</v>
          </cell>
        </row>
        <row r="950">
          <cell r="A950" t="str">
            <v>Wingate - Erlanger, KY</v>
          </cell>
          <cell r="B950">
            <v>2712</v>
          </cell>
        </row>
        <row r="951">
          <cell r="A951" t="str">
            <v>Wingate - Owensboro KY</v>
          </cell>
          <cell r="B951">
            <v>2374</v>
          </cell>
        </row>
        <row r="952">
          <cell r="A952" t="str">
            <v>Wingate by Wyndham</v>
          </cell>
          <cell r="B952">
            <v>3660</v>
          </cell>
        </row>
        <row r="953">
          <cell r="A953" t="str">
            <v>Wingate by Wyndham - Farmington NM</v>
          </cell>
          <cell r="B953">
            <v>2544</v>
          </cell>
        </row>
        <row r="954">
          <cell r="A954" t="str">
            <v>Wingate by Wyndham Jacksonville</v>
          </cell>
          <cell r="B954">
            <v>2861</v>
          </cell>
        </row>
        <row r="955">
          <cell r="A955" t="str">
            <v>Wingate by Wyndham Pueblo CO</v>
          </cell>
          <cell r="B955">
            <v>2491</v>
          </cell>
        </row>
        <row r="956">
          <cell r="A956" t="str">
            <v>Wingate by Wyndham-Farmington, NM.</v>
          </cell>
          <cell r="B956">
            <v>3268</v>
          </cell>
        </row>
        <row r="957">
          <cell r="A957" t="str">
            <v>Wingate Hotel</v>
          </cell>
          <cell r="B957">
            <v>3095</v>
          </cell>
        </row>
        <row r="958">
          <cell r="A958" t="str">
            <v>Wingate Macon West</v>
          </cell>
          <cell r="B958">
            <v>3075</v>
          </cell>
        </row>
        <row r="959">
          <cell r="A959" t="str">
            <v>Wingate Owensboro_KY</v>
          </cell>
          <cell r="B959">
            <v>3400</v>
          </cell>
        </row>
        <row r="960">
          <cell r="A960" t="str">
            <v>Wingate Sheboygan WI - 01954</v>
          </cell>
          <cell r="B960">
            <v>3561</v>
          </cell>
        </row>
        <row r="961">
          <cell r="A961" t="str">
            <v>Wingate/ Hawthorne Kingman</v>
          </cell>
          <cell r="B961">
            <v>3401</v>
          </cell>
        </row>
        <row r="962">
          <cell r="A962" t="str">
            <v>Wurzer Construction</v>
          </cell>
          <cell r="B962">
            <v>2882</v>
          </cell>
        </row>
        <row r="963">
          <cell r="A963" t="str">
            <v>WYNDHAM D&amp;C CONFERENCE BOOTH / WYNDHAM BRAND</v>
          </cell>
          <cell r="B963">
            <v>3402</v>
          </cell>
        </row>
        <row r="964">
          <cell r="A964" t="str">
            <v>Wyndham Garden Ann Arbor</v>
          </cell>
          <cell r="B964">
            <v>2632</v>
          </cell>
        </row>
        <row r="965">
          <cell r="A965" t="str">
            <v>WYNDHAM GARDEN EDMONTON AIRPORT HOTEL</v>
          </cell>
          <cell r="B965">
            <v>2916</v>
          </cell>
        </row>
        <row r="966">
          <cell r="A966" t="str">
            <v>Wyndham Garden Inn</v>
          </cell>
          <cell r="B966">
            <v>726</v>
          </cell>
        </row>
        <row r="967">
          <cell r="A967" t="str">
            <v>WYNDHAM GARDEN INN- MANASSAS, VA</v>
          </cell>
          <cell r="B967">
            <v>3403</v>
          </cell>
        </row>
        <row r="968">
          <cell r="A968" t="str">
            <v>Wyndham Garden Newark</v>
          </cell>
          <cell r="B968">
            <v>3543</v>
          </cell>
        </row>
        <row r="969">
          <cell r="A969" t="str">
            <v>Wyndham Garden Romulus Detroit Metro Airport</v>
          </cell>
          <cell r="B969">
            <v>2615</v>
          </cell>
        </row>
        <row r="970">
          <cell r="A970" t="str">
            <v>Wyndham Hotels &amp; Resorts, Inc.</v>
          </cell>
          <cell r="B970">
            <v>3148</v>
          </cell>
        </row>
        <row r="971">
          <cell r="A971" t="str">
            <v>Wyndham Trademark Fredericksburg</v>
          </cell>
          <cell r="B971">
            <v>3404</v>
          </cell>
        </row>
        <row r="972">
          <cell r="A972" t="str">
            <v>Yale Tile &amp; Stone, LLC</v>
          </cell>
          <cell r="B972">
            <v>727</v>
          </cell>
        </row>
        <row r="973">
          <cell r="A973" t="str">
            <v>YLH Construction Company</v>
          </cell>
          <cell r="B973">
            <v>728</v>
          </cell>
        </row>
        <row r="974">
          <cell r="A974" t="str">
            <v>Yogi Divine Society of Texas</v>
          </cell>
          <cell r="B974">
            <v>729</v>
          </cell>
        </row>
        <row r="975">
          <cell r="A975" t="str">
            <v>Yogi Management INC</v>
          </cell>
          <cell r="B975">
            <v>2686</v>
          </cell>
        </row>
        <row r="976">
          <cell r="A976" t="str">
            <v>You Choi</v>
          </cell>
          <cell r="B976">
            <v>730</v>
          </cell>
        </row>
        <row r="977">
          <cell r="A977" t="str">
            <v>Yuendi Design LLC</v>
          </cell>
          <cell r="B977">
            <v>731</v>
          </cell>
        </row>
        <row r="978">
          <cell r="A978" t="str">
            <v>Yuma Construction, LLC</v>
          </cell>
          <cell r="B978">
            <v>755</v>
          </cell>
        </row>
        <row r="979">
          <cell r="A979" t="str">
            <v>Z construction Services</v>
          </cell>
          <cell r="B979">
            <v>732</v>
          </cell>
        </row>
        <row r="980">
          <cell r="A980" t="str">
            <v>Zenith Roofing Services</v>
          </cell>
          <cell r="B980">
            <v>733</v>
          </cell>
        </row>
        <row r="981">
          <cell r="A981" t="str">
            <v>Zertuche Construction, LLC</v>
          </cell>
          <cell r="B981">
            <v>734</v>
          </cell>
        </row>
        <row r="982">
          <cell r="A982" t="str">
            <v>ZJZ Hospitality Inc.</v>
          </cell>
          <cell r="B982">
            <v>735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vSaleOrder.aspx%3fID=259030" TargetMode="External"/><Relationship Id="rId671" Type="http://schemas.openxmlformats.org/officeDocument/2006/relationships/hyperlink" Target="vSaleOrder.aspx%3fID=314287" TargetMode="External"/><Relationship Id="rId21" Type="http://schemas.openxmlformats.org/officeDocument/2006/relationships/hyperlink" Target="vSaleOrder.aspx%3fID=314306" TargetMode="External"/><Relationship Id="rId324" Type="http://schemas.openxmlformats.org/officeDocument/2006/relationships/hyperlink" Target="vSaleOrder.aspx%3fID=295518" TargetMode="External"/><Relationship Id="rId531" Type="http://schemas.openxmlformats.org/officeDocument/2006/relationships/hyperlink" Target="vSaleOrder.aspx%3fID=313987" TargetMode="External"/><Relationship Id="rId629" Type="http://schemas.openxmlformats.org/officeDocument/2006/relationships/hyperlink" Target="vSaleOrder.aspx%3fID=" TargetMode="External"/><Relationship Id="rId170" Type="http://schemas.openxmlformats.org/officeDocument/2006/relationships/hyperlink" Target="vSaleOrder.aspx%3fID=" TargetMode="External"/><Relationship Id="rId268" Type="http://schemas.openxmlformats.org/officeDocument/2006/relationships/hyperlink" Target="vSaleOrder.aspx%3fID=318123" TargetMode="External"/><Relationship Id="rId475" Type="http://schemas.openxmlformats.org/officeDocument/2006/relationships/hyperlink" Target="vSaleOrder.aspx%3fID=261362" TargetMode="External"/><Relationship Id="rId682" Type="http://schemas.openxmlformats.org/officeDocument/2006/relationships/hyperlink" Target="vSaleOrder.aspx%3fID=316863" TargetMode="External"/><Relationship Id="rId32" Type="http://schemas.openxmlformats.org/officeDocument/2006/relationships/hyperlink" Target="vSaleOrder.aspx%3fID=" TargetMode="External"/><Relationship Id="rId128" Type="http://schemas.openxmlformats.org/officeDocument/2006/relationships/hyperlink" Target="vSaleOrder.aspx%3fID=251152" TargetMode="External"/><Relationship Id="rId335" Type="http://schemas.openxmlformats.org/officeDocument/2006/relationships/hyperlink" Target="vSaleOrder.aspx%3fID=319606" TargetMode="External"/><Relationship Id="rId542" Type="http://schemas.openxmlformats.org/officeDocument/2006/relationships/hyperlink" Target="vSaleOrder.aspx%3fID=314303" TargetMode="External"/><Relationship Id="rId181" Type="http://schemas.openxmlformats.org/officeDocument/2006/relationships/hyperlink" Target="vSaleOrder.aspx%3fID=314274" TargetMode="External"/><Relationship Id="rId402" Type="http://schemas.openxmlformats.org/officeDocument/2006/relationships/hyperlink" Target="vSaleOrder.aspx%3fID=315642" TargetMode="External"/><Relationship Id="rId279" Type="http://schemas.openxmlformats.org/officeDocument/2006/relationships/hyperlink" Target="vSaleOrder.aspx%3fID=294093" TargetMode="External"/><Relationship Id="rId486" Type="http://schemas.openxmlformats.org/officeDocument/2006/relationships/hyperlink" Target="vSaleOrder.aspx%3fID=292727" TargetMode="External"/><Relationship Id="rId693" Type="http://schemas.openxmlformats.org/officeDocument/2006/relationships/hyperlink" Target="vSaleOrder.aspx%3fID=291113" TargetMode="External"/><Relationship Id="rId707" Type="http://schemas.openxmlformats.org/officeDocument/2006/relationships/hyperlink" Target="vSaleOrder.aspx%3fID=295518" TargetMode="External"/><Relationship Id="rId43" Type="http://schemas.openxmlformats.org/officeDocument/2006/relationships/hyperlink" Target="vSaleOrder.aspx%3fID=277937" TargetMode="External"/><Relationship Id="rId139" Type="http://schemas.openxmlformats.org/officeDocument/2006/relationships/hyperlink" Target="vSaleOrder.aspx%3fID=315639" TargetMode="External"/><Relationship Id="rId346" Type="http://schemas.openxmlformats.org/officeDocument/2006/relationships/hyperlink" Target="vSaleOrder.aspx%3fID=318265" TargetMode="External"/><Relationship Id="rId553" Type="http://schemas.openxmlformats.org/officeDocument/2006/relationships/hyperlink" Target="vSaleOrder.aspx%3fID=" TargetMode="External"/><Relationship Id="rId760" Type="http://schemas.openxmlformats.org/officeDocument/2006/relationships/hyperlink" Target="vSaleOrder.aspx%3fID=279835" TargetMode="External"/><Relationship Id="rId192" Type="http://schemas.openxmlformats.org/officeDocument/2006/relationships/hyperlink" Target="vSaleOrder.aspx%3fID=318130" TargetMode="External"/><Relationship Id="rId206" Type="http://schemas.openxmlformats.org/officeDocument/2006/relationships/hyperlink" Target="vSaleOrder.aspx%3fID=313948" TargetMode="External"/><Relationship Id="rId413" Type="http://schemas.openxmlformats.org/officeDocument/2006/relationships/hyperlink" Target="vSaleOrder.aspx%3fID=316916" TargetMode="External"/><Relationship Id="rId497" Type="http://schemas.openxmlformats.org/officeDocument/2006/relationships/hyperlink" Target="vSaleOrder.aspx%3fID=315641" TargetMode="External"/><Relationship Id="rId620" Type="http://schemas.openxmlformats.org/officeDocument/2006/relationships/hyperlink" Target="vSaleOrder.aspx%3fID=314884" TargetMode="External"/><Relationship Id="rId718" Type="http://schemas.openxmlformats.org/officeDocument/2006/relationships/hyperlink" Target="vSaleOrder.aspx%3fID=319606" TargetMode="External"/><Relationship Id="rId357" Type="http://schemas.openxmlformats.org/officeDocument/2006/relationships/hyperlink" Target="vSaleOrder.aspx%3fID=313876" TargetMode="External"/><Relationship Id="rId54" Type="http://schemas.openxmlformats.org/officeDocument/2006/relationships/hyperlink" Target="vSaleOrder.aspx%3fID=314290" TargetMode="External"/><Relationship Id="rId217" Type="http://schemas.openxmlformats.org/officeDocument/2006/relationships/hyperlink" Target="vSaleOrder.aspx%3fID=205846" TargetMode="External"/><Relationship Id="rId564" Type="http://schemas.openxmlformats.org/officeDocument/2006/relationships/hyperlink" Target="vSaleOrder.aspx%3fID=314274" TargetMode="External"/><Relationship Id="rId424" Type="http://schemas.openxmlformats.org/officeDocument/2006/relationships/hyperlink" Target="vSaleOrder.aspx%3fID=314261" TargetMode="External"/><Relationship Id="rId631" Type="http://schemas.openxmlformats.org/officeDocument/2006/relationships/hyperlink" Target="vSaleOrder.aspx%3fID=318283" TargetMode="External"/><Relationship Id="rId729" Type="http://schemas.openxmlformats.org/officeDocument/2006/relationships/hyperlink" Target="vSaleOrder.aspx%3fID=318265" TargetMode="External"/><Relationship Id="rId270" Type="http://schemas.openxmlformats.org/officeDocument/2006/relationships/hyperlink" Target="vSaleOrder.aspx%3fID=" TargetMode="External"/><Relationship Id="rId65" Type="http://schemas.openxmlformats.org/officeDocument/2006/relationships/hyperlink" Target="vSaleOrder.aspx%3fID=304459" TargetMode="External"/><Relationship Id="rId130" Type="http://schemas.openxmlformats.org/officeDocument/2006/relationships/hyperlink" Target="vSaleOrder.aspx%3fID=290707" TargetMode="External"/><Relationship Id="rId368" Type="http://schemas.openxmlformats.org/officeDocument/2006/relationships/hyperlink" Target="vSaleOrder.aspx%3fID=258271" TargetMode="External"/><Relationship Id="rId575" Type="http://schemas.openxmlformats.org/officeDocument/2006/relationships/hyperlink" Target="vSaleOrder.aspx%3fID=318130" TargetMode="External"/><Relationship Id="rId228" Type="http://schemas.openxmlformats.org/officeDocument/2006/relationships/hyperlink" Target="vSaleOrder.aspx%3fID=205845" TargetMode="External"/><Relationship Id="rId435" Type="http://schemas.openxmlformats.org/officeDocument/2006/relationships/hyperlink" Target="vSaleOrder.aspx%3fID=314269" TargetMode="External"/><Relationship Id="rId642" Type="http://schemas.openxmlformats.org/officeDocument/2006/relationships/hyperlink" Target="vSaleOrder.aspx%3fID=288930" TargetMode="External"/><Relationship Id="rId281" Type="http://schemas.openxmlformats.org/officeDocument/2006/relationships/hyperlink" Target="vSaleOrder.aspx%3fID=" TargetMode="External"/><Relationship Id="rId502" Type="http://schemas.openxmlformats.org/officeDocument/2006/relationships/hyperlink" Target="vSaleOrder.aspx%3fID=259030" TargetMode="External"/><Relationship Id="rId76" Type="http://schemas.openxmlformats.org/officeDocument/2006/relationships/hyperlink" Target="vSaleOrder.aspx%3fID=315630" TargetMode="External"/><Relationship Id="rId141" Type="http://schemas.openxmlformats.org/officeDocument/2006/relationships/hyperlink" Target="vSaleOrder.aspx%3fID=295775" TargetMode="External"/><Relationship Id="rId379" Type="http://schemas.openxmlformats.org/officeDocument/2006/relationships/hyperlink" Target="vSaleOrder.aspx%3fID=" TargetMode="External"/><Relationship Id="rId586" Type="http://schemas.openxmlformats.org/officeDocument/2006/relationships/hyperlink" Target="vSaleOrder.aspx%3fID=282909" TargetMode="External"/><Relationship Id="rId7" Type="http://schemas.openxmlformats.org/officeDocument/2006/relationships/hyperlink" Target="vSaleOrder.aspx%3fID=285102" TargetMode="External"/><Relationship Id="rId239" Type="http://schemas.openxmlformats.org/officeDocument/2006/relationships/hyperlink" Target="vSaleOrder.aspx%3fID=" TargetMode="External"/><Relationship Id="rId446" Type="http://schemas.openxmlformats.org/officeDocument/2006/relationships/hyperlink" Target="vSaleOrder.aspx%3fID=290226" TargetMode="External"/><Relationship Id="rId653" Type="http://schemas.openxmlformats.org/officeDocument/2006/relationships/hyperlink" Target="vSaleOrder.aspx%3fID=" TargetMode="External"/><Relationship Id="rId292" Type="http://schemas.openxmlformats.org/officeDocument/2006/relationships/hyperlink" Target="vSaleOrder.aspx%3fID=314882" TargetMode="External"/><Relationship Id="rId306" Type="http://schemas.openxmlformats.org/officeDocument/2006/relationships/hyperlink" Target="vSaleOrder.aspx%3fID=314860" TargetMode="External"/><Relationship Id="rId87" Type="http://schemas.openxmlformats.org/officeDocument/2006/relationships/hyperlink" Target="vSaleOrder.aspx%3fID=287425" TargetMode="External"/><Relationship Id="rId513" Type="http://schemas.openxmlformats.org/officeDocument/2006/relationships/hyperlink" Target="vSaleOrder.aspx%3fID=290707" TargetMode="External"/><Relationship Id="rId597" Type="http://schemas.openxmlformats.org/officeDocument/2006/relationships/hyperlink" Target="vSaleOrder.aspx%3fID=205841" TargetMode="External"/><Relationship Id="rId720" Type="http://schemas.openxmlformats.org/officeDocument/2006/relationships/hyperlink" Target="vSaleOrder.aspx%3fID=289980" TargetMode="External"/><Relationship Id="rId152" Type="http://schemas.openxmlformats.org/officeDocument/2006/relationships/hyperlink" Target="vSaleOrder.aspx%3fID=276731" TargetMode="External"/><Relationship Id="rId457" Type="http://schemas.openxmlformats.org/officeDocument/2006/relationships/hyperlink" Target="vSaleOrder.aspx%3fID=264620" TargetMode="External"/><Relationship Id="rId664" Type="http://schemas.openxmlformats.org/officeDocument/2006/relationships/hyperlink" Target="vSaleOrder.aspx%3fID=" TargetMode="External"/><Relationship Id="rId14" Type="http://schemas.openxmlformats.org/officeDocument/2006/relationships/hyperlink" Target="vSaleOrder.aspx%3fID=296419" TargetMode="External"/><Relationship Id="rId317" Type="http://schemas.openxmlformats.org/officeDocument/2006/relationships/hyperlink" Target="vSaleOrder.aspx%3fID=255653" TargetMode="External"/><Relationship Id="rId524" Type="http://schemas.openxmlformats.org/officeDocument/2006/relationships/hyperlink" Target="vSaleOrder.aspx%3fID=295775" TargetMode="External"/><Relationship Id="rId731" Type="http://schemas.openxmlformats.org/officeDocument/2006/relationships/hyperlink" Target="vSaleOrder.aspx%3fID=314295" TargetMode="External"/><Relationship Id="rId98" Type="http://schemas.openxmlformats.org/officeDocument/2006/relationships/hyperlink" Target="vSaleOrder.aspx%3fID=313885" TargetMode="External"/><Relationship Id="rId163" Type="http://schemas.openxmlformats.org/officeDocument/2006/relationships/hyperlink" Target="vSaleOrder.aspx%3fID=302795" TargetMode="External"/><Relationship Id="rId370" Type="http://schemas.openxmlformats.org/officeDocument/2006/relationships/hyperlink" Target="vSaleOrder.aspx%3fID=" TargetMode="External"/><Relationship Id="rId230" Type="http://schemas.openxmlformats.org/officeDocument/2006/relationships/hyperlink" Target="vSaleOrder.aspx%3fID=308809" TargetMode="External"/><Relationship Id="rId468" Type="http://schemas.openxmlformats.org/officeDocument/2006/relationships/hyperlink" Target="vSaleOrder.aspx%3fID=274972" TargetMode="External"/><Relationship Id="rId675" Type="http://schemas.openxmlformats.org/officeDocument/2006/relationships/hyperlink" Target="vSaleOrder.aspx%3fID=314882" TargetMode="External"/><Relationship Id="rId25" Type="http://schemas.openxmlformats.org/officeDocument/2006/relationships/hyperlink" Target="vSaleOrder.aspx%3fID=261545" TargetMode="External"/><Relationship Id="rId328" Type="http://schemas.openxmlformats.org/officeDocument/2006/relationships/hyperlink" Target="vSaleOrder.aspx%3fID=287201" TargetMode="External"/><Relationship Id="rId535" Type="http://schemas.openxmlformats.org/officeDocument/2006/relationships/hyperlink" Target="vSaleOrder.aspx%3fID=276731" TargetMode="External"/><Relationship Id="rId742" Type="http://schemas.openxmlformats.org/officeDocument/2006/relationships/hyperlink" Target="vSaleOrder.aspx%3fID=296681" TargetMode="External"/><Relationship Id="rId174" Type="http://schemas.openxmlformats.org/officeDocument/2006/relationships/hyperlink" Target="vSaleOrder.aspx%3fID=318021" TargetMode="External"/><Relationship Id="rId381" Type="http://schemas.openxmlformats.org/officeDocument/2006/relationships/hyperlink" Target="vSaleOrder.aspx%3fID=260253" TargetMode="External"/><Relationship Id="rId602" Type="http://schemas.openxmlformats.org/officeDocument/2006/relationships/hyperlink" Target="vSaleOrder.aspx%3fID=205847" TargetMode="External"/><Relationship Id="rId241" Type="http://schemas.openxmlformats.org/officeDocument/2006/relationships/hyperlink" Target="vSaleOrder.aspx%3fID=315638" TargetMode="External"/><Relationship Id="rId479" Type="http://schemas.openxmlformats.org/officeDocument/2006/relationships/hyperlink" Target="vSaleOrder.aspx%3fID=315627" TargetMode="External"/><Relationship Id="rId686" Type="http://schemas.openxmlformats.org/officeDocument/2006/relationships/hyperlink" Target="vSaleOrder.aspx%3fID=314297" TargetMode="External"/><Relationship Id="rId36" Type="http://schemas.openxmlformats.org/officeDocument/2006/relationships/hyperlink" Target="vSaleOrder.aspx%3fID=288448" TargetMode="External"/><Relationship Id="rId339" Type="http://schemas.openxmlformats.org/officeDocument/2006/relationships/hyperlink" Target="vSaleOrder.aspx%3fID=250843" TargetMode="External"/><Relationship Id="rId546" Type="http://schemas.openxmlformats.org/officeDocument/2006/relationships/hyperlink" Target="vSaleOrder.aspx%3fID=302795" TargetMode="External"/><Relationship Id="rId753" Type="http://schemas.openxmlformats.org/officeDocument/2006/relationships/hyperlink" Target="vSaleOrder.aspx%3fID=" TargetMode="External"/><Relationship Id="rId101" Type="http://schemas.openxmlformats.org/officeDocument/2006/relationships/hyperlink" Target="vSaleOrder.aspx%3fID=315635" TargetMode="External"/><Relationship Id="rId185" Type="http://schemas.openxmlformats.org/officeDocument/2006/relationships/hyperlink" Target="vSaleOrder.aspx%3fID=254420" TargetMode="External"/><Relationship Id="rId406" Type="http://schemas.openxmlformats.org/officeDocument/2006/relationships/hyperlink" Target="vSaleOrder.aspx%3fID=314240" TargetMode="External"/><Relationship Id="rId392" Type="http://schemas.openxmlformats.org/officeDocument/2006/relationships/hyperlink" Target="vSaleOrder.aspx%3fID=282797" TargetMode="External"/><Relationship Id="rId613" Type="http://schemas.openxmlformats.org/officeDocument/2006/relationships/hyperlink" Target="vSaleOrder.aspx%3fID=308809" TargetMode="External"/><Relationship Id="rId697" Type="http://schemas.openxmlformats.org/officeDocument/2006/relationships/hyperlink" Target="vSaleOrder.aspx%3fID=314272" TargetMode="External"/><Relationship Id="rId252" Type="http://schemas.openxmlformats.org/officeDocument/2006/relationships/hyperlink" Target="vSaleOrder.aspx%3fID=" TargetMode="External"/><Relationship Id="rId47" Type="http://schemas.openxmlformats.org/officeDocument/2006/relationships/hyperlink" Target="vSaleOrder.aspx%3fID=318128" TargetMode="External"/><Relationship Id="rId112" Type="http://schemas.openxmlformats.org/officeDocument/2006/relationships/hyperlink" Target="vSaleOrder.aspx%3fID=303529" TargetMode="External"/><Relationship Id="rId557" Type="http://schemas.openxmlformats.org/officeDocument/2006/relationships/hyperlink" Target="vSaleOrder.aspx%3fID=318021" TargetMode="External"/><Relationship Id="rId764" Type="http://schemas.openxmlformats.org/officeDocument/2006/relationships/hyperlink" Target="vSaleOrder.aspx%3fID=260253" TargetMode="External"/><Relationship Id="rId196" Type="http://schemas.openxmlformats.org/officeDocument/2006/relationships/hyperlink" Target="vSaleOrder.aspx%3fID=260873" TargetMode="External"/><Relationship Id="rId417" Type="http://schemas.openxmlformats.org/officeDocument/2006/relationships/hyperlink" Target="vSaleOrder.aspx%3fID=" TargetMode="External"/><Relationship Id="rId624" Type="http://schemas.openxmlformats.org/officeDocument/2006/relationships/hyperlink" Target="vSaleOrder.aspx%3fID=315638" TargetMode="External"/><Relationship Id="rId263" Type="http://schemas.openxmlformats.org/officeDocument/2006/relationships/hyperlink" Target="vSaleOrder.aspx%3fID=318252" TargetMode="External"/><Relationship Id="rId470" Type="http://schemas.openxmlformats.org/officeDocument/2006/relationships/hyperlink" Target="vSaleOrder.aspx%3fID=287425" TargetMode="External"/><Relationship Id="rId58" Type="http://schemas.openxmlformats.org/officeDocument/2006/relationships/hyperlink" Target="vSaleOrder.aspx%3fID=266371" TargetMode="External"/><Relationship Id="rId123" Type="http://schemas.openxmlformats.org/officeDocument/2006/relationships/hyperlink" Target="vSaleOrder.aspx%3fID=242401" TargetMode="External"/><Relationship Id="rId330" Type="http://schemas.openxmlformats.org/officeDocument/2006/relationships/hyperlink" Target="vSaleOrder.aspx%3fID=247506" TargetMode="External"/><Relationship Id="rId568" Type="http://schemas.openxmlformats.org/officeDocument/2006/relationships/hyperlink" Target="vSaleOrder.aspx%3fID=254420" TargetMode="External"/><Relationship Id="rId428" Type="http://schemas.openxmlformats.org/officeDocument/2006/relationships/hyperlink" Target="vSaleOrder.aspx%3fID=277336" TargetMode="External"/><Relationship Id="rId635" Type="http://schemas.openxmlformats.org/officeDocument/2006/relationships/hyperlink" Target="vSaleOrder.aspx%3fID=" TargetMode="External"/><Relationship Id="rId274" Type="http://schemas.openxmlformats.org/officeDocument/2006/relationships/hyperlink" Target="vSaleOrder.aspx%3fID=283420" TargetMode="External"/><Relationship Id="rId481" Type="http://schemas.openxmlformats.org/officeDocument/2006/relationships/hyperlink" Target="vSaleOrder.aspx%3fID=313885" TargetMode="External"/><Relationship Id="rId702" Type="http://schemas.openxmlformats.org/officeDocument/2006/relationships/hyperlink" Target="vSaleOrder.aspx%3fID=314277" TargetMode="External"/><Relationship Id="rId69" Type="http://schemas.openxmlformats.org/officeDocument/2006/relationships/hyperlink" Target="vSaleOrder.aspx%3fID=316920" TargetMode="External"/><Relationship Id="rId134" Type="http://schemas.openxmlformats.org/officeDocument/2006/relationships/hyperlink" Target="vSaleOrder.aspx%3fID=304486" TargetMode="External"/><Relationship Id="rId579" Type="http://schemas.openxmlformats.org/officeDocument/2006/relationships/hyperlink" Target="vSaleOrder.aspx%3fID=260873" TargetMode="External"/><Relationship Id="rId341" Type="http://schemas.openxmlformats.org/officeDocument/2006/relationships/hyperlink" Target="vSaleOrder.aspx%3fID=215256" TargetMode="External"/><Relationship Id="rId439" Type="http://schemas.openxmlformats.org/officeDocument/2006/relationships/hyperlink" Target="vSaleOrder.aspx%3fID=288348" TargetMode="External"/><Relationship Id="rId646" Type="http://schemas.openxmlformats.org/officeDocument/2006/relationships/hyperlink" Target="vSaleOrder.aspx%3fID=318252" TargetMode="External"/><Relationship Id="rId201" Type="http://schemas.openxmlformats.org/officeDocument/2006/relationships/hyperlink" Target="vSaleOrder.aspx%3fID=260882" TargetMode="External"/><Relationship Id="rId285" Type="http://schemas.openxmlformats.org/officeDocument/2006/relationships/hyperlink" Target="vSaleOrder.aspx%3fID=316706" TargetMode="External"/><Relationship Id="rId506" Type="http://schemas.openxmlformats.org/officeDocument/2006/relationships/hyperlink" Target="vSaleOrder.aspx%3fID=242401" TargetMode="External"/><Relationship Id="rId492" Type="http://schemas.openxmlformats.org/officeDocument/2006/relationships/hyperlink" Target="vSaleOrder.aspx%3fID=" TargetMode="External"/><Relationship Id="rId713" Type="http://schemas.openxmlformats.org/officeDocument/2006/relationships/hyperlink" Target="vSaleOrder.aspx%3fID=247506" TargetMode="External"/><Relationship Id="rId145" Type="http://schemas.openxmlformats.org/officeDocument/2006/relationships/hyperlink" Target="vSaleOrder.aspx%3fID=" TargetMode="External"/><Relationship Id="rId352" Type="http://schemas.openxmlformats.org/officeDocument/2006/relationships/hyperlink" Target="vSaleOrder.aspx%3fID=304152" TargetMode="External"/><Relationship Id="rId212" Type="http://schemas.openxmlformats.org/officeDocument/2006/relationships/hyperlink" Target="vSaleOrder.aspx%3fID=" TargetMode="External"/><Relationship Id="rId657" Type="http://schemas.openxmlformats.org/officeDocument/2006/relationships/hyperlink" Target="vSaleOrder.aspx%3fID=283420" TargetMode="External"/><Relationship Id="rId296" Type="http://schemas.openxmlformats.org/officeDocument/2006/relationships/hyperlink" Target="vSaleOrder.aspx%3fID=315647" TargetMode="External"/><Relationship Id="rId517" Type="http://schemas.openxmlformats.org/officeDocument/2006/relationships/hyperlink" Target="vSaleOrder.aspx%3fID=304486" TargetMode="External"/><Relationship Id="rId724" Type="http://schemas.openxmlformats.org/officeDocument/2006/relationships/hyperlink" Target="vSaleOrder.aspx%3fID=215256" TargetMode="External"/><Relationship Id="rId60" Type="http://schemas.openxmlformats.org/officeDocument/2006/relationships/hyperlink" Target="vSaleOrder.aspx%3fID=" TargetMode="External"/><Relationship Id="rId156" Type="http://schemas.openxmlformats.org/officeDocument/2006/relationships/hyperlink" Target="vSaleOrder.aspx%3fID=295306" TargetMode="External"/><Relationship Id="rId363" Type="http://schemas.openxmlformats.org/officeDocument/2006/relationships/hyperlink" Target="vSaleOrder.aspx%3fID=235969" TargetMode="External"/><Relationship Id="rId570" Type="http://schemas.openxmlformats.org/officeDocument/2006/relationships/hyperlink" Target="vSaleOrder.aspx%3fID=254435" TargetMode="External"/><Relationship Id="rId223" Type="http://schemas.openxmlformats.org/officeDocument/2006/relationships/hyperlink" Target="vSaleOrder.aspx%3fID=205844" TargetMode="External"/><Relationship Id="rId430" Type="http://schemas.openxmlformats.org/officeDocument/2006/relationships/hyperlink" Target="vSaleOrder.aspx%3fID=318128" TargetMode="External"/><Relationship Id="rId668" Type="http://schemas.openxmlformats.org/officeDocument/2006/relationships/hyperlink" Target="vSaleOrder.aspx%3fID=316706" TargetMode="External"/><Relationship Id="rId18" Type="http://schemas.openxmlformats.org/officeDocument/2006/relationships/hyperlink" Target="vSaleOrder.aspx%3fID=316163" TargetMode="External"/><Relationship Id="rId528" Type="http://schemas.openxmlformats.org/officeDocument/2006/relationships/hyperlink" Target="vSaleOrder.aspx%3fID=" TargetMode="External"/><Relationship Id="rId735" Type="http://schemas.openxmlformats.org/officeDocument/2006/relationships/hyperlink" Target="vSaleOrder.aspx%3fID=304152" TargetMode="External"/><Relationship Id="rId167" Type="http://schemas.openxmlformats.org/officeDocument/2006/relationships/hyperlink" Target="vSaleOrder.aspx%3fID=" TargetMode="External"/><Relationship Id="rId374" Type="http://schemas.openxmlformats.org/officeDocument/2006/relationships/hyperlink" Target="vSaleOrder.aspx%3fID=283738" TargetMode="External"/><Relationship Id="rId581" Type="http://schemas.openxmlformats.org/officeDocument/2006/relationships/hyperlink" Target="vSaleOrder.aspx%3fID=297692" TargetMode="External"/><Relationship Id="rId71" Type="http://schemas.openxmlformats.org/officeDocument/2006/relationships/hyperlink" Target="vSaleOrder.aspx%3fID=314265" TargetMode="External"/><Relationship Id="rId234" Type="http://schemas.openxmlformats.org/officeDocument/2006/relationships/hyperlink" Target="vSaleOrder.aspx%3fID=270064" TargetMode="External"/><Relationship Id="rId679" Type="http://schemas.openxmlformats.org/officeDocument/2006/relationships/hyperlink" Target="vSaleOrder.aspx%3fID=315647" TargetMode="External"/><Relationship Id="rId2" Type="http://schemas.openxmlformats.org/officeDocument/2006/relationships/hyperlink" Target="vSaleOrder.aspx%3fID=288373" TargetMode="External"/><Relationship Id="rId29" Type="http://schemas.openxmlformats.org/officeDocument/2006/relationships/hyperlink" Target="vSaleOrder.aspx%3fID=314559" TargetMode="External"/><Relationship Id="rId441" Type="http://schemas.openxmlformats.org/officeDocument/2006/relationships/hyperlink" Target="vSaleOrder.aspx%3fID=266371" TargetMode="External"/><Relationship Id="rId539" Type="http://schemas.openxmlformats.org/officeDocument/2006/relationships/hyperlink" Target="vSaleOrder.aspx%3fID=295306" TargetMode="External"/><Relationship Id="rId746" Type="http://schemas.openxmlformats.org/officeDocument/2006/relationships/hyperlink" Target="vSaleOrder.aspx%3fID=235969" TargetMode="External"/><Relationship Id="rId178" Type="http://schemas.openxmlformats.org/officeDocument/2006/relationships/hyperlink" Target="vSaleOrder.aspx%3fID=295409" TargetMode="External"/><Relationship Id="rId301" Type="http://schemas.openxmlformats.org/officeDocument/2006/relationships/hyperlink" Target="vSaleOrder.aspx%3fID=316926" TargetMode="External"/><Relationship Id="rId82" Type="http://schemas.openxmlformats.org/officeDocument/2006/relationships/hyperlink" Target="vSaleOrder.aspx%3fID=313978" TargetMode="External"/><Relationship Id="rId385" Type="http://schemas.openxmlformats.org/officeDocument/2006/relationships/hyperlink" Target="vSaleOrder.aspx%3fID=288373" TargetMode="External"/><Relationship Id="rId592" Type="http://schemas.openxmlformats.org/officeDocument/2006/relationships/hyperlink" Target="vSaleOrder.aspx%3fID=239867" TargetMode="External"/><Relationship Id="rId606" Type="http://schemas.openxmlformats.org/officeDocument/2006/relationships/hyperlink" Target="vSaleOrder.aspx%3fID=205844" TargetMode="External"/><Relationship Id="rId245" Type="http://schemas.openxmlformats.org/officeDocument/2006/relationships/hyperlink" Target="vSaleOrder.aspx%3fID=319804" TargetMode="External"/><Relationship Id="rId452" Type="http://schemas.openxmlformats.org/officeDocument/2006/relationships/hyperlink" Target="vSaleOrder.aspx%3fID=316920" TargetMode="External"/><Relationship Id="rId105" Type="http://schemas.openxmlformats.org/officeDocument/2006/relationships/hyperlink" Target="vSaleOrder.aspx%3fID=" TargetMode="External"/><Relationship Id="rId312" Type="http://schemas.openxmlformats.org/officeDocument/2006/relationships/hyperlink" Target="vSaleOrder.aspx%3fID=313895" TargetMode="External"/><Relationship Id="rId757" Type="http://schemas.openxmlformats.org/officeDocument/2006/relationships/hyperlink" Target="vSaleOrder.aspx%3fID=283738" TargetMode="External"/><Relationship Id="rId93" Type="http://schemas.openxmlformats.org/officeDocument/2006/relationships/hyperlink" Target="vSaleOrder.aspx%3fID=286499" TargetMode="External"/><Relationship Id="rId189" Type="http://schemas.openxmlformats.org/officeDocument/2006/relationships/hyperlink" Target="vSaleOrder.aspx%3fID=315636" TargetMode="External"/><Relationship Id="rId396" Type="http://schemas.openxmlformats.org/officeDocument/2006/relationships/hyperlink" Target="vSaleOrder.aspx%3fID=314012" TargetMode="External"/><Relationship Id="rId617" Type="http://schemas.openxmlformats.org/officeDocument/2006/relationships/hyperlink" Target="vSaleOrder.aspx%3fID=270064" TargetMode="External"/><Relationship Id="rId256" Type="http://schemas.openxmlformats.org/officeDocument/2006/relationships/hyperlink" Target="vSaleOrder.aspx%3fID=314854" TargetMode="External"/><Relationship Id="rId463" Type="http://schemas.openxmlformats.org/officeDocument/2006/relationships/hyperlink" Target="vSaleOrder.aspx%3fID=272472" TargetMode="External"/><Relationship Id="rId670" Type="http://schemas.openxmlformats.org/officeDocument/2006/relationships/hyperlink" Target="vSaleOrder.aspx%3fID=306719" TargetMode="External"/><Relationship Id="rId116" Type="http://schemas.openxmlformats.org/officeDocument/2006/relationships/hyperlink" Target="vSaleOrder.aspx%3fID=" TargetMode="External"/><Relationship Id="rId323" Type="http://schemas.openxmlformats.org/officeDocument/2006/relationships/hyperlink" Target="vSaleOrder.aspx%3fID=295518" TargetMode="External"/><Relationship Id="rId530" Type="http://schemas.openxmlformats.org/officeDocument/2006/relationships/hyperlink" Target="vSaleOrder.aspx%3fID=318255" TargetMode="External"/><Relationship Id="rId20" Type="http://schemas.openxmlformats.org/officeDocument/2006/relationships/hyperlink" Target="vSaleOrder.aspx%3fID=318022" TargetMode="External"/><Relationship Id="rId628" Type="http://schemas.openxmlformats.org/officeDocument/2006/relationships/hyperlink" Target="vSaleOrder.aspx%3fID=319804" TargetMode="External"/><Relationship Id="rId267" Type="http://schemas.openxmlformats.org/officeDocument/2006/relationships/hyperlink" Target="vSaleOrder.aspx%3fID=300910" TargetMode="External"/><Relationship Id="rId474" Type="http://schemas.openxmlformats.org/officeDocument/2006/relationships/hyperlink" Target="vSaleOrder.aspx%3fID=318124" TargetMode="External"/><Relationship Id="rId127" Type="http://schemas.openxmlformats.org/officeDocument/2006/relationships/hyperlink" Target="vSaleOrder.aspx%3fID=251147" TargetMode="External"/><Relationship Id="rId681" Type="http://schemas.openxmlformats.org/officeDocument/2006/relationships/hyperlink" Target="vSaleOrder.aspx%3fID=314263" TargetMode="External"/><Relationship Id="rId31" Type="http://schemas.openxmlformats.org/officeDocument/2006/relationships/hyperlink" Target="vSaleOrder.aspx%3fID=268745" TargetMode="External"/><Relationship Id="rId334" Type="http://schemas.openxmlformats.org/officeDocument/2006/relationships/hyperlink" Target="vSaleOrder.aspx%3fID=" TargetMode="External"/><Relationship Id="rId541" Type="http://schemas.openxmlformats.org/officeDocument/2006/relationships/hyperlink" Target="vSaleOrder.aspx%3fID=258611" TargetMode="External"/><Relationship Id="rId639" Type="http://schemas.openxmlformats.org/officeDocument/2006/relationships/hyperlink" Target="vSaleOrder.aspx%3fID=314854" TargetMode="External"/><Relationship Id="rId180" Type="http://schemas.openxmlformats.org/officeDocument/2006/relationships/hyperlink" Target="vSaleOrder.aspx%3fID=266373" TargetMode="External"/><Relationship Id="rId278" Type="http://schemas.openxmlformats.org/officeDocument/2006/relationships/hyperlink" Target="vSaleOrder.aspx%3fID=308841" TargetMode="External"/><Relationship Id="rId401" Type="http://schemas.openxmlformats.org/officeDocument/2006/relationships/hyperlink" Target="vSaleOrder.aspx%3fID=316163" TargetMode="External"/><Relationship Id="rId303" Type="http://schemas.openxmlformats.org/officeDocument/2006/relationships/hyperlink" Target="vSaleOrder.aspx%3fID=314297" TargetMode="External"/><Relationship Id="rId485" Type="http://schemas.openxmlformats.org/officeDocument/2006/relationships/hyperlink" Target="vSaleOrder.aspx%3fID=300934" TargetMode="External"/><Relationship Id="rId692" Type="http://schemas.openxmlformats.org/officeDocument/2006/relationships/hyperlink" Target="vSaleOrder.aspx%3fID=306100" TargetMode="External"/><Relationship Id="rId706" Type="http://schemas.openxmlformats.org/officeDocument/2006/relationships/hyperlink" Target="vSaleOrder.aspx%3fID=295518" TargetMode="External"/><Relationship Id="rId748" Type="http://schemas.openxmlformats.org/officeDocument/2006/relationships/hyperlink" Target="vSaleOrder.aspx%3fID=315631" TargetMode="External"/><Relationship Id="rId42" Type="http://schemas.openxmlformats.org/officeDocument/2006/relationships/hyperlink" Target="vSaleOrder.aspx%3fID=314264" TargetMode="External"/><Relationship Id="rId84" Type="http://schemas.openxmlformats.org/officeDocument/2006/relationships/hyperlink" Target="vSaleOrder.aspx%3fID=274972" TargetMode="External"/><Relationship Id="rId138" Type="http://schemas.openxmlformats.org/officeDocument/2006/relationships/hyperlink" Target="vSaleOrder.aspx%3fID=308013" TargetMode="External"/><Relationship Id="rId345" Type="http://schemas.openxmlformats.org/officeDocument/2006/relationships/hyperlink" Target="vSaleOrder.aspx%3fID=293393" TargetMode="External"/><Relationship Id="rId387" Type="http://schemas.openxmlformats.org/officeDocument/2006/relationships/hyperlink" Target="vSaleOrder.aspx%3fID=319605" TargetMode="External"/><Relationship Id="rId510" Type="http://schemas.openxmlformats.org/officeDocument/2006/relationships/hyperlink" Target="vSaleOrder.aspx%3fID=251147" TargetMode="External"/><Relationship Id="rId552" Type="http://schemas.openxmlformats.org/officeDocument/2006/relationships/hyperlink" Target="vSaleOrder.aspx%3fID=316918" TargetMode="External"/><Relationship Id="rId594" Type="http://schemas.openxmlformats.org/officeDocument/2006/relationships/hyperlink" Target="vSaleOrder.aspx%3fID=" TargetMode="External"/><Relationship Id="rId608" Type="http://schemas.openxmlformats.org/officeDocument/2006/relationships/hyperlink" Target="vSaleOrder.aspx%3fID=205848" TargetMode="External"/><Relationship Id="rId191" Type="http://schemas.openxmlformats.org/officeDocument/2006/relationships/hyperlink" Target="vSaleOrder.aspx%3fID=318131" TargetMode="External"/><Relationship Id="rId205" Type="http://schemas.openxmlformats.org/officeDocument/2006/relationships/hyperlink" Target="vSaleOrder.aspx%3fID=" TargetMode="External"/><Relationship Id="rId247" Type="http://schemas.openxmlformats.org/officeDocument/2006/relationships/hyperlink" Target="vSaleOrder.aspx%3fID=314262" TargetMode="External"/><Relationship Id="rId412" Type="http://schemas.openxmlformats.org/officeDocument/2006/relationships/hyperlink" Target="vSaleOrder.aspx%3fID=314559" TargetMode="External"/><Relationship Id="rId107" Type="http://schemas.openxmlformats.org/officeDocument/2006/relationships/hyperlink" Target="vSaleOrder.aspx%3fID=314895" TargetMode="External"/><Relationship Id="rId289" Type="http://schemas.openxmlformats.org/officeDocument/2006/relationships/hyperlink" Target="vSaleOrder.aspx%3fID=296736" TargetMode="External"/><Relationship Id="rId454" Type="http://schemas.openxmlformats.org/officeDocument/2006/relationships/hyperlink" Target="vSaleOrder.aspx%3fID=314265" TargetMode="External"/><Relationship Id="rId496" Type="http://schemas.openxmlformats.org/officeDocument/2006/relationships/hyperlink" Target="vSaleOrder.aspx%3fID=296853" TargetMode="External"/><Relationship Id="rId661" Type="http://schemas.openxmlformats.org/officeDocument/2006/relationships/hyperlink" Target="vSaleOrder.aspx%3fID=308841" TargetMode="External"/><Relationship Id="rId717" Type="http://schemas.openxmlformats.org/officeDocument/2006/relationships/hyperlink" Target="vSaleOrder.aspx%3fID=" TargetMode="External"/><Relationship Id="rId759" Type="http://schemas.openxmlformats.org/officeDocument/2006/relationships/hyperlink" Target="vSaleOrder.aspx%3fID=" TargetMode="External"/><Relationship Id="rId11" Type="http://schemas.openxmlformats.org/officeDocument/2006/relationships/hyperlink" Target="vSaleOrder.aspx%3fID=292661" TargetMode="External"/><Relationship Id="rId53" Type="http://schemas.openxmlformats.org/officeDocument/2006/relationships/hyperlink" Target="vSaleOrder.aspx%3fID=286505" TargetMode="External"/><Relationship Id="rId149" Type="http://schemas.openxmlformats.org/officeDocument/2006/relationships/hyperlink" Target="vSaleOrder.aspx%3fID=318244" TargetMode="External"/><Relationship Id="rId314" Type="http://schemas.openxmlformats.org/officeDocument/2006/relationships/hyperlink" Target="vSaleOrder.aspx%3fID=314272" TargetMode="External"/><Relationship Id="rId356" Type="http://schemas.openxmlformats.org/officeDocument/2006/relationships/hyperlink" Target="vSaleOrder.aspx%3fID=" TargetMode="External"/><Relationship Id="rId398" Type="http://schemas.openxmlformats.org/officeDocument/2006/relationships/hyperlink" Target="vSaleOrder.aspx%3fID=288401" TargetMode="External"/><Relationship Id="rId521" Type="http://schemas.openxmlformats.org/officeDocument/2006/relationships/hyperlink" Target="vSaleOrder.aspx%3fID=308013" TargetMode="External"/><Relationship Id="rId563" Type="http://schemas.openxmlformats.org/officeDocument/2006/relationships/hyperlink" Target="vSaleOrder.aspx%3fID=266373" TargetMode="External"/><Relationship Id="rId619" Type="http://schemas.openxmlformats.org/officeDocument/2006/relationships/hyperlink" Target="vSaleOrder.aspx%3fID=291150" TargetMode="External"/><Relationship Id="rId95" Type="http://schemas.openxmlformats.org/officeDocument/2006/relationships/hyperlink" Target="vSaleOrder.aspx%3fID=314901" TargetMode="External"/><Relationship Id="rId160" Type="http://schemas.openxmlformats.org/officeDocument/2006/relationships/hyperlink" Target="vSaleOrder.aspx%3fID=314303" TargetMode="External"/><Relationship Id="rId216" Type="http://schemas.openxmlformats.org/officeDocument/2006/relationships/hyperlink" Target="vSaleOrder.aspx%3fID=205843" TargetMode="External"/><Relationship Id="rId423" Type="http://schemas.openxmlformats.org/officeDocument/2006/relationships/hyperlink" Target="vSaleOrder.aspx%3fID=295712" TargetMode="External"/><Relationship Id="rId258" Type="http://schemas.openxmlformats.org/officeDocument/2006/relationships/hyperlink" Target="vSaleOrder.aspx%3fID=288930" TargetMode="External"/><Relationship Id="rId465" Type="http://schemas.openxmlformats.org/officeDocument/2006/relationships/hyperlink" Target="vSaleOrder.aspx%3fID=313978" TargetMode="External"/><Relationship Id="rId630" Type="http://schemas.openxmlformats.org/officeDocument/2006/relationships/hyperlink" Target="vSaleOrder.aspx%3fID=314262" TargetMode="External"/><Relationship Id="rId672" Type="http://schemas.openxmlformats.org/officeDocument/2006/relationships/hyperlink" Target="vSaleOrder.aspx%3fID=296736" TargetMode="External"/><Relationship Id="rId728" Type="http://schemas.openxmlformats.org/officeDocument/2006/relationships/hyperlink" Target="vSaleOrder.aspx%3fID=293393" TargetMode="External"/><Relationship Id="rId22" Type="http://schemas.openxmlformats.org/officeDocument/2006/relationships/hyperlink" Target="vSaleOrder.aspx%3fID=307409" TargetMode="External"/><Relationship Id="rId64" Type="http://schemas.openxmlformats.org/officeDocument/2006/relationships/hyperlink" Target="vSaleOrder.aspx%3fID=290226" TargetMode="External"/><Relationship Id="rId118" Type="http://schemas.openxmlformats.org/officeDocument/2006/relationships/hyperlink" Target="vSaleOrder.aspx%3fID=259030" TargetMode="External"/><Relationship Id="rId325" Type="http://schemas.openxmlformats.org/officeDocument/2006/relationships/hyperlink" Target="vSaleOrder.aspx%3fID=314250" TargetMode="External"/><Relationship Id="rId367" Type="http://schemas.openxmlformats.org/officeDocument/2006/relationships/hyperlink" Target="vSaleOrder.aspx%3fID=318261" TargetMode="External"/><Relationship Id="rId532" Type="http://schemas.openxmlformats.org/officeDocument/2006/relationships/hyperlink" Target="vSaleOrder.aspx%3fID=318244" TargetMode="External"/><Relationship Id="rId574" Type="http://schemas.openxmlformats.org/officeDocument/2006/relationships/hyperlink" Target="vSaleOrder.aspx%3fID=318131" TargetMode="External"/><Relationship Id="rId171" Type="http://schemas.openxmlformats.org/officeDocument/2006/relationships/hyperlink" Target="vSaleOrder.aspx%3fID=268214" TargetMode="External"/><Relationship Id="rId227" Type="http://schemas.openxmlformats.org/officeDocument/2006/relationships/hyperlink" Target="vSaleOrder.aspx%3fID=205851" TargetMode="External"/><Relationship Id="rId269" Type="http://schemas.openxmlformats.org/officeDocument/2006/relationships/hyperlink" Target="vSaleOrder.aspx%3fID=314281" TargetMode="External"/><Relationship Id="rId434" Type="http://schemas.openxmlformats.org/officeDocument/2006/relationships/hyperlink" Target="vSaleOrder.aspx%3fID=250544" TargetMode="External"/><Relationship Id="rId476" Type="http://schemas.openxmlformats.org/officeDocument/2006/relationships/hyperlink" Target="vSaleOrder.aspx%3fID=286499" TargetMode="External"/><Relationship Id="rId641" Type="http://schemas.openxmlformats.org/officeDocument/2006/relationships/hyperlink" Target="vSaleOrder.aspx%3fID=288930" TargetMode="External"/><Relationship Id="rId683" Type="http://schemas.openxmlformats.org/officeDocument/2006/relationships/hyperlink" Target="vSaleOrder.aspx%3fID=315645" TargetMode="External"/><Relationship Id="rId739" Type="http://schemas.openxmlformats.org/officeDocument/2006/relationships/hyperlink" Target="vSaleOrder.aspx%3fID=" TargetMode="External"/><Relationship Id="rId33" Type="http://schemas.openxmlformats.org/officeDocument/2006/relationships/hyperlink" Target="vSaleOrder.aspx%3fID=272461" TargetMode="External"/><Relationship Id="rId129" Type="http://schemas.openxmlformats.org/officeDocument/2006/relationships/hyperlink" Target="vSaleOrder.aspx%3fID=284497" TargetMode="External"/><Relationship Id="rId280" Type="http://schemas.openxmlformats.org/officeDocument/2006/relationships/hyperlink" Target="vSaleOrder.aspx%3fID=318122" TargetMode="External"/><Relationship Id="rId336" Type="http://schemas.openxmlformats.org/officeDocument/2006/relationships/hyperlink" Target="vSaleOrder.aspx%3fID=311581" TargetMode="External"/><Relationship Id="rId501" Type="http://schemas.openxmlformats.org/officeDocument/2006/relationships/hyperlink" Target="vSaleOrder.aspx%3fID=259030" TargetMode="External"/><Relationship Id="rId543" Type="http://schemas.openxmlformats.org/officeDocument/2006/relationships/hyperlink" Target="vSaleOrder.aspx%3fID=314303" TargetMode="External"/><Relationship Id="rId75" Type="http://schemas.openxmlformats.org/officeDocument/2006/relationships/hyperlink" Target="vSaleOrder.aspx%3fID=219186" TargetMode="External"/><Relationship Id="rId140" Type="http://schemas.openxmlformats.org/officeDocument/2006/relationships/hyperlink" Target="vSaleOrder.aspx%3fID=295775" TargetMode="External"/><Relationship Id="rId182" Type="http://schemas.openxmlformats.org/officeDocument/2006/relationships/hyperlink" Target="vSaleOrder.aspx%3fID=254433" TargetMode="External"/><Relationship Id="rId378" Type="http://schemas.openxmlformats.org/officeDocument/2006/relationships/hyperlink" Target="vSaleOrder.aspx%3fID=" TargetMode="External"/><Relationship Id="rId403" Type="http://schemas.openxmlformats.org/officeDocument/2006/relationships/hyperlink" Target="vSaleOrder.aspx%3fID=318022" TargetMode="External"/><Relationship Id="rId585" Type="http://schemas.openxmlformats.org/officeDocument/2006/relationships/hyperlink" Target="vSaleOrder.aspx%3fID=260881" TargetMode="External"/><Relationship Id="rId750" Type="http://schemas.openxmlformats.org/officeDocument/2006/relationships/hyperlink" Target="vSaleOrder.aspx%3fID=318261" TargetMode="External"/><Relationship Id="rId6" Type="http://schemas.openxmlformats.org/officeDocument/2006/relationships/hyperlink" Target="vSaleOrder.aspx%3fID=319293" TargetMode="External"/><Relationship Id="rId238" Type="http://schemas.openxmlformats.org/officeDocument/2006/relationships/hyperlink" Target="vSaleOrder.aspx%3fID=304181" TargetMode="External"/><Relationship Id="rId445" Type="http://schemas.openxmlformats.org/officeDocument/2006/relationships/hyperlink" Target="vSaleOrder.aspx%3fID=294193" TargetMode="External"/><Relationship Id="rId487" Type="http://schemas.openxmlformats.org/officeDocument/2006/relationships/hyperlink" Target="vSaleOrder.aspx%3fID=284734" TargetMode="External"/><Relationship Id="rId610" Type="http://schemas.openxmlformats.org/officeDocument/2006/relationships/hyperlink" Target="vSaleOrder.aspx%3fID=205851" TargetMode="External"/><Relationship Id="rId652" Type="http://schemas.openxmlformats.org/officeDocument/2006/relationships/hyperlink" Target="vSaleOrder.aspx%3fID=314281" TargetMode="External"/><Relationship Id="rId694" Type="http://schemas.openxmlformats.org/officeDocument/2006/relationships/hyperlink" Target="vSaleOrder.aspx%3fID=" TargetMode="External"/><Relationship Id="rId708" Type="http://schemas.openxmlformats.org/officeDocument/2006/relationships/hyperlink" Target="vSaleOrder.aspx%3fID=314250" TargetMode="External"/><Relationship Id="rId291" Type="http://schemas.openxmlformats.org/officeDocument/2006/relationships/hyperlink" Target="vSaleOrder.aspx%3fID=289642" TargetMode="External"/><Relationship Id="rId305" Type="http://schemas.openxmlformats.org/officeDocument/2006/relationships/hyperlink" Target="vSaleOrder.aspx%3fID=305972" TargetMode="External"/><Relationship Id="rId347" Type="http://schemas.openxmlformats.org/officeDocument/2006/relationships/hyperlink" Target="vSaleOrder.aspx%3fID=315625" TargetMode="External"/><Relationship Id="rId512" Type="http://schemas.openxmlformats.org/officeDocument/2006/relationships/hyperlink" Target="vSaleOrder.aspx%3fID=284497" TargetMode="External"/><Relationship Id="rId44" Type="http://schemas.openxmlformats.org/officeDocument/2006/relationships/hyperlink" Target="vSaleOrder.aspx%3fID=277937" TargetMode="External"/><Relationship Id="rId86" Type="http://schemas.openxmlformats.org/officeDocument/2006/relationships/hyperlink" Target="vSaleOrder.aspx%3fID=274972" TargetMode="External"/><Relationship Id="rId151" Type="http://schemas.openxmlformats.org/officeDocument/2006/relationships/hyperlink" Target="vSaleOrder.aspx%3fID=314044" TargetMode="External"/><Relationship Id="rId389" Type="http://schemas.openxmlformats.org/officeDocument/2006/relationships/hyperlink" Target="vSaleOrder.aspx%3fID=319293" TargetMode="External"/><Relationship Id="rId554" Type="http://schemas.openxmlformats.org/officeDocument/2006/relationships/hyperlink" Target="vSaleOrder.aspx%3fID=268214" TargetMode="External"/><Relationship Id="rId596" Type="http://schemas.openxmlformats.org/officeDocument/2006/relationships/hyperlink" Target="vSaleOrder.aspx%3fID=205851" TargetMode="External"/><Relationship Id="rId761" Type="http://schemas.openxmlformats.org/officeDocument/2006/relationships/hyperlink" Target="vSaleOrder.aspx%3fID=" TargetMode="External"/><Relationship Id="rId193" Type="http://schemas.openxmlformats.org/officeDocument/2006/relationships/hyperlink" Target="vSaleOrder.aspx%3fID=316922" TargetMode="External"/><Relationship Id="rId207" Type="http://schemas.openxmlformats.org/officeDocument/2006/relationships/hyperlink" Target="vSaleOrder.aspx%3fID=219578" TargetMode="External"/><Relationship Id="rId249" Type="http://schemas.openxmlformats.org/officeDocument/2006/relationships/hyperlink" Target="vSaleOrder.aspx%3fID=313973" TargetMode="External"/><Relationship Id="rId414" Type="http://schemas.openxmlformats.org/officeDocument/2006/relationships/hyperlink" Target="vSaleOrder.aspx%3fID=268745" TargetMode="External"/><Relationship Id="rId456" Type="http://schemas.openxmlformats.org/officeDocument/2006/relationships/hyperlink" Target="vSaleOrder.aspx%3fID=271494" TargetMode="External"/><Relationship Id="rId498" Type="http://schemas.openxmlformats.org/officeDocument/2006/relationships/hyperlink" Target="vSaleOrder.aspx%3fID=306498" TargetMode="External"/><Relationship Id="rId621" Type="http://schemas.openxmlformats.org/officeDocument/2006/relationships/hyperlink" Target="vSaleOrder.aspx%3fID=304181" TargetMode="External"/><Relationship Id="rId663" Type="http://schemas.openxmlformats.org/officeDocument/2006/relationships/hyperlink" Target="vSaleOrder.aspx%3fID=318122" TargetMode="External"/><Relationship Id="rId13" Type="http://schemas.openxmlformats.org/officeDocument/2006/relationships/hyperlink" Target="vSaleOrder.aspx%3fID=314012" TargetMode="External"/><Relationship Id="rId109" Type="http://schemas.openxmlformats.org/officeDocument/2006/relationships/hyperlink" Target="vSaleOrder.aspx%3fID=" TargetMode="External"/><Relationship Id="rId260" Type="http://schemas.openxmlformats.org/officeDocument/2006/relationships/hyperlink" Target="vSaleOrder.aspx%3fID=288930" TargetMode="External"/><Relationship Id="rId316" Type="http://schemas.openxmlformats.org/officeDocument/2006/relationships/hyperlink" Target="vSaleOrder.aspx%3fID=240704" TargetMode="External"/><Relationship Id="rId523" Type="http://schemas.openxmlformats.org/officeDocument/2006/relationships/hyperlink" Target="vSaleOrder.aspx%3fID=295775" TargetMode="External"/><Relationship Id="rId719" Type="http://schemas.openxmlformats.org/officeDocument/2006/relationships/hyperlink" Target="vSaleOrder.aspx%3fID=311581" TargetMode="External"/><Relationship Id="rId55" Type="http://schemas.openxmlformats.org/officeDocument/2006/relationships/hyperlink" Target="vSaleOrder.aspx%3fID=314271" TargetMode="External"/><Relationship Id="rId97" Type="http://schemas.openxmlformats.org/officeDocument/2006/relationships/hyperlink" Target="vSaleOrder.aspx%3fID=314891" TargetMode="External"/><Relationship Id="rId120" Type="http://schemas.openxmlformats.org/officeDocument/2006/relationships/hyperlink" Target="vSaleOrder.aspx%3fID=314002" TargetMode="External"/><Relationship Id="rId358" Type="http://schemas.openxmlformats.org/officeDocument/2006/relationships/hyperlink" Target="vSaleOrder.aspx%3fID=313891" TargetMode="External"/><Relationship Id="rId565" Type="http://schemas.openxmlformats.org/officeDocument/2006/relationships/hyperlink" Target="vSaleOrder.aspx%3fID=254433" TargetMode="External"/><Relationship Id="rId730" Type="http://schemas.openxmlformats.org/officeDocument/2006/relationships/hyperlink" Target="vSaleOrder.aspx%3fID=315625" TargetMode="External"/><Relationship Id="rId162" Type="http://schemas.openxmlformats.org/officeDocument/2006/relationships/hyperlink" Target="vSaleOrder.aspx%3fID=257823" TargetMode="External"/><Relationship Id="rId218" Type="http://schemas.openxmlformats.org/officeDocument/2006/relationships/hyperlink" Target="vSaleOrder.aspx%3fID=205842" TargetMode="External"/><Relationship Id="rId425" Type="http://schemas.openxmlformats.org/officeDocument/2006/relationships/hyperlink" Target="vSaleOrder.aspx%3fID=314264" TargetMode="External"/><Relationship Id="rId467" Type="http://schemas.openxmlformats.org/officeDocument/2006/relationships/hyperlink" Target="vSaleOrder.aspx%3fID=274972" TargetMode="External"/><Relationship Id="rId632" Type="http://schemas.openxmlformats.org/officeDocument/2006/relationships/hyperlink" Target="vSaleOrder.aspx%3fID=313973" TargetMode="External"/><Relationship Id="rId271" Type="http://schemas.openxmlformats.org/officeDocument/2006/relationships/hyperlink" Target="vSaleOrder.aspx%3fID=314281" TargetMode="External"/><Relationship Id="rId674" Type="http://schemas.openxmlformats.org/officeDocument/2006/relationships/hyperlink" Target="vSaleOrder.aspx%3fID=289642" TargetMode="External"/><Relationship Id="rId24" Type="http://schemas.openxmlformats.org/officeDocument/2006/relationships/hyperlink" Target="vSaleOrder.aspx%3fID=307596" TargetMode="External"/><Relationship Id="rId66" Type="http://schemas.openxmlformats.org/officeDocument/2006/relationships/hyperlink" Target="vSaleOrder.aspx%3fID=277126" TargetMode="External"/><Relationship Id="rId131" Type="http://schemas.openxmlformats.org/officeDocument/2006/relationships/hyperlink" Target="vSaleOrder.aspx%3fID=292407" TargetMode="External"/><Relationship Id="rId327" Type="http://schemas.openxmlformats.org/officeDocument/2006/relationships/hyperlink" Target="vSaleOrder.aspx%3fID=274489" TargetMode="External"/><Relationship Id="rId369" Type="http://schemas.openxmlformats.org/officeDocument/2006/relationships/hyperlink" Target="vSaleOrder.aspx%3fID=266394" TargetMode="External"/><Relationship Id="rId534" Type="http://schemas.openxmlformats.org/officeDocument/2006/relationships/hyperlink" Target="vSaleOrder.aspx%3fID=314044" TargetMode="External"/><Relationship Id="rId576" Type="http://schemas.openxmlformats.org/officeDocument/2006/relationships/hyperlink" Target="vSaleOrder.aspx%3fID=316922" TargetMode="External"/><Relationship Id="rId741" Type="http://schemas.openxmlformats.org/officeDocument/2006/relationships/hyperlink" Target="vSaleOrder.aspx%3fID=313891" TargetMode="External"/><Relationship Id="rId173" Type="http://schemas.openxmlformats.org/officeDocument/2006/relationships/hyperlink" Target="vSaleOrder.aspx%3fID=314244" TargetMode="External"/><Relationship Id="rId229" Type="http://schemas.openxmlformats.org/officeDocument/2006/relationships/hyperlink" Target="vSaleOrder.aspx%3fID=205843" TargetMode="External"/><Relationship Id="rId380" Type="http://schemas.openxmlformats.org/officeDocument/2006/relationships/hyperlink" Target="vSaleOrder.aspx%3fID=260253" TargetMode="External"/><Relationship Id="rId436" Type="http://schemas.openxmlformats.org/officeDocument/2006/relationships/hyperlink" Target="vSaleOrder.aspx%3fID=286505" TargetMode="External"/><Relationship Id="rId601" Type="http://schemas.openxmlformats.org/officeDocument/2006/relationships/hyperlink" Target="vSaleOrder.aspx%3fID=205842" TargetMode="External"/><Relationship Id="rId643" Type="http://schemas.openxmlformats.org/officeDocument/2006/relationships/hyperlink" Target="vSaleOrder.aspx%3fID=288930" TargetMode="External"/><Relationship Id="rId240" Type="http://schemas.openxmlformats.org/officeDocument/2006/relationships/hyperlink" Target="vSaleOrder.aspx%3fID=300562" TargetMode="External"/><Relationship Id="rId478" Type="http://schemas.openxmlformats.org/officeDocument/2006/relationships/hyperlink" Target="vSaleOrder.aspx%3fID=314901" TargetMode="External"/><Relationship Id="rId685" Type="http://schemas.openxmlformats.org/officeDocument/2006/relationships/hyperlink" Target="vSaleOrder.aspx%3fID=314239" TargetMode="External"/><Relationship Id="rId35" Type="http://schemas.openxmlformats.org/officeDocument/2006/relationships/hyperlink" Target="vSaleOrder.aspx%3fID=297366" TargetMode="External"/><Relationship Id="rId77" Type="http://schemas.openxmlformats.org/officeDocument/2006/relationships/hyperlink" Target="vSaleOrder.aspx%3fID=314276" TargetMode="External"/><Relationship Id="rId100" Type="http://schemas.openxmlformats.org/officeDocument/2006/relationships/hyperlink" Target="vSaleOrder.aspx%3fID=317670" TargetMode="External"/><Relationship Id="rId282" Type="http://schemas.openxmlformats.org/officeDocument/2006/relationships/hyperlink" Target="vSaleOrder.aspx%3fID=314296" TargetMode="External"/><Relationship Id="rId338" Type="http://schemas.openxmlformats.org/officeDocument/2006/relationships/hyperlink" Target="vSaleOrder.aspx%3fID=" TargetMode="External"/><Relationship Id="rId503" Type="http://schemas.openxmlformats.org/officeDocument/2006/relationships/hyperlink" Target="vSaleOrder.aspx%3fID=314002" TargetMode="External"/><Relationship Id="rId545" Type="http://schemas.openxmlformats.org/officeDocument/2006/relationships/hyperlink" Target="vSaleOrder.aspx%3fID=257823" TargetMode="External"/><Relationship Id="rId587" Type="http://schemas.openxmlformats.org/officeDocument/2006/relationships/hyperlink" Target="vSaleOrder.aspx%3fID=282909" TargetMode="External"/><Relationship Id="rId710" Type="http://schemas.openxmlformats.org/officeDocument/2006/relationships/hyperlink" Target="vSaleOrder.aspx%3fID=274489" TargetMode="External"/><Relationship Id="rId752" Type="http://schemas.openxmlformats.org/officeDocument/2006/relationships/hyperlink" Target="vSaleOrder.aspx%3fID=266394" TargetMode="External"/><Relationship Id="rId8" Type="http://schemas.openxmlformats.org/officeDocument/2006/relationships/hyperlink" Target="vSaleOrder.aspx%3fID=282797" TargetMode="External"/><Relationship Id="rId142" Type="http://schemas.openxmlformats.org/officeDocument/2006/relationships/hyperlink" Target="vSaleOrder.aspx%3fID=269238" TargetMode="External"/><Relationship Id="rId184" Type="http://schemas.openxmlformats.org/officeDocument/2006/relationships/hyperlink" Target="vSaleOrder.aspx%3fID=" TargetMode="External"/><Relationship Id="rId391" Type="http://schemas.openxmlformats.org/officeDocument/2006/relationships/hyperlink" Target="vSaleOrder.aspx%3fID=282797" TargetMode="External"/><Relationship Id="rId405" Type="http://schemas.openxmlformats.org/officeDocument/2006/relationships/hyperlink" Target="vSaleOrder.aspx%3fID=307409" TargetMode="External"/><Relationship Id="rId447" Type="http://schemas.openxmlformats.org/officeDocument/2006/relationships/hyperlink" Target="vSaleOrder.aspx%3fID=290226" TargetMode="External"/><Relationship Id="rId612" Type="http://schemas.openxmlformats.org/officeDocument/2006/relationships/hyperlink" Target="vSaleOrder.aspx%3fID=205843" TargetMode="External"/><Relationship Id="rId251" Type="http://schemas.openxmlformats.org/officeDocument/2006/relationships/hyperlink" Target="vSaleOrder.aspx%3fID=317669" TargetMode="External"/><Relationship Id="rId489" Type="http://schemas.openxmlformats.org/officeDocument/2006/relationships/hyperlink" Target="vSaleOrder.aspx%3fID=" TargetMode="External"/><Relationship Id="rId654" Type="http://schemas.openxmlformats.org/officeDocument/2006/relationships/hyperlink" Target="vSaleOrder.aspx%3fID=314281" TargetMode="External"/><Relationship Id="rId696" Type="http://schemas.openxmlformats.org/officeDocument/2006/relationships/hyperlink" Target="vSaleOrder.aspx%3fID=314251" TargetMode="External"/><Relationship Id="rId46" Type="http://schemas.openxmlformats.org/officeDocument/2006/relationships/hyperlink" Target="vSaleOrder.aspx%3fID=313886" TargetMode="External"/><Relationship Id="rId293" Type="http://schemas.openxmlformats.org/officeDocument/2006/relationships/hyperlink" Target="vSaleOrder.aspx%3fID=296704" TargetMode="External"/><Relationship Id="rId307" Type="http://schemas.openxmlformats.org/officeDocument/2006/relationships/hyperlink" Target="vSaleOrder.aspx%3fID=314278" TargetMode="External"/><Relationship Id="rId349" Type="http://schemas.openxmlformats.org/officeDocument/2006/relationships/hyperlink" Target="vSaleOrder.aspx%3fID=315637" TargetMode="External"/><Relationship Id="rId514" Type="http://schemas.openxmlformats.org/officeDocument/2006/relationships/hyperlink" Target="vSaleOrder.aspx%3fID=292407" TargetMode="External"/><Relationship Id="rId556" Type="http://schemas.openxmlformats.org/officeDocument/2006/relationships/hyperlink" Target="vSaleOrder.aspx%3fID=314244" TargetMode="External"/><Relationship Id="rId721" Type="http://schemas.openxmlformats.org/officeDocument/2006/relationships/hyperlink" Target="vSaleOrder.aspx%3fID=" TargetMode="External"/><Relationship Id="rId763" Type="http://schemas.openxmlformats.org/officeDocument/2006/relationships/hyperlink" Target="vSaleOrder.aspx%3fID=260253" TargetMode="External"/><Relationship Id="rId88" Type="http://schemas.openxmlformats.org/officeDocument/2006/relationships/hyperlink" Target="vSaleOrder.aspx%3fID=319735" TargetMode="External"/><Relationship Id="rId111" Type="http://schemas.openxmlformats.org/officeDocument/2006/relationships/hyperlink" Target="vSaleOrder.aspx%3fID=196481" TargetMode="External"/><Relationship Id="rId153" Type="http://schemas.openxmlformats.org/officeDocument/2006/relationships/hyperlink" Target="vSaleOrder.aspx%3fID=276731" TargetMode="External"/><Relationship Id="rId195" Type="http://schemas.openxmlformats.org/officeDocument/2006/relationships/hyperlink" Target="vSaleOrder.aspx%3fID=260869" TargetMode="External"/><Relationship Id="rId209" Type="http://schemas.openxmlformats.org/officeDocument/2006/relationships/hyperlink" Target="vSaleOrder.aspx%3fID=239867" TargetMode="External"/><Relationship Id="rId360" Type="http://schemas.openxmlformats.org/officeDocument/2006/relationships/hyperlink" Target="vSaleOrder.aspx%3fID=314248" TargetMode="External"/><Relationship Id="rId416" Type="http://schemas.openxmlformats.org/officeDocument/2006/relationships/hyperlink" Target="vSaleOrder.aspx%3fID=272461" TargetMode="External"/><Relationship Id="rId598" Type="http://schemas.openxmlformats.org/officeDocument/2006/relationships/hyperlink" Target="vSaleOrder.aspx%3fID=205848" TargetMode="External"/><Relationship Id="rId220" Type="http://schemas.openxmlformats.org/officeDocument/2006/relationships/hyperlink" Target="vSaleOrder.aspx%3fID=205846" TargetMode="External"/><Relationship Id="rId458" Type="http://schemas.openxmlformats.org/officeDocument/2006/relationships/hyperlink" Target="vSaleOrder.aspx%3fID=219186" TargetMode="External"/><Relationship Id="rId623" Type="http://schemas.openxmlformats.org/officeDocument/2006/relationships/hyperlink" Target="vSaleOrder.aspx%3fID=300562" TargetMode="External"/><Relationship Id="rId665" Type="http://schemas.openxmlformats.org/officeDocument/2006/relationships/hyperlink" Target="vSaleOrder.aspx%3fID=314296" TargetMode="External"/><Relationship Id="rId15" Type="http://schemas.openxmlformats.org/officeDocument/2006/relationships/hyperlink" Target="vSaleOrder.aspx%3fID=288401" TargetMode="External"/><Relationship Id="rId57" Type="http://schemas.openxmlformats.org/officeDocument/2006/relationships/hyperlink" Target="vSaleOrder.aspx%3fID=314270" TargetMode="External"/><Relationship Id="rId262" Type="http://schemas.openxmlformats.org/officeDocument/2006/relationships/hyperlink" Target="vSaleOrder.aspx%3fID=305993" TargetMode="External"/><Relationship Id="rId318" Type="http://schemas.openxmlformats.org/officeDocument/2006/relationships/hyperlink" Target="vSaleOrder.aspx%3fID=253932" TargetMode="External"/><Relationship Id="rId525" Type="http://schemas.openxmlformats.org/officeDocument/2006/relationships/hyperlink" Target="vSaleOrder.aspx%3fID=269238" TargetMode="External"/><Relationship Id="rId567" Type="http://schemas.openxmlformats.org/officeDocument/2006/relationships/hyperlink" Target="vSaleOrder.aspx%3fID=" TargetMode="External"/><Relationship Id="rId732" Type="http://schemas.openxmlformats.org/officeDocument/2006/relationships/hyperlink" Target="vSaleOrder.aspx%3fID=315637" TargetMode="External"/><Relationship Id="rId99" Type="http://schemas.openxmlformats.org/officeDocument/2006/relationships/hyperlink" Target="vSaleOrder.aspx%3fID=316861" TargetMode="External"/><Relationship Id="rId122" Type="http://schemas.openxmlformats.org/officeDocument/2006/relationships/hyperlink" Target="vSaleOrder.aspx%3fID=289009" TargetMode="External"/><Relationship Id="rId164" Type="http://schemas.openxmlformats.org/officeDocument/2006/relationships/hyperlink" Target="vSaleOrder.aspx%3fID=313970" TargetMode="External"/><Relationship Id="rId371" Type="http://schemas.openxmlformats.org/officeDocument/2006/relationships/hyperlink" Target="vSaleOrder.aspx%3fID=" TargetMode="External"/><Relationship Id="rId427" Type="http://schemas.openxmlformats.org/officeDocument/2006/relationships/hyperlink" Target="vSaleOrder.aspx%3fID=277937" TargetMode="External"/><Relationship Id="rId469" Type="http://schemas.openxmlformats.org/officeDocument/2006/relationships/hyperlink" Target="vSaleOrder.aspx%3fID=274972" TargetMode="External"/><Relationship Id="rId634" Type="http://schemas.openxmlformats.org/officeDocument/2006/relationships/hyperlink" Target="vSaleOrder.aspx%3fID=317669" TargetMode="External"/><Relationship Id="rId676" Type="http://schemas.openxmlformats.org/officeDocument/2006/relationships/hyperlink" Target="vSaleOrder.aspx%3fID=296704" TargetMode="External"/><Relationship Id="rId26" Type="http://schemas.openxmlformats.org/officeDocument/2006/relationships/hyperlink" Target="vSaleOrder.aspx%3fID=" TargetMode="External"/><Relationship Id="rId231" Type="http://schemas.openxmlformats.org/officeDocument/2006/relationships/hyperlink" Target="vSaleOrder.aspx%3fID=317659" TargetMode="External"/><Relationship Id="rId273" Type="http://schemas.openxmlformats.org/officeDocument/2006/relationships/hyperlink" Target="vSaleOrder.aspx%3fID=283391" TargetMode="External"/><Relationship Id="rId329" Type="http://schemas.openxmlformats.org/officeDocument/2006/relationships/hyperlink" Target="vSaleOrder.aspx%3fID=318237" TargetMode="External"/><Relationship Id="rId480" Type="http://schemas.openxmlformats.org/officeDocument/2006/relationships/hyperlink" Target="vSaleOrder.aspx%3fID=314891" TargetMode="External"/><Relationship Id="rId536" Type="http://schemas.openxmlformats.org/officeDocument/2006/relationships/hyperlink" Target="vSaleOrder.aspx%3fID=276731" TargetMode="External"/><Relationship Id="rId701" Type="http://schemas.openxmlformats.org/officeDocument/2006/relationships/hyperlink" Target="vSaleOrder.aspx%3fID=253932" TargetMode="External"/><Relationship Id="rId68" Type="http://schemas.openxmlformats.org/officeDocument/2006/relationships/hyperlink" Target="vSaleOrder.aspx%3fID=305471" TargetMode="External"/><Relationship Id="rId133" Type="http://schemas.openxmlformats.org/officeDocument/2006/relationships/hyperlink" Target="vSaleOrder.aspx%3fID=" TargetMode="External"/><Relationship Id="rId175" Type="http://schemas.openxmlformats.org/officeDocument/2006/relationships/hyperlink" Target="vSaleOrder.aspx%3fID=" TargetMode="External"/><Relationship Id="rId340" Type="http://schemas.openxmlformats.org/officeDocument/2006/relationships/hyperlink" Target="vSaleOrder.aspx%3fID=251539" TargetMode="External"/><Relationship Id="rId578" Type="http://schemas.openxmlformats.org/officeDocument/2006/relationships/hyperlink" Target="vSaleOrder.aspx%3fID=260869" TargetMode="External"/><Relationship Id="rId743" Type="http://schemas.openxmlformats.org/officeDocument/2006/relationships/hyperlink" Target="vSaleOrder.aspx%3fID=314248" TargetMode="External"/><Relationship Id="rId200" Type="http://schemas.openxmlformats.org/officeDocument/2006/relationships/hyperlink" Target="vSaleOrder.aspx%3fID=260880" TargetMode="External"/><Relationship Id="rId382" Type="http://schemas.openxmlformats.org/officeDocument/2006/relationships/hyperlink" Target="vSaleOrder.aspx%3fID=272670" TargetMode="External"/><Relationship Id="rId438" Type="http://schemas.openxmlformats.org/officeDocument/2006/relationships/hyperlink" Target="vSaleOrder.aspx%3fID=314271" TargetMode="External"/><Relationship Id="rId603" Type="http://schemas.openxmlformats.org/officeDocument/2006/relationships/hyperlink" Target="vSaleOrder.aspx%3fID=205846" TargetMode="External"/><Relationship Id="rId645" Type="http://schemas.openxmlformats.org/officeDocument/2006/relationships/hyperlink" Target="vSaleOrder.aspx%3fID=305993" TargetMode="External"/><Relationship Id="rId687" Type="http://schemas.openxmlformats.org/officeDocument/2006/relationships/hyperlink" Target="vSaleOrder.aspx%3fID=313888" TargetMode="External"/><Relationship Id="rId242" Type="http://schemas.openxmlformats.org/officeDocument/2006/relationships/hyperlink" Target="vSaleOrder.aspx%3fID=295155" TargetMode="External"/><Relationship Id="rId284" Type="http://schemas.openxmlformats.org/officeDocument/2006/relationships/hyperlink" Target="vSaleOrder.aspx%3fID=273766" TargetMode="External"/><Relationship Id="rId491" Type="http://schemas.openxmlformats.org/officeDocument/2006/relationships/hyperlink" Target="vSaleOrder.aspx%3fID=196480" TargetMode="External"/><Relationship Id="rId505" Type="http://schemas.openxmlformats.org/officeDocument/2006/relationships/hyperlink" Target="vSaleOrder.aspx%3fID=289009" TargetMode="External"/><Relationship Id="rId712" Type="http://schemas.openxmlformats.org/officeDocument/2006/relationships/hyperlink" Target="vSaleOrder.aspx%3fID=318237" TargetMode="External"/><Relationship Id="rId37" Type="http://schemas.openxmlformats.org/officeDocument/2006/relationships/hyperlink" Target="vSaleOrder.aspx%3fID=313893" TargetMode="External"/><Relationship Id="rId79" Type="http://schemas.openxmlformats.org/officeDocument/2006/relationships/hyperlink" Target="vSaleOrder.aspx%3fID=303435" TargetMode="External"/><Relationship Id="rId102" Type="http://schemas.openxmlformats.org/officeDocument/2006/relationships/hyperlink" Target="vSaleOrder.aspx%3fID=300934" TargetMode="External"/><Relationship Id="rId144" Type="http://schemas.openxmlformats.org/officeDocument/2006/relationships/hyperlink" Target="vSaleOrder.aspx%3fID=284027" TargetMode="External"/><Relationship Id="rId547" Type="http://schemas.openxmlformats.org/officeDocument/2006/relationships/hyperlink" Target="vSaleOrder.aspx%3fID=313970" TargetMode="External"/><Relationship Id="rId589" Type="http://schemas.openxmlformats.org/officeDocument/2006/relationships/hyperlink" Target="vSaleOrder.aspx%3fID=313948" TargetMode="External"/><Relationship Id="rId754" Type="http://schemas.openxmlformats.org/officeDocument/2006/relationships/hyperlink" Target="vSaleOrder.aspx%3fID=" TargetMode="External"/><Relationship Id="rId90" Type="http://schemas.openxmlformats.org/officeDocument/2006/relationships/hyperlink" Target="vSaleOrder.aspx%3fID=261362" TargetMode="External"/><Relationship Id="rId186" Type="http://schemas.openxmlformats.org/officeDocument/2006/relationships/hyperlink" Target="vSaleOrder.aspx%3fID=" TargetMode="External"/><Relationship Id="rId351" Type="http://schemas.openxmlformats.org/officeDocument/2006/relationships/hyperlink" Target="vSaleOrder.aspx%3fID=314299" TargetMode="External"/><Relationship Id="rId393" Type="http://schemas.openxmlformats.org/officeDocument/2006/relationships/hyperlink" Target="vSaleOrder.aspx%3fID=318258" TargetMode="External"/><Relationship Id="rId407" Type="http://schemas.openxmlformats.org/officeDocument/2006/relationships/hyperlink" Target="vSaleOrder.aspx%3fID=307596" TargetMode="External"/><Relationship Id="rId449" Type="http://schemas.openxmlformats.org/officeDocument/2006/relationships/hyperlink" Target="vSaleOrder.aspx%3fID=277126" TargetMode="External"/><Relationship Id="rId614" Type="http://schemas.openxmlformats.org/officeDocument/2006/relationships/hyperlink" Target="vSaleOrder.aspx%3fID=317659" TargetMode="External"/><Relationship Id="rId656" Type="http://schemas.openxmlformats.org/officeDocument/2006/relationships/hyperlink" Target="vSaleOrder.aspx%3fID=283391" TargetMode="External"/><Relationship Id="rId211" Type="http://schemas.openxmlformats.org/officeDocument/2006/relationships/hyperlink" Target="vSaleOrder.aspx%3fID=" TargetMode="External"/><Relationship Id="rId253" Type="http://schemas.openxmlformats.org/officeDocument/2006/relationships/hyperlink" Target="vSaleOrder.aspx%3fID=316912" TargetMode="External"/><Relationship Id="rId295" Type="http://schemas.openxmlformats.org/officeDocument/2006/relationships/hyperlink" Target="vSaleOrder.aspx%3fID=296704" TargetMode="External"/><Relationship Id="rId309" Type="http://schemas.openxmlformats.org/officeDocument/2006/relationships/hyperlink" Target="vSaleOrder.aspx%3fID=306100" TargetMode="External"/><Relationship Id="rId460" Type="http://schemas.openxmlformats.org/officeDocument/2006/relationships/hyperlink" Target="vSaleOrder.aspx%3fID=314276" TargetMode="External"/><Relationship Id="rId516" Type="http://schemas.openxmlformats.org/officeDocument/2006/relationships/hyperlink" Target="vSaleOrder.aspx%3fID=" TargetMode="External"/><Relationship Id="rId698" Type="http://schemas.openxmlformats.org/officeDocument/2006/relationships/hyperlink" Target="vSaleOrder.aspx%3fID=313894" TargetMode="External"/><Relationship Id="rId48" Type="http://schemas.openxmlformats.org/officeDocument/2006/relationships/hyperlink" Target="vSaleOrder.aspx%3fID=295777" TargetMode="External"/><Relationship Id="rId113" Type="http://schemas.openxmlformats.org/officeDocument/2006/relationships/hyperlink" Target="vSaleOrder.aspx%3fID=296853" TargetMode="External"/><Relationship Id="rId320" Type="http://schemas.openxmlformats.org/officeDocument/2006/relationships/hyperlink" Target="vSaleOrder.aspx%3fID=319922" TargetMode="External"/><Relationship Id="rId558" Type="http://schemas.openxmlformats.org/officeDocument/2006/relationships/hyperlink" Target="vSaleOrder.aspx%3fID=" TargetMode="External"/><Relationship Id="rId723" Type="http://schemas.openxmlformats.org/officeDocument/2006/relationships/hyperlink" Target="vSaleOrder.aspx%3fID=251539" TargetMode="External"/><Relationship Id="rId765" Type="http://schemas.openxmlformats.org/officeDocument/2006/relationships/hyperlink" Target="vSaleOrder.aspx%3fID=272670" TargetMode="External"/><Relationship Id="rId155" Type="http://schemas.openxmlformats.org/officeDocument/2006/relationships/hyperlink" Target="vSaleOrder.aspx%3fID=268449" TargetMode="External"/><Relationship Id="rId197" Type="http://schemas.openxmlformats.org/officeDocument/2006/relationships/hyperlink" Target="vSaleOrder.aspx%3fID=260870" TargetMode="External"/><Relationship Id="rId362" Type="http://schemas.openxmlformats.org/officeDocument/2006/relationships/hyperlink" Target="vSaleOrder.aspx%3fID=266335" TargetMode="External"/><Relationship Id="rId418" Type="http://schemas.openxmlformats.org/officeDocument/2006/relationships/hyperlink" Target="vSaleOrder.aspx%3fID=297366" TargetMode="External"/><Relationship Id="rId625" Type="http://schemas.openxmlformats.org/officeDocument/2006/relationships/hyperlink" Target="vSaleOrder.aspx%3fID=295155" TargetMode="External"/><Relationship Id="rId222" Type="http://schemas.openxmlformats.org/officeDocument/2006/relationships/hyperlink" Target="vSaleOrder.aspx%3fID=205842" TargetMode="External"/><Relationship Id="rId264" Type="http://schemas.openxmlformats.org/officeDocument/2006/relationships/hyperlink" Target="vSaleOrder.aspx%3fID=316158" TargetMode="External"/><Relationship Id="rId471" Type="http://schemas.openxmlformats.org/officeDocument/2006/relationships/hyperlink" Target="vSaleOrder.aspx%3fID=319735" TargetMode="External"/><Relationship Id="rId667" Type="http://schemas.openxmlformats.org/officeDocument/2006/relationships/hyperlink" Target="vSaleOrder.aspx%3fID=273766" TargetMode="External"/><Relationship Id="rId17" Type="http://schemas.openxmlformats.org/officeDocument/2006/relationships/hyperlink" Target="vSaleOrder.aspx%3fID=307004" TargetMode="External"/><Relationship Id="rId59" Type="http://schemas.openxmlformats.org/officeDocument/2006/relationships/hyperlink" Target="vSaleOrder.aspx%3fID=243141" TargetMode="External"/><Relationship Id="rId124" Type="http://schemas.openxmlformats.org/officeDocument/2006/relationships/hyperlink" Target="vSaleOrder.aspx%3fID=242397" TargetMode="External"/><Relationship Id="rId527" Type="http://schemas.openxmlformats.org/officeDocument/2006/relationships/hyperlink" Target="vSaleOrder.aspx%3fID=284027" TargetMode="External"/><Relationship Id="rId569" Type="http://schemas.openxmlformats.org/officeDocument/2006/relationships/hyperlink" Target="vSaleOrder.aspx%3fID=" TargetMode="External"/><Relationship Id="rId734" Type="http://schemas.openxmlformats.org/officeDocument/2006/relationships/hyperlink" Target="vSaleOrder.aspx%3fID=314299" TargetMode="External"/><Relationship Id="rId70" Type="http://schemas.openxmlformats.org/officeDocument/2006/relationships/hyperlink" Target="vSaleOrder.aspx%3fID=314298" TargetMode="External"/><Relationship Id="rId166" Type="http://schemas.openxmlformats.org/officeDocument/2006/relationships/hyperlink" Target="vSaleOrder.aspx%3fID=318272" TargetMode="External"/><Relationship Id="rId331" Type="http://schemas.openxmlformats.org/officeDocument/2006/relationships/hyperlink" Target="vSaleOrder.aspx%3fID=247507" TargetMode="External"/><Relationship Id="rId373" Type="http://schemas.openxmlformats.org/officeDocument/2006/relationships/hyperlink" Target="vSaleOrder.aspx%3fID=" TargetMode="External"/><Relationship Id="rId429" Type="http://schemas.openxmlformats.org/officeDocument/2006/relationships/hyperlink" Target="vSaleOrder.aspx%3fID=313886" TargetMode="External"/><Relationship Id="rId580" Type="http://schemas.openxmlformats.org/officeDocument/2006/relationships/hyperlink" Target="vSaleOrder.aspx%3fID=260870" TargetMode="External"/><Relationship Id="rId636" Type="http://schemas.openxmlformats.org/officeDocument/2006/relationships/hyperlink" Target="vSaleOrder.aspx%3fID=316912" TargetMode="External"/><Relationship Id="rId1" Type="http://schemas.openxmlformats.org/officeDocument/2006/relationships/hyperlink" Target="vSaleOrder.aspx%3fID=315626" TargetMode="External"/><Relationship Id="rId233" Type="http://schemas.openxmlformats.org/officeDocument/2006/relationships/hyperlink" Target="vSaleOrder.aspx%3fID=263383" TargetMode="External"/><Relationship Id="rId440" Type="http://schemas.openxmlformats.org/officeDocument/2006/relationships/hyperlink" Target="vSaleOrder.aspx%3fID=314270" TargetMode="External"/><Relationship Id="rId678" Type="http://schemas.openxmlformats.org/officeDocument/2006/relationships/hyperlink" Target="vSaleOrder.aspx%3fID=296704" TargetMode="External"/><Relationship Id="rId28" Type="http://schemas.openxmlformats.org/officeDocument/2006/relationships/hyperlink" Target="vSaleOrder.aspx%3fID=314557" TargetMode="External"/><Relationship Id="rId275" Type="http://schemas.openxmlformats.org/officeDocument/2006/relationships/hyperlink" Target="vSaleOrder.aspx%3fID=314914" TargetMode="External"/><Relationship Id="rId300" Type="http://schemas.openxmlformats.org/officeDocument/2006/relationships/hyperlink" Target="vSaleOrder.aspx%3fID=315645" TargetMode="External"/><Relationship Id="rId482" Type="http://schemas.openxmlformats.org/officeDocument/2006/relationships/hyperlink" Target="vSaleOrder.aspx%3fID=316861" TargetMode="External"/><Relationship Id="rId538" Type="http://schemas.openxmlformats.org/officeDocument/2006/relationships/hyperlink" Target="vSaleOrder.aspx%3fID=268449" TargetMode="External"/><Relationship Id="rId703" Type="http://schemas.openxmlformats.org/officeDocument/2006/relationships/hyperlink" Target="vSaleOrder.aspx%3fID=319922" TargetMode="External"/><Relationship Id="rId745" Type="http://schemas.openxmlformats.org/officeDocument/2006/relationships/hyperlink" Target="vSaleOrder.aspx%3fID=266335" TargetMode="External"/><Relationship Id="rId81" Type="http://schemas.openxmlformats.org/officeDocument/2006/relationships/hyperlink" Target="vSaleOrder.aspx%3fID=306185" TargetMode="External"/><Relationship Id="rId135" Type="http://schemas.openxmlformats.org/officeDocument/2006/relationships/hyperlink" Target="vSaleOrder.aspx%3fID=316914" TargetMode="External"/><Relationship Id="rId177" Type="http://schemas.openxmlformats.org/officeDocument/2006/relationships/hyperlink" Target="vSaleOrder.aspx%3fID=295409" TargetMode="External"/><Relationship Id="rId342" Type="http://schemas.openxmlformats.org/officeDocument/2006/relationships/hyperlink" Target="vSaleOrder.aspx%3fID=300337" TargetMode="External"/><Relationship Id="rId384" Type="http://schemas.openxmlformats.org/officeDocument/2006/relationships/hyperlink" Target="vSaleOrder.aspx%3fID=315626" TargetMode="External"/><Relationship Id="rId591" Type="http://schemas.openxmlformats.org/officeDocument/2006/relationships/hyperlink" Target="vSaleOrder.aspx%3fID=239866" TargetMode="External"/><Relationship Id="rId605" Type="http://schemas.openxmlformats.org/officeDocument/2006/relationships/hyperlink" Target="vSaleOrder.aspx%3fID=205842" TargetMode="External"/><Relationship Id="rId202" Type="http://schemas.openxmlformats.org/officeDocument/2006/relationships/hyperlink" Target="vSaleOrder.aspx%3fID=260881" TargetMode="External"/><Relationship Id="rId244" Type="http://schemas.openxmlformats.org/officeDocument/2006/relationships/hyperlink" Target="vSaleOrder.aspx%3fID=313887" TargetMode="External"/><Relationship Id="rId647" Type="http://schemas.openxmlformats.org/officeDocument/2006/relationships/hyperlink" Target="vSaleOrder.aspx%3fID=316158" TargetMode="External"/><Relationship Id="rId689" Type="http://schemas.openxmlformats.org/officeDocument/2006/relationships/hyperlink" Target="vSaleOrder.aspx%3fID=314860" TargetMode="External"/><Relationship Id="rId39" Type="http://schemas.openxmlformats.org/officeDocument/2006/relationships/hyperlink" Target="vSaleOrder.aspx%3fID=295712" TargetMode="External"/><Relationship Id="rId286" Type="http://schemas.openxmlformats.org/officeDocument/2006/relationships/hyperlink" Target="vSaleOrder.aspx%3fID=254270" TargetMode="External"/><Relationship Id="rId451" Type="http://schemas.openxmlformats.org/officeDocument/2006/relationships/hyperlink" Target="vSaleOrder.aspx%3fID=305471" TargetMode="External"/><Relationship Id="rId493" Type="http://schemas.openxmlformats.org/officeDocument/2006/relationships/hyperlink" Target="vSaleOrder.aspx%3fID=303456" TargetMode="External"/><Relationship Id="rId507" Type="http://schemas.openxmlformats.org/officeDocument/2006/relationships/hyperlink" Target="vSaleOrder.aspx%3fID=242397" TargetMode="External"/><Relationship Id="rId549" Type="http://schemas.openxmlformats.org/officeDocument/2006/relationships/hyperlink" Target="vSaleOrder.aspx%3fID=318272" TargetMode="External"/><Relationship Id="rId714" Type="http://schemas.openxmlformats.org/officeDocument/2006/relationships/hyperlink" Target="vSaleOrder.aspx%3fID=247507" TargetMode="External"/><Relationship Id="rId756" Type="http://schemas.openxmlformats.org/officeDocument/2006/relationships/hyperlink" Target="vSaleOrder.aspx%3fID=" TargetMode="External"/><Relationship Id="rId50" Type="http://schemas.openxmlformats.org/officeDocument/2006/relationships/hyperlink" Target="vSaleOrder.aspx%3fID=295777" TargetMode="External"/><Relationship Id="rId104" Type="http://schemas.openxmlformats.org/officeDocument/2006/relationships/hyperlink" Target="vSaleOrder.aspx%3fID=284734" TargetMode="External"/><Relationship Id="rId146" Type="http://schemas.openxmlformats.org/officeDocument/2006/relationships/hyperlink" Target="vSaleOrder.aspx%3fID=318028" TargetMode="External"/><Relationship Id="rId188" Type="http://schemas.openxmlformats.org/officeDocument/2006/relationships/hyperlink" Target="vSaleOrder.aspx%3fID=264389" TargetMode="External"/><Relationship Id="rId311" Type="http://schemas.openxmlformats.org/officeDocument/2006/relationships/hyperlink" Target="vSaleOrder.aspx%3fID=" TargetMode="External"/><Relationship Id="rId353" Type="http://schemas.openxmlformats.org/officeDocument/2006/relationships/hyperlink" Target="vSaleOrder.aspx%3fID=304067" TargetMode="External"/><Relationship Id="rId395" Type="http://schemas.openxmlformats.org/officeDocument/2006/relationships/hyperlink" Target="vSaleOrder.aspx%3fID=314305" TargetMode="External"/><Relationship Id="rId409" Type="http://schemas.openxmlformats.org/officeDocument/2006/relationships/hyperlink" Target="vSaleOrder.aspx%3fID=" TargetMode="External"/><Relationship Id="rId560" Type="http://schemas.openxmlformats.org/officeDocument/2006/relationships/hyperlink" Target="vSaleOrder.aspx%3fID=295409" TargetMode="External"/><Relationship Id="rId92" Type="http://schemas.openxmlformats.org/officeDocument/2006/relationships/hyperlink" Target="vSaleOrder.aspx%3fID=261362" TargetMode="External"/><Relationship Id="rId213" Type="http://schemas.openxmlformats.org/officeDocument/2006/relationships/hyperlink" Target="vSaleOrder.aspx%3fID=205851" TargetMode="External"/><Relationship Id="rId420" Type="http://schemas.openxmlformats.org/officeDocument/2006/relationships/hyperlink" Target="vSaleOrder.aspx%3fID=313893" TargetMode="External"/><Relationship Id="rId616" Type="http://schemas.openxmlformats.org/officeDocument/2006/relationships/hyperlink" Target="vSaleOrder.aspx%3fID=263383" TargetMode="External"/><Relationship Id="rId658" Type="http://schemas.openxmlformats.org/officeDocument/2006/relationships/hyperlink" Target="vSaleOrder.aspx%3fID=314914" TargetMode="External"/><Relationship Id="rId255" Type="http://schemas.openxmlformats.org/officeDocument/2006/relationships/hyperlink" Target="vSaleOrder.aspx%3fID=302236" TargetMode="External"/><Relationship Id="rId297" Type="http://schemas.openxmlformats.org/officeDocument/2006/relationships/hyperlink" Target="vSaleOrder.aspx%3fID=307812" TargetMode="External"/><Relationship Id="rId462" Type="http://schemas.openxmlformats.org/officeDocument/2006/relationships/hyperlink" Target="vSaleOrder.aspx%3fID=303435" TargetMode="External"/><Relationship Id="rId518" Type="http://schemas.openxmlformats.org/officeDocument/2006/relationships/hyperlink" Target="vSaleOrder.aspx%3fID=316914" TargetMode="External"/><Relationship Id="rId725" Type="http://schemas.openxmlformats.org/officeDocument/2006/relationships/hyperlink" Target="vSaleOrder.aspx%3fID=300337" TargetMode="External"/><Relationship Id="rId115" Type="http://schemas.openxmlformats.org/officeDocument/2006/relationships/hyperlink" Target="vSaleOrder.aspx%3fID=306498" TargetMode="External"/><Relationship Id="rId157" Type="http://schemas.openxmlformats.org/officeDocument/2006/relationships/hyperlink" Target="vSaleOrder.aspx%3fID=300892" TargetMode="External"/><Relationship Id="rId322" Type="http://schemas.openxmlformats.org/officeDocument/2006/relationships/hyperlink" Target="vSaleOrder.aspx%3fID=314277" TargetMode="External"/><Relationship Id="rId364" Type="http://schemas.openxmlformats.org/officeDocument/2006/relationships/hyperlink" Target="vSaleOrder.aspx%3fID=" TargetMode="External"/><Relationship Id="rId61" Type="http://schemas.openxmlformats.org/officeDocument/2006/relationships/hyperlink" Target="vSaleOrder.aspx%3fID=280293" TargetMode="External"/><Relationship Id="rId199" Type="http://schemas.openxmlformats.org/officeDocument/2006/relationships/hyperlink" Target="vSaleOrder.aspx%3fID=260861" TargetMode="External"/><Relationship Id="rId571" Type="http://schemas.openxmlformats.org/officeDocument/2006/relationships/hyperlink" Target="vSaleOrder.aspx%3fID=264389" TargetMode="External"/><Relationship Id="rId627" Type="http://schemas.openxmlformats.org/officeDocument/2006/relationships/hyperlink" Target="vSaleOrder.aspx%3fID=313887" TargetMode="External"/><Relationship Id="rId669" Type="http://schemas.openxmlformats.org/officeDocument/2006/relationships/hyperlink" Target="vSaleOrder.aspx%3fID=254270" TargetMode="External"/><Relationship Id="rId19" Type="http://schemas.openxmlformats.org/officeDocument/2006/relationships/hyperlink" Target="vSaleOrder.aspx%3fID=315642" TargetMode="External"/><Relationship Id="rId224" Type="http://schemas.openxmlformats.org/officeDocument/2006/relationships/hyperlink" Target="vSaleOrder.aspx%3fID=205841" TargetMode="External"/><Relationship Id="rId266" Type="http://schemas.openxmlformats.org/officeDocument/2006/relationships/hyperlink" Target="vSaleOrder.aspx%3fID=" TargetMode="External"/><Relationship Id="rId431" Type="http://schemas.openxmlformats.org/officeDocument/2006/relationships/hyperlink" Target="vSaleOrder.aspx%3fID=295777" TargetMode="External"/><Relationship Id="rId473" Type="http://schemas.openxmlformats.org/officeDocument/2006/relationships/hyperlink" Target="vSaleOrder.aspx%3fID=261362" TargetMode="External"/><Relationship Id="rId529" Type="http://schemas.openxmlformats.org/officeDocument/2006/relationships/hyperlink" Target="vSaleOrder.aspx%3fID=318028" TargetMode="External"/><Relationship Id="rId680" Type="http://schemas.openxmlformats.org/officeDocument/2006/relationships/hyperlink" Target="vSaleOrder.aspx%3fID=307812" TargetMode="External"/><Relationship Id="rId736" Type="http://schemas.openxmlformats.org/officeDocument/2006/relationships/hyperlink" Target="vSaleOrder.aspx%3fID=304067" TargetMode="External"/><Relationship Id="rId30" Type="http://schemas.openxmlformats.org/officeDocument/2006/relationships/hyperlink" Target="vSaleOrder.aspx%3fID=316916" TargetMode="External"/><Relationship Id="rId126" Type="http://schemas.openxmlformats.org/officeDocument/2006/relationships/hyperlink" Target="vSaleOrder.aspx%3fID=230770" TargetMode="External"/><Relationship Id="rId168" Type="http://schemas.openxmlformats.org/officeDocument/2006/relationships/hyperlink" Target="vSaleOrder.aspx%3fID=318125" TargetMode="External"/><Relationship Id="rId333" Type="http://schemas.openxmlformats.org/officeDocument/2006/relationships/hyperlink" Target="vSaleOrder.aspx%3fID=295134" TargetMode="External"/><Relationship Id="rId540" Type="http://schemas.openxmlformats.org/officeDocument/2006/relationships/hyperlink" Target="vSaleOrder.aspx%3fID=300892" TargetMode="External"/><Relationship Id="rId72" Type="http://schemas.openxmlformats.org/officeDocument/2006/relationships/hyperlink" Target="vSaleOrder.aspx%3fID=271064" TargetMode="External"/><Relationship Id="rId375" Type="http://schemas.openxmlformats.org/officeDocument/2006/relationships/hyperlink" Target="vSaleOrder.aspx%3fID=" TargetMode="External"/><Relationship Id="rId582" Type="http://schemas.openxmlformats.org/officeDocument/2006/relationships/hyperlink" Target="vSaleOrder.aspx%3fID=260861" TargetMode="External"/><Relationship Id="rId638" Type="http://schemas.openxmlformats.org/officeDocument/2006/relationships/hyperlink" Target="vSaleOrder.aspx%3fID=302236" TargetMode="External"/><Relationship Id="rId3" Type="http://schemas.openxmlformats.org/officeDocument/2006/relationships/hyperlink" Target="vSaleOrder.aspx%3fID=" TargetMode="External"/><Relationship Id="rId235" Type="http://schemas.openxmlformats.org/officeDocument/2006/relationships/hyperlink" Target="vSaleOrder.aspx%3fID=223681" TargetMode="External"/><Relationship Id="rId277" Type="http://schemas.openxmlformats.org/officeDocument/2006/relationships/hyperlink" Target="vSaleOrder.aspx%3fID=314048" TargetMode="External"/><Relationship Id="rId400" Type="http://schemas.openxmlformats.org/officeDocument/2006/relationships/hyperlink" Target="vSaleOrder.aspx%3fID=307004" TargetMode="External"/><Relationship Id="rId442" Type="http://schemas.openxmlformats.org/officeDocument/2006/relationships/hyperlink" Target="vSaleOrder.aspx%3fID=243141" TargetMode="External"/><Relationship Id="rId484" Type="http://schemas.openxmlformats.org/officeDocument/2006/relationships/hyperlink" Target="vSaleOrder.aspx%3fID=315635" TargetMode="External"/><Relationship Id="rId705" Type="http://schemas.openxmlformats.org/officeDocument/2006/relationships/hyperlink" Target="vSaleOrder.aspx%3fID=314277" TargetMode="External"/><Relationship Id="rId137" Type="http://schemas.openxmlformats.org/officeDocument/2006/relationships/hyperlink" Target="vSaleOrder.aspx%3fID=314851" TargetMode="External"/><Relationship Id="rId302" Type="http://schemas.openxmlformats.org/officeDocument/2006/relationships/hyperlink" Target="vSaleOrder.aspx%3fID=314239" TargetMode="External"/><Relationship Id="rId344" Type="http://schemas.openxmlformats.org/officeDocument/2006/relationships/hyperlink" Target="vSaleOrder.aspx%3fID=293393" TargetMode="External"/><Relationship Id="rId691" Type="http://schemas.openxmlformats.org/officeDocument/2006/relationships/hyperlink" Target="vSaleOrder.aspx%3fID=291113" TargetMode="External"/><Relationship Id="rId747" Type="http://schemas.openxmlformats.org/officeDocument/2006/relationships/hyperlink" Target="vSaleOrder.aspx%3fID=" TargetMode="External"/><Relationship Id="rId41" Type="http://schemas.openxmlformats.org/officeDocument/2006/relationships/hyperlink" Target="vSaleOrder.aspx%3fID=314261" TargetMode="External"/><Relationship Id="rId83" Type="http://schemas.openxmlformats.org/officeDocument/2006/relationships/hyperlink" Target="vSaleOrder.aspx%3fID=314010" TargetMode="External"/><Relationship Id="rId179" Type="http://schemas.openxmlformats.org/officeDocument/2006/relationships/hyperlink" Target="vSaleOrder.aspx%3fID=269107" TargetMode="External"/><Relationship Id="rId386" Type="http://schemas.openxmlformats.org/officeDocument/2006/relationships/hyperlink" Target="vSaleOrder.aspx%3fID=" TargetMode="External"/><Relationship Id="rId551" Type="http://schemas.openxmlformats.org/officeDocument/2006/relationships/hyperlink" Target="vSaleOrder.aspx%3fID=318125" TargetMode="External"/><Relationship Id="rId593" Type="http://schemas.openxmlformats.org/officeDocument/2006/relationships/hyperlink" Target="vSaleOrder.aspx%3fID=239880" TargetMode="External"/><Relationship Id="rId607" Type="http://schemas.openxmlformats.org/officeDocument/2006/relationships/hyperlink" Target="vSaleOrder.aspx%3fID=205841" TargetMode="External"/><Relationship Id="rId649" Type="http://schemas.openxmlformats.org/officeDocument/2006/relationships/hyperlink" Target="vSaleOrder.aspx%3fID=" TargetMode="External"/><Relationship Id="rId190" Type="http://schemas.openxmlformats.org/officeDocument/2006/relationships/hyperlink" Target="vSaleOrder.aspx%3fID=275386" TargetMode="External"/><Relationship Id="rId204" Type="http://schemas.openxmlformats.org/officeDocument/2006/relationships/hyperlink" Target="vSaleOrder.aspx%3fID=282909" TargetMode="External"/><Relationship Id="rId246" Type="http://schemas.openxmlformats.org/officeDocument/2006/relationships/hyperlink" Target="vSaleOrder.aspx%3fID=" TargetMode="External"/><Relationship Id="rId288" Type="http://schemas.openxmlformats.org/officeDocument/2006/relationships/hyperlink" Target="vSaleOrder.aspx%3fID=314287" TargetMode="External"/><Relationship Id="rId411" Type="http://schemas.openxmlformats.org/officeDocument/2006/relationships/hyperlink" Target="vSaleOrder.aspx%3fID=314557" TargetMode="External"/><Relationship Id="rId453" Type="http://schemas.openxmlformats.org/officeDocument/2006/relationships/hyperlink" Target="vSaleOrder.aspx%3fID=314298" TargetMode="External"/><Relationship Id="rId509" Type="http://schemas.openxmlformats.org/officeDocument/2006/relationships/hyperlink" Target="vSaleOrder.aspx%3fID=230770" TargetMode="External"/><Relationship Id="rId660" Type="http://schemas.openxmlformats.org/officeDocument/2006/relationships/hyperlink" Target="vSaleOrder.aspx%3fID=314048" TargetMode="External"/><Relationship Id="rId106" Type="http://schemas.openxmlformats.org/officeDocument/2006/relationships/hyperlink" Target="vSaleOrder.aspx%3fID=" TargetMode="External"/><Relationship Id="rId313" Type="http://schemas.openxmlformats.org/officeDocument/2006/relationships/hyperlink" Target="vSaleOrder.aspx%3fID=314251" TargetMode="External"/><Relationship Id="rId495" Type="http://schemas.openxmlformats.org/officeDocument/2006/relationships/hyperlink" Target="vSaleOrder.aspx%3fID=303529" TargetMode="External"/><Relationship Id="rId716" Type="http://schemas.openxmlformats.org/officeDocument/2006/relationships/hyperlink" Target="vSaleOrder.aspx%3fID=295134" TargetMode="External"/><Relationship Id="rId758" Type="http://schemas.openxmlformats.org/officeDocument/2006/relationships/hyperlink" Target="vSaleOrder.aspx%3fID=" TargetMode="External"/><Relationship Id="rId10" Type="http://schemas.openxmlformats.org/officeDocument/2006/relationships/hyperlink" Target="vSaleOrder.aspx%3fID=318258" TargetMode="External"/><Relationship Id="rId52" Type="http://schemas.openxmlformats.org/officeDocument/2006/relationships/hyperlink" Target="vSaleOrder.aspx%3fID=314269" TargetMode="External"/><Relationship Id="rId94" Type="http://schemas.openxmlformats.org/officeDocument/2006/relationships/hyperlink" Target="vSaleOrder.aspx%3fID=314852" TargetMode="External"/><Relationship Id="rId148" Type="http://schemas.openxmlformats.org/officeDocument/2006/relationships/hyperlink" Target="vSaleOrder.aspx%3fID=313987" TargetMode="External"/><Relationship Id="rId355" Type="http://schemas.openxmlformats.org/officeDocument/2006/relationships/hyperlink" Target="vSaleOrder.aspx%3fID=304067" TargetMode="External"/><Relationship Id="rId397" Type="http://schemas.openxmlformats.org/officeDocument/2006/relationships/hyperlink" Target="vSaleOrder.aspx%3fID=296419" TargetMode="External"/><Relationship Id="rId520" Type="http://schemas.openxmlformats.org/officeDocument/2006/relationships/hyperlink" Target="vSaleOrder.aspx%3fID=314851" TargetMode="External"/><Relationship Id="rId562" Type="http://schemas.openxmlformats.org/officeDocument/2006/relationships/hyperlink" Target="vSaleOrder.aspx%3fID=269107" TargetMode="External"/><Relationship Id="rId618" Type="http://schemas.openxmlformats.org/officeDocument/2006/relationships/hyperlink" Target="vSaleOrder.aspx%3fID=223681" TargetMode="External"/><Relationship Id="rId215" Type="http://schemas.openxmlformats.org/officeDocument/2006/relationships/hyperlink" Target="vSaleOrder.aspx%3fID=205848" TargetMode="External"/><Relationship Id="rId257" Type="http://schemas.openxmlformats.org/officeDocument/2006/relationships/hyperlink" Target="vSaleOrder.aspx%3fID=288930" TargetMode="External"/><Relationship Id="rId422" Type="http://schemas.openxmlformats.org/officeDocument/2006/relationships/hyperlink" Target="vSaleOrder.aspx%3fID=295712" TargetMode="External"/><Relationship Id="rId464" Type="http://schemas.openxmlformats.org/officeDocument/2006/relationships/hyperlink" Target="vSaleOrder.aspx%3fID=306185" TargetMode="External"/><Relationship Id="rId299" Type="http://schemas.openxmlformats.org/officeDocument/2006/relationships/hyperlink" Target="vSaleOrder.aspx%3fID=316863" TargetMode="External"/><Relationship Id="rId727" Type="http://schemas.openxmlformats.org/officeDocument/2006/relationships/hyperlink" Target="vSaleOrder.aspx%3fID=293393" TargetMode="External"/><Relationship Id="rId63" Type="http://schemas.openxmlformats.org/officeDocument/2006/relationships/hyperlink" Target="vSaleOrder.aspx%3fID=290226" TargetMode="External"/><Relationship Id="rId159" Type="http://schemas.openxmlformats.org/officeDocument/2006/relationships/hyperlink" Target="vSaleOrder.aspx%3fID=314303" TargetMode="External"/><Relationship Id="rId366" Type="http://schemas.openxmlformats.org/officeDocument/2006/relationships/hyperlink" Target="vSaleOrder.aspx%3fID=314280" TargetMode="External"/><Relationship Id="rId573" Type="http://schemas.openxmlformats.org/officeDocument/2006/relationships/hyperlink" Target="vSaleOrder.aspx%3fID=275386" TargetMode="External"/><Relationship Id="rId226" Type="http://schemas.openxmlformats.org/officeDocument/2006/relationships/hyperlink" Target="vSaleOrder.aspx%3fID=205845" TargetMode="External"/><Relationship Id="rId433" Type="http://schemas.openxmlformats.org/officeDocument/2006/relationships/hyperlink" Target="vSaleOrder.aspx%3fID=295777" TargetMode="External"/><Relationship Id="rId640" Type="http://schemas.openxmlformats.org/officeDocument/2006/relationships/hyperlink" Target="vSaleOrder.aspx%3fID=288930" TargetMode="External"/><Relationship Id="rId738" Type="http://schemas.openxmlformats.org/officeDocument/2006/relationships/hyperlink" Target="vSaleOrder.aspx%3fID=304067" TargetMode="External"/><Relationship Id="rId74" Type="http://schemas.openxmlformats.org/officeDocument/2006/relationships/hyperlink" Target="vSaleOrder.aspx%3fID=264620" TargetMode="External"/><Relationship Id="rId377" Type="http://schemas.openxmlformats.org/officeDocument/2006/relationships/hyperlink" Target="vSaleOrder.aspx%3fID=279835" TargetMode="External"/><Relationship Id="rId500" Type="http://schemas.openxmlformats.org/officeDocument/2006/relationships/hyperlink" Target="vSaleOrder.aspx%3fID=259030" TargetMode="External"/><Relationship Id="rId584" Type="http://schemas.openxmlformats.org/officeDocument/2006/relationships/hyperlink" Target="vSaleOrder.aspx%3fID=260882" TargetMode="External"/><Relationship Id="rId5" Type="http://schemas.openxmlformats.org/officeDocument/2006/relationships/hyperlink" Target="vSaleOrder.aspx%3fID=316924" TargetMode="External"/><Relationship Id="rId237" Type="http://schemas.openxmlformats.org/officeDocument/2006/relationships/hyperlink" Target="vSaleOrder.aspx%3fID=314884" TargetMode="External"/><Relationship Id="rId444" Type="http://schemas.openxmlformats.org/officeDocument/2006/relationships/hyperlink" Target="vSaleOrder.aspx%3fID=280293" TargetMode="External"/><Relationship Id="rId651" Type="http://schemas.openxmlformats.org/officeDocument/2006/relationships/hyperlink" Target="vSaleOrder.aspx%3fID=318123" TargetMode="External"/><Relationship Id="rId749" Type="http://schemas.openxmlformats.org/officeDocument/2006/relationships/hyperlink" Target="vSaleOrder.aspx%3fID=314280" TargetMode="External"/><Relationship Id="rId290" Type="http://schemas.openxmlformats.org/officeDocument/2006/relationships/hyperlink" Target="vSaleOrder.aspx%3fID=" TargetMode="External"/><Relationship Id="rId304" Type="http://schemas.openxmlformats.org/officeDocument/2006/relationships/hyperlink" Target="vSaleOrder.aspx%3fID=313888" TargetMode="External"/><Relationship Id="rId388" Type="http://schemas.openxmlformats.org/officeDocument/2006/relationships/hyperlink" Target="vSaleOrder.aspx%3fID=316924" TargetMode="External"/><Relationship Id="rId511" Type="http://schemas.openxmlformats.org/officeDocument/2006/relationships/hyperlink" Target="vSaleOrder.aspx%3fID=251152" TargetMode="External"/><Relationship Id="rId609" Type="http://schemas.openxmlformats.org/officeDocument/2006/relationships/hyperlink" Target="vSaleOrder.aspx%3fID=205845" TargetMode="External"/><Relationship Id="rId85" Type="http://schemas.openxmlformats.org/officeDocument/2006/relationships/hyperlink" Target="vSaleOrder.aspx%3fID=274972" TargetMode="External"/><Relationship Id="rId150" Type="http://schemas.openxmlformats.org/officeDocument/2006/relationships/hyperlink" Target="vSaleOrder.aspx%3fID=292985" TargetMode="External"/><Relationship Id="rId595" Type="http://schemas.openxmlformats.org/officeDocument/2006/relationships/hyperlink" Target="vSaleOrder.aspx%3fID=" TargetMode="External"/><Relationship Id="rId248" Type="http://schemas.openxmlformats.org/officeDocument/2006/relationships/hyperlink" Target="vSaleOrder.aspx%3fID=318283" TargetMode="External"/><Relationship Id="rId455" Type="http://schemas.openxmlformats.org/officeDocument/2006/relationships/hyperlink" Target="vSaleOrder.aspx%3fID=271064" TargetMode="External"/><Relationship Id="rId662" Type="http://schemas.openxmlformats.org/officeDocument/2006/relationships/hyperlink" Target="vSaleOrder.aspx%3fID=294093" TargetMode="External"/><Relationship Id="rId12" Type="http://schemas.openxmlformats.org/officeDocument/2006/relationships/hyperlink" Target="vSaleOrder.aspx%3fID=314305" TargetMode="External"/><Relationship Id="rId108" Type="http://schemas.openxmlformats.org/officeDocument/2006/relationships/hyperlink" Target="vSaleOrder.aspx%3fID=196480" TargetMode="External"/><Relationship Id="rId315" Type="http://schemas.openxmlformats.org/officeDocument/2006/relationships/hyperlink" Target="vSaleOrder.aspx%3fID=313894" TargetMode="External"/><Relationship Id="rId522" Type="http://schemas.openxmlformats.org/officeDocument/2006/relationships/hyperlink" Target="vSaleOrder.aspx%3fID=315639" TargetMode="External"/><Relationship Id="rId96" Type="http://schemas.openxmlformats.org/officeDocument/2006/relationships/hyperlink" Target="vSaleOrder.aspx%3fID=315627" TargetMode="External"/><Relationship Id="rId161" Type="http://schemas.openxmlformats.org/officeDocument/2006/relationships/hyperlink" Target="vSaleOrder.aspx%3fID=314257" TargetMode="External"/><Relationship Id="rId399" Type="http://schemas.openxmlformats.org/officeDocument/2006/relationships/hyperlink" Target="vSaleOrder.aspx%3fID=314050" TargetMode="External"/><Relationship Id="rId259" Type="http://schemas.openxmlformats.org/officeDocument/2006/relationships/hyperlink" Target="vSaleOrder.aspx%3fID=288930" TargetMode="External"/><Relationship Id="rId466" Type="http://schemas.openxmlformats.org/officeDocument/2006/relationships/hyperlink" Target="vSaleOrder.aspx%3fID=314010" TargetMode="External"/><Relationship Id="rId673" Type="http://schemas.openxmlformats.org/officeDocument/2006/relationships/hyperlink" Target="vSaleOrder.aspx%3fID=" TargetMode="External"/><Relationship Id="rId23" Type="http://schemas.openxmlformats.org/officeDocument/2006/relationships/hyperlink" Target="vSaleOrder.aspx%3fID=314240" TargetMode="External"/><Relationship Id="rId119" Type="http://schemas.openxmlformats.org/officeDocument/2006/relationships/hyperlink" Target="vSaleOrder.aspx%3fID=259030" TargetMode="External"/><Relationship Id="rId326" Type="http://schemas.openxmlformats.org/officeDocument/2006/relationships/hyperlink" Target="vSaleOrder.aspx%3fID=318241" TargetMode="External"/><Relationship Id="rId533" Type="http://schemas.openxmlformats.org/officeDocument/2006/relationships/hyperlink" Target="vSaleOrder.aspx%3fID=292985" TargetMode="External"/><Relationship Id="rId740" Type="http://schemas.openxmlformats.org/officeDocument/2006/relationships/hyperlink" Target="vSaleOrder.aspx%3fID=313876" TargetMode="External"/><Relationship Id="rId172" Type="http://schemas.openxmlformats.org/officeDocument/2006/relationships/hyperlink" Target="vSaleOrder.aspx%3fID=298216" TargetMode="External"/><Relationship Id="rId477" Type="http://schemas.openxmlformats.org/officeDocument/2006/relationships/hyperlink" Target="vSaleOrder.aspx%3fID=314852" TargetMode="External"/><Relationship Id="rId600" Type="http://schemas.openxmlformats.org/officeDocument/2006/relationships/hyperlink" Target="vSaleOrder.aspx%3fID=205846" TargetMode="External"/><Relationship Id="rId684" Type="http://schemas.openxmlformats.org/officeDocument/2006/relationships/hyperlink" Target="vSaleOrder.aspx%3fID=316926" TargetMode="External"/><Relationship Id="rId337" Type="http://schemas.openxmlformats.org/officeDocument/2006/relationships/hyperlink" Target="vSaleOrder.aspx%3fID=289980" TargetMode="External"/><Relationship Id="rId34" Type="http://schemas.openxmlformats.org/officeDocument/2006/relationships/hyperlink" Target="vSaleOrder.aspx%3fID=" TargetMode="External"/><Relationship Id="rId544" Type="http://schemas.openxmlformats.org/officeDocument/2006/relationships/hyperlink" Target="vSaleOrder.aspx%3fID=314257" TargetMode="External"/><Relationship Id="rId751" Type="http://schemas.openxmlformats.org/officeDocument/2006/relationships/hyperlink" Target="vSaleOrder.aspx%3fID=258271" TargetMode="External"/><Relationship Id="rId183" Type="http://schemas.openxmlformats.org/officeDocument/2006/relationships/hyperlink" Target="vSaleOrder.aspx%3fID=254421" TargetMode="External"/><Relationship Id="rId390" Type="http://schemas.openxmlformats.org/officeDocument/2006/relationships/hyperlink" Target="vSaleOrder.aspx%3fID=285102" TargetMode="External"/><Relationship Id="rId404" Type="http://schemas.openxmlformats.org/officeDocument/2006/relationships/hyperlink" Target="vSaleOrder.aspx%3fID=314306" TargetMode="External"/><Relationship Id="rId611" Type="http://schemas.openxmlformats.org/officeDocument/2006/relationships/hyperlink" Target="vSaleOrder.aspx%3fID=205845" TargetMode="External"/><Relationship Id="rId250" Type="http://schemas.openxmlformats.org/officeDocument/2006/relationships/hyperlink" Target="vSaleOrder.aspx%3fID=317663" TargetMode="External"/><Relationship Id="rId488" Type="http://schemas.openxmlformats.org/officeDocument/2006/relationships/hyperlink" Target="vSaleOrder.aspx%3fID=" TargetMode="External"/><Relationship Id="rId695" Type="http://schemas.openxmlformats.org/officeDocument/2006/relationships/hyperlink" Target="vSaleOrder.aspx%3fID=313895" TargetMode="External"/><Relationship Id="rId709" Type="http://schemas.openxmlformats.org/officeDocument/2006/relationships/hyperlink" Target="vSaleOrder.aspx%3fID=318241" TargetMode="External"/><Relationship Id="rId45" Type="http://schemas.openxmlformats.org/officeDocument/2006/relationships/hyperlink" Target="vSaleOrder.aspx%3fID=277336" TargetMode="External"/><Relationship Id="rId110" Type="http://schemas.openxmlformats.org/officeDocument/2006/relationships/hyperlink" Target="vSaleOrder.aspx%3fID=303456" TargetMode="External"/><Relationship Id="rId348" Type="http://schemas.openxmlformats.org/officeDocument/2006/relationships/hyperlink" Target="vSaleOrder.aspx%3fID=314295" TargetMode="External"/><Relationship Id="rId555" Type="http://schemas.openxmlformats.org/officeDocument/2006/relationships/hyperlink" Target="vSaleOrder.aspx%3fID=298216" TargetMode="External"/><Relationship Id="rId762" Type="http://schemas.openxmlformats.org/officeDocument/2006/relationships/hyperlink" Target="vSaleOrder.aspx%3fID=" TargetMode="External"/><Relationship Id="rId194" Type="http://schemas.openxmlformats.org/officeDocument/2006/relationships/hyperlink" Target="vSaleOrder.aspx%3fID=246931" TargetMode="External"/><Relationship Id="rId208" Type="http://schemas.openxmlformats.org/officeDocument/2006/relationships/hyperlink" Target="vSaleOrder.aspx%3fID=239866" TargetMode="External"/><Relationship Id="rId415" Type="http://schemas.openxmlformats.org/officeDocument/2006/relationships/hyperlink" Target="vSaleOrder.aspx%3fID=" TargetMode="External"/><Relationship Id="rId622" Type="http://schemas.openxmlformats.org/officeDocument/2006/relationships/hyperlink" Target="vSaleOrder.aspx%3fID=" TargetMode="External"/><Relationship Id="rId261" Type="http://schemas.openxmlformats.org/officeDocument/2006/relationships/hyperlink" Target="vSaleOrder.aspx%3fID=288930" TargetMode="External"/><Relationship Id="rId499" Type="http://schemas.openxmlformats.org/officeDocument/2006/relationships/hyperlink" Target="vSaleOrder.aspx%3fID=" TargetMode="External"/><Relationship Id="rId56" Type="http://schemas.openxmlformats.org/officeDocument/2006/relationships/hyperlink" Target="vSaleOrder.aspx%3fID=288348" TargetMode="External"/><Relationship Id="rId359" Type="http://schemas.openxmlformats.org/officeDocument/2006/relationships/hyperlink" Target="vSaleOrder.aspx%3fID=296681" TargetMode="External"/><Relationship Id="rId566" Type="http://schemas.openxmlformats.org/officeDocument/2006/relationships/hyperlink" Target="vSaleOrder.aspx%3fID=254421" TargetMode="External"/><Relationship Id="rId121" Type="http://schemas.openxmlformats.org/officeDocument/2006/relationships/hyperlink" Target="vSaleOrder.aspx%3fID=308189" TargetMode="External"/><Relationship Id="rId219" Type="http://schemas.openxmlformats.org/officeDocument/2006/relationships/hyperlink" Target="vSaleOrder.aspx%3fID=205847" TargetMode="External"/><Relationship Id="rId426" Type="http://schemas.openxmlformats.org/officeDocument/2006/relationships/hyperlink" Target="vSaleOrder.aspx%3fID=277937" TargetMode="External"/><Relationship Id="rId633" Type="http://schemas.openxmlformats.org/officeDocument/2006/relationships/hyperlink" Target="vSaleOrder.aspx%3fID=317663" TargetMode="External"/><Relationship Id="rId67" Type="http://schemas.openxmlformats.org/officeDocument/2006/relationships/hyperlink" Target="vSaleOrder.aspx%3fID=279701" TargetMode="External"/><Relationship Id="rId272" Type="http://schemas.openxmlformats.org/officeDocument/2006/relationships/hyperlink" Target="vSaleOrder.aspx%3fID=" TargetMode="External"/><Relationship Id="rId577" Type="http://schemas.openxmlformats.org/officeDocument/2006/relationships/hyperlink" Target="vSaleOrder.aspx%3fID=246931" TargetMode="External"/><Relationship Id="rId700" Type="http://schemas.openxmlformats.org/officeDocument/2006/relationships/hyperlink" Target="vSaleOrder.aspx%3fID=255653" TargetMode="External"/><Relationship Id="rId132" Type="http://schemas.openxmlformats.org/officeDocument/2006/relationships/hyperlink" Target="vSaleOrder.aspx%3fID=299345" TargetMode="External"/><Relationship Id="rId437" Type="http://schemas.openxmlformats.org/officeDocument/2006/relationships/hyperlink" Target="vSaleOrder.aspx%3fID=314290" TargetMode="External"/><Relationship Id="rId644" Type="http://schemas.openxmlformats.org/officeDocument/2006/relationships/hyperlink" Target="vSaleOrder.aspx%3fID=288930" TargetMode="External"/><Relationship Id="rId283" Type="http://schemas.openxmlformats.org/officeDocument/2006/relationships/hyperlink" Target="vSaleOrder.aspx%3fID=273766" TargetMode="External"/><Relationship Id="rId490" Type="http://schemas.openxmlformats.org/officeDocument/2006/relationships/hyperlink" Target="vSaleOrder.aspx%3fID=314895" TargetMode="External"/><Relationship Id="rId504" Type="http://schemas.openxmlformats.org/officeDocument/2006/relationships/hyperlink" Target="vSaleOrder.aspx%3fID=308189" TargetMode="External"/><Relationship Id="rId711" Type="http://schemas.openxmlformats.org/officeDocument/2006/relationships/hyperlink" Target="vSaleOrder.aspx%3fID=287201" TargetMode="External"/><Relationship Id="rId78" Type="http://schemas.openxmlformats.org/officeDocument/2006/relationships/hyperlink" Target="vSaleOrder.aspx%3fID=314276" TargetMode="External"/><Relationship Id="rId143" Type="http://schemas.openxmlformats.org/officeDocument/2006/relationships/hyperlink" Target="vSaleOrder.aspx%3fID=249454" TargetMode="External"/><Relationship Id="rId350" Type="http://schemas.openxmlformats.org/officeDocument/2006/relationships/hyperlink" Target="vSaleOrder.aspx%3fID=313890" TargetMode="External"/><Relationship Id="rId588" Type="http://schemas.openxmlformats.org/officeDocument/2006/relationships/hyperlink" Target="vSaleOrder.aspx%3fID=" TargetMode="External"/><Relationship Id="rId9" Type="http://schemas.openxmlformats.org/officeDocument/2006/relationships/hyperlink" Target="vSaleOrder.aspx%3fID=282797" TargetMode="External"/><Relationship Id="rId210" Type="http://schemas.openxmlformats.org/officeDocument/2006/relationships/hyperlink" Target="vSaleOrder.aspx%3fID=239880" TargetMode="External"/><Relationship Id="rId448" Type="http://schemas.openxmlformats.org/officeDocument/2006/relationships/hyperlink" Target="vSaleOrder.aspx%3fID=304459" TargetMode="External"/><Relationship Id="rId655" Type="http://schemas.openxmlformats.org/officeDocument/2006/relationships/hyperlink" Target="vSaleOrder.aspx%3fID=" TargetMode="External"/><Relationship Id="rId294" Type="http://schemas.openxmlformats.org/officeDocument/2006/relationships/hyperlink" Target="vSaleOrder.aspx%3fID=314304" TargetMode="External"/><Relationship Id="rId308" Type="http://schemas.openxmlformats.org/officeDocument/2006/relationships/hyperlink" Target="vSaleOrder.aspx%3fID=291113" TargetMode="External"/><Relationship Id="rId515" Type="http://schemas.openxmlformats.org/officeDocument/2006/relationships/hyperlink" Target="vSaleOrder.aspx%3fID=299345" TargetMode="External"/><Relationship Id="rId722" Type="http://schemas.openxmlformats.org/officeDocument/2006/relationships/hyperlink" Target="vSaleOrder.aspx%3fID=250843" TargetMode="External"/><Relationship Id="rId89" Type="http://schemas.openxmlformats.org/officeDocument/2006/relationships/hyperlink" Target="vSaleOrder.aspx%3fID=296643" TargetMode="External"/><Relationship Id="rId154" Type="http://schemas.openxmlformats.org/officeDocument/2006/relationships/hyperlink" Target="vSaleOrder.aspx%3fID=261271" TargetMode="External"/><Relationship Id="rId361" Type="http://schemas.openxmlformats.org/officeDocument/2006/relationships/hyperlink" Target="vSaleOrder.aspx%3fID=" TargetMode="External"/><Relationship Id="rId599" Type="http://schemas.openxmlformats.org/officeDocument/2006/relationships/hyperlink" Target="vSaleOrder.aspx%3fID=205843" TargetMode="External"/><Relationship Id="rId459" Type="http://schemas.openxmlformats.org/officeDocument/2006/relationships/hyperlink" Target="vSaleOrder.aspx%3fID=315630" TargetMode="External"/><Relationship Id="rId666" Type="http://schemas.openxmlformats.org/officeDocument/2006/relationships/hyperlink" Target="vSaleOrder.aspx%3fID=273766" TargetMode="External"/><Relationship Id="rId16" Type="http://schemas.openxmlformats.org/officeDocument/2006/relationships/hyperlink" Target="vSaleOrder.aspx%3fID=314050" TargetMode="External"/><Relationship Id="rId221" Type="http://schemas.openxmlformats.org/officeDocument/2006/relationships/hyperlink" Target="vSaleOrder.aspx%3fID=205847" TargetMode="External"/><Relationship Id="rId319" Type="http://schemas.openxmlformats.org/officeDocument/2006/relationships/hyperlink" Target="vSaleOrder.aspx%3fID=314277" TargetMode="External"/><Relationship Id="rId526" Type="http://schemas.openxmlformats.org/officeDocument/2006/relationships/hyperlink" Target="vSaleOrder.aspx%3fID=249454" TargetMode="External"/><Relationship Id="rId733" Type="http://schemas.openxmlformats.org/officeDocument/2006/relationships/hyperlink" Target="vSaleOrder.aspx%3fID=313890" TargetMode="External"/><Relationship Id="rId165" Type="http://schemas.openxmlformats.org/officeDocument/2006/relationships/hyperlink" Target="vSaleOrder.aspx%3fID=318132" TargetMode="External"/><Relationship Id="rId372" Type="http://schemas.openxmlformats.org/officeDocument/2006/relationships/hyperlink" Target="vSaleOrder.aspx%3fID=305906" TargetMode="External"/><Relationship Id="rId677" Type="http://schemas.openxmlformats.org/officeDocument/2006/relationships/hyperlink" Target="vSaleOrder.aspx%3fID=314304" TargetMode="External"/><Relationship Id="rId232" Type="http://schemas.openxmlformats.org/officeDocument/2006/relationships/hyperlink" Target="vSaleOrder.aspx%3fID=" TargetMode="External"/><Relationship Id="rId27" Type="http://schemas.openxmlformats.org/officeDocument/2006/relationships/hyperlink" Target="vSaleOrder.aspx%3fID=318280" TargetMode="External"/><Relationship Id="rId537" Type="http://schemas.openxmlformats.org/officeDocument/2006/relationships/hyperlink" Target="vSaleOrder.aspx%3fID=261271" TargetMode="External"/><Relationship Id="rId744" Type="http://schemas.openxmlformats.org/officeDocument/2006/relationships/hyperlink" Target="vSaleOrder.aspx%3fID=" TargetMode="External"/><Relationship Id="rId80" Type="http://schemas.openxmlformats.org/officeDocument/2006/relationships/hyperlink" Target="vSaleOrder.aspx%3fID=272472" TargetMode="External"/><Relationship Id="rId176" Type="http://schemas.openxmlformats.org/officeDocument/2006/relationships/hyperlink" Target="vSaleOrder.aspx%3fID=258619" TargetMode="External"/><Relationship Id="rId383" Type="http://schemas.openxmlformats.org/officeDocument/2006/relationships/hyperlink" Target="vSaleOrder.aspx%3fID=318248" TargetMode="External"/><Relationship Id="rId590" Type="http://schemas.openxmlformats.org/officeDocument/2006/relationships/hyperlink" Target="vSaleOrder.aspx%3fID=219578" TargetMode="External"/><Relationship Id="rId604" Type="http://schemas.openxmlformats.org/officeDocument/2006/relationships/hyperlink" Target="vSaleOrder.aspx%3fID=205847" TargetMode="External"/><Relationship Id="rId243" Type="http://schemas.openxmlformats.org/officeDocument/2006/relationships/hyperlink" Target="vSaleOrder.aspx%3fID=295155" TargetMode="External"/><Relationship Id="rId450" Type="http://schemas.openxmlformats.org/officeDocument/2006/relationships/hyperlink" Target="vSaleOrder.aspx%3fID=279701" TargetMode="External"/><Relationship Id="rId688" Type="http://schemas.openxmlformats.org/officeDocument/2006/relationships/hyperlink" Target="vSaleOrder.aspx%3fID=305972" TargetMode="External"/><Relationship Id="rId38" Type="http://schemas.openxmlformats.org/officeDocument/2006/relationships/hyperlink" Target="vSaleOrder.aspx%3fID=318276" TargetMode="External"/><Relationship Id="rId103" Type="http://schemas.openxmlformats.org/officeDocument/2006/relationships/hyperlink" Target="vSaleOrder.aspx%3fID=292727" TargetMode="External"/><Relationship Id="rId310" Type="http://schemas.openxmlformats.org/officeDocument/2006/relationships/hyperlink" Target="vSaleOrder.aspx%3fID=291113" TargetMode="External"/><Relationship Id="rId548" Type="http://schemas.openxmlformats.org/officeDocument/2006/relationships/hyperlink" Target="vSaleOrder.aspx%3fID=318132" TargetMode="External"/><Relationship Id="rId755" Type="http://schemas.openxmlformats.org/officeDocument/2006/relationships/hyperlink" Target="vSaleOrder.aspx%3fID=305906" TargetMode="External"/><Relationship Id="rId91" Type="http://schemas.openxmlformats.org/officeDocument/2006/relationships/hyperlink" Target="vSaleOrder.aspx%3fID=318124" TargetMode="External"/><Relationship Id="rId187" Type="http://schemas.openxmlformats.org/officeDocument/2006/relationships/hyperlink" Target="vSaleOrder.aspx%3fID=254435" TargetMode="External"/><Relationship Id="rId394" Type="http://schemas.openxmlformats.org/officeDocument/2006/relationships/hyperlink" Target="vSaleOrder.aspx%3fID=292661" TargetMode="External"/><Relationship Id="rId408" Type="http://schemas.openxmlformats.org/officeDocument/2006/relationships/hyperlink" Target="vSaleOrder.aspx%3fID=261545" TargetMode="External"/><Relationship Id="rId615" Type="http://schemas.openxmlformats.org/officeDocument/2006/relationships/hyperlink" Target="vSaleOrder.aspx%3fID=" TargetMode="External"/><Relationship Id="rId254" Type="http://schemas.openxmlformats.org/officeDocument/2006/relationships/hyperlink" Target="vSaleOrder.aspx%3fID=314854" TargetMode="External"/><Relationship Id="rId699" Type="http://schemas.openxmlformats.org/officeDocument/2006/relationships/hyperlink" Target="vSaleOrder.aspx%3fID=240704" TargetMode="External"/><Relationship Id="rId49" Type="http://schemas.openxmlformats.org/officeDocument/2006/relationships/hyperlink" Target="vSaleOrder.aspx%3fID=295777" TargetMode="External"/><Relationship Id="rId114" Type="http://schemas.openxmlformats.org/officeDocument/2006/relationships/hyperlink" Target="vSaleOrder.aspx%3fID=315641" TargetMode="External"/><Relationship Id="rId461" Type="http://schemas.openxmlformats.org/officeDocument/2006/relationships/hyperlink" Target="vSaleOrder.aspx%3fID=314276" TargetMode="External"/><Relationship Id="rId559" Type="http://schemas.openxmlformats.org/officeDocument/2006/relationships/hyperlink" Target="vSaleOrder.aspx%3fID=258619" TargetMode="External"/><Relationship Id="rId766" Type="http://schemas.openxmlformats.org/officeDocument/2006/relationships/hyperlink" Target="vSaleOrder.aspx%3fID=318248" TargetMode="External"/><Relationship Id="rId198" Type="http://schemas.openxmlformats.org/officeDocument/2006/relationships/hyperlink" Target="vSaleOrder.aspx%3fID=297692" TargetMode="External"/><Relationship Id="rId321" Type="http://schemas.openxmlformats.org/officeDocument/2006/relationships/hyperlink" Target="vSaleOrder.aspx%3fID=319943" TargetMode="External"/><Relationship Id="rId419" Type="http://schemas.openxmlformats.org/officeDocument/2006/relationships/hyperlink" Target="vSaleOrder.aspx%3fID=288448" TargetMode="External"/><Relationship Id="rId626" Type="http://schemas.openxmlformats.org/officeDocument/2006/relationships/hyperlink" Target="vSaleOrder.aspx%3fID=295155" TargetMode="External"/><Relationship Id="rId265" Type="http://schemas.openxmlformats.org/officeDocument/2006/relationships/hyperlink" Target="vSaleOrder.aspx%3fID=313889" TargetMode="External"/><Relationship Id="rId472" Type="http://schemas.openxmlformats.org/officeDocument/2006/relationships/hyperlink" Target="vSaleOrder.aspx%3fID=296643" TargetMode="External"/><Relationship Id="rId125" Type="http://schemas.openxmlformats.org/officeDocument/2006/relationships/hyperlink" Target="vSaleOrder.aspx%3fID=242403" TargetMode="External"/><Relationship Id="rId332" Type="http://schemas.openxmlformats.org/officeDocument/2006/relationships/hyperlink" Target="vSaleOrder.aspx%3fID=318269" TargetMode="External"/><Relationship Id="rId637" Type="http://schemas.openxmlformats.org/officeDocument/2006/relationships/hyperlink" Target="vSaleOrder.aspx%3fID=314854" TargetMode="External"/><Relationship Id="rId276" Type="http://schemas.openxmlformats.org/officeDocument/2006/relationships/hyperlink" Target="vSaleOrder.aspx%3fID=267591" TargetMode="External"/><Relationship Id="rId483" Type="http://schemas.openxmlformats.org/officeDocument/2006/relationships/hyperlink" Target="vSaleOrder.aspx%3fID=317670" TargetMode="External"/><Relationship Id="rId690" Type="http://schemas.openxmlformats.org/officeDocument/2006/relationships/hyperlink" Target="vSaleOrder.aspx%3fID=314278" TargetMode="External"/><Relationship Id="rId704" Type="http://schemas.openxmlformats.org/officeDocument/2006/relationships/hyperlink" Target="vSaleOrder.aspx%3fID=319943" TargetMode="External"/><Relationship Id="rId40" Type="http://schemas.openxmlformats.org/officeDocument/2006/relationships/hyperlink" Target="vSaleOrder.aspx%3fID=295712" TargetMode="External"/><Relationship Id="rId136" Type="http://schemas.openxmlformats.org/officeDocument/2006/relationships/hyperlink" Target="vSaleOrder.aspx%3fID=316908" TargetMode="External"/><Relationship Id="rId343" Type="http://schemas.openxmlformats.org/officeDocument/2006/relationships/hyperlink" Target="vSaleOrder.aspx%3fID=316905" TargetMode="External"/><Relationship Id="rId550" Type="http://schemas.openxmlformats.org/officeDocument/2006/relationships/hyperlink" Target="vSaleOrder.aspx%3fID=" TargetMode="External"/><Relationship Id="rId203" Type="http://schemas.openxmlformats.org/officeDocument/2006/relationships/hyperlink" Target="vSaleOrder.aspx%3fID=282909" TargetMode="External"/><Relationship Id="rId648" Type="http://schemas.openxmlformats.org/officeDocument/2006/relationships/hyperlink" Target="vSaleOrder.aspx%3fID=313889" TargetMode="External"/><Relationship Id="rId287" Type="http://schemas.openxmlformats.org/officeDocument/2006/relationships/hyperlink" Target="vSaleOrder.aspx%3fID=306719" TargetMode="External"/><Relationship Id="rId410" Type="http://schemas.openxmlformats.org/officeDocument/2006/relationships/hyperlink" Target="vSaleOrder.aspx%3fID=318280" TargetMode="External"/><Relationship Id="rId494" Type="http://schemas.openxmlformats.org/officeDocument/2006/relationships/hyperlink" Target="vSaleOrder.aspx%3fID=196481" TargetMode="External"/><Relationship Id="rId508" Type="http://schemas.openxmlformats.org/officeDocument/2006/relationships/hyperlink" Target="vSaleOrder.aspx%3fID=242403" TargetMode="External"/><Relationship Id="rId715" Type="http://schemas.openxmlformats.org/officeDocument/2006/relationships/hyperlink" Target="vSaleOrder.aspx%3fID=318269" TargetMode="External"/><Relationship Id="rId147" Type="http://schemas.openxmlformats.org/officeDocument/2006/relationships/hyperlink" Target="vSaleOrder.aspx%3fID=318255" TargetMode="External"/><Relationship Id="rId354" Type="http://schemas.openxmlformats.org/officeDocument/2006/relationships/hyperlink" Target="vSaleOrder.aspx%3fID=262040" TargetMode="External"/><Relationship Id="rId51" Type="http://schemas.openxmlformats.org/officeDocument/2006/relationships/hyperlink" Target="vSaleOrder.aspx%3fID=250544" TargetMode="External"/><Relationship Id="rId561" Type="http://schemas.openxmlformats.org/officeDocument/2006/relationships/hyperlink" Target="vSaleOrder.aspx%3fID=295409" TargetMode="External"/><Relationship Id="rId659" Type="http://schemas.openxmlformats.org/officeDocument/2006/relationships/hyperlink" Target="vSaleOrder.aspx%3fID=267591" TargetMode="External"/><Relationship Id="rId214" Type="http://schemas.openxmlformats.org/officeDocument/2006/relationships/hyperlink" Target="vSaleOrder.aspx%3fID=205841" TargetMode="External"/><Relationship Id="rId298" Type="http://schemas.openxmlformats.org/officeDocument/2006/relationships/hyperlink" Target="vSaleOrder.aspx%3fID=314263" TargetMode="External"/><Relationship Id="rId421" Type="http://schemas.openxmlformats.org/officeDocument/2006/relationships/hyperlink" Target="vSaleOrder.aspx%3fID=318276" TargetMode="External"/><Relationship Id="rId519" Type="http://schemas.openxmlformats.org/officeDocument/2006/relationships/hyperlink" Target="vSaleOrder.aspx%3fID=316908" TargetMode="External"/><Relationship Id="rId158" Type="http://schemas.openxmlformats.org/officeDocument/2006/relationships/hyperlink" Target="vSaleOrder.aspx%3fID=258611" TargetMode="External"/><Relationship Id="rId726" Type="http://schemas.openxmlformats.org/officeDocument/2006/relationships/hyperlink" Target="vSaleOrder.aspx%3fID=316905" TargetMode="External"/><Relationship Id="rId62" Type="http://schemas.openxmlformats.org/officeDocument/2006/relationships/hyperlink" Target="vSaleOrder.aspx%3fID=294193" TargetMode="External"/><Relationship Id="rId365" Type="http://schemas.openxmlformats.org/officeDocument/2006/relationships/hyperlink" Target="vSaleOrder.aspx%3fID=315631" TargetMode="External"/><Relationship Id="rId572" Type="http://schemas.openxmlformats.org/officeDocument/2006/relationships/hyperlink" Target="vSaleOrder.aspx%3fID=315636" TargetMode="External"/><Relationship Id="rId225" Type="http://schemas.openxmlformats.org/officeDocument/2006/relationships/hyperlink" Target="vSaleOrder.aspx%3fID=205848" TargetMode="External"/><Relationship Id="rId432" Type="http://schemas.openxmlformats.org/officeDocument/2006/relationships/hyperlink" Target="vSaleOrder.aspx%3fID=295777" TargetMode="External"/><Relationship Id="rId737" Type="http://schemas.openxmlformats.org/officeDocument/2006/relationships/hyperlink" Target="vSaleOrder.aspx%3fID=262040" TargetMode="External"/><Relationship Id="rId73" Type="http://schemas.openxmlformats.org/officeDocument/2006/relationships/hyperlink" Target="vSaleOrder.aspx%3fID=271494" TargetMode="External"/><Relationship Id="rId169" Type="http://schemas.openxmlformats.org/officeDocument/2006/relationships/hyperlink" Target="vSaleOrder.aspx%3fID=316918" TargetMode="External"/><Relationship Id="rId376" Type="http://schemas.openxmlformats.org/officeDocument/2006/relationships/hyperlink" Target="vSaleOrder.aspx%3fID=" TargetMode="External"/><Relationship Id="rId583" Type="http://schemas.openxmlformats.org/officeDocument/2006/relationships/hyperlink" Target="vSaleOrder.aspx%3fID=260880" TargetMode="External"/><Relationship Id="rId4" Type="http://schemas.openxmlformats.org/officeDocument/2006/relationships/hyperlink" Target="vSaleOrder.aspx%3fID=319605" TargetMode="External"/><Relationship Id="rId236" Type="http://schemas.openxmlformats.org/officeDocument/2006/relationships/hyperlink" Target="vSaleOrder.aspx%3fID=291150" TargetMode="External"/><Relationship Id="rId443" Type="http://schemas.openxmlformats.org/officeDocument/2006/relationships/hyperlink" Target="vSaleOrder.aspx%3fID=" TargetMode="External"/><Relationship Id="rId650" Type="http://schemas.openxmlformats.org/officeDocument/2006/relationships/hyperlink" Target="vSaleOrder.aspx%3fID=300910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vSaleOrder.aspx%3fID=292407" TargetMode="External"/><Relationship Id="rId299" Type="http://schemas.openxmlformats.org/officeDocument/2006/relationships/hyperlink" Target="vSaleOrder.aspx%3fID=314251" TargetMode="External"/><Relationship Id="rId21" Type="http://schemas.openxmlformats.org/officeDocument/2006/relationships/hyperlink" Target="vSaleOrder.aspx%3fID=272461" TargetMode="External"/><Relationship Id="rId63" Type="http://schemas.openxmlformats.org/officeDocument/2006/relationships/hyperlink" Target="vSaleOrder.aspx%3fID=314276" TargetMode="External"/><Relationship Id="rId159" Type="http://schemas.openxmlformats.org/officeDocument/2006/relationships/hyperlink" Target="vSaleOrder.aspx%3fID=314244" TargetMode="External"/><Relationship Id="rId324" Type="http://schemas.openxmlformats.org/officeDocument/2006/relationships/hyperlink" Target="vSaleOrder.aspx%3fID=" TargetMode="External"/><Relationship Id="rId366" Type="http://schemas.openxmlformats.org/officeDocument/2006/relationships/hyperlink" Target="vSaleOrder.aspx%3fID=260253" TargetMode="External"/><Relationship Id="rId170" Type="http://schemas.openxmlformats.org/officeDocument/2006/relationships/hyperlink" Target="vSaleOrder.aspx%3fID=" TargetMode="External"/><Relationship Id="rId226" Type="http://schemas.openxmlformats.org/officeDocument/2006/relationships/hyperlink" Target="vSaleOrder.aspx%3fID=300562" TargetMode="External"/><Relationship Id="rId268" Type="http://schemas.openxmlformats.org/officeDocument/2006/relationships/hyperlink" Target="vSaleOrder.aspx%3fID=314296" TargetMode="External"/><Relationship Id="rId32" Type="http://schemas.openxmlformats.org/officeDocument/2006/relationships/hyperlink" Target="vSaleOrder.aspx%3fID=313886" TargetMode="External"/><Relationship Id="rId74" Type="http://schemas.openxmlformats.org/officeDocument/2006/relationships/hyperlink" Target="vSaleOrder.aspx%3fID=319735" TargetMode="External"/><Relationship Id="rId128" Type="http://schemas.openxmlformats.org/officeDocument/2006/relationships/hyperlink" Target="vSaleOrder.aspx%3fID=269238" TargetMode="External"/><Relationship Id="rId335" Type="http://schemas.openxmlformats.org/officeDocument/2006/relationships/hyperlink" Target="vSaleOrder.aspx%3fID=315637" TargetMode="External"/><Relationship Id="rId5" Type="http://schemas.openxmlformats.org/officeDocument/2006/relationships/hyperlink" Target="vSaleOrder.aspx%3fID=316924" TargetMode="External"/><Relationship Id="rId181" Type="http://schemas.openxmlformats.org/officeDocument/2006/relationships/hyperlink" Target="vSaleOrder.aspx%3fID=260869" TargetMode="External"/><Relationship Id="rId237" Type="http://schemas.openxmlformats.org/officeDocument/2006/relationships/hyperlink" Target="vSaleOrder.aspx%3fID=317669" TargetMode="External"/><Relationship Id="rId279" Type="http://schemas.openxmlformats.org/officeDocument/2006/relationships/hyperlink" Target="vSaleOrder.aspx%3fID=296704" TargetMode="External"/><Relationship Id="rId43" Type="http://schemas.openxmlformats.org/officeDocument/2006/relationships/hyperlink" Target="vSaleOrder.aspx%3fID=314270" TargetMode="External"/><Relationship Id="rId139" Type="http://schemas.openxmlformats.org/officeDocument/2006/relationships/hyperlink" Target="vSaleOrder.aspx%3fID=276731" TargetMode="External"/><Relationship Id="rId290" Type="http://schemas.openxmlformats.org/officeDocument/2006/relationships/hyperlink" Target="vSaleOrder.aspx%3fID=313888" TargetMode="External"/><Relationship Id="rId304" Type="http://schemas.openxmlformats.org/officeDocument/2006/relationships/hyperlink" Target="vSaleOrder.aspx%3fID=253932" TargetMode="External"/><Relationship Id="rId346" Type="http://schemas.openxmlformats.org/officeDocument/2006/relationships/hyperlink" Target="vSaleOrder.aspx%3fID=314248" TargetMode="External"/><Relationship Id="rId85" Type="http://schemas.openxmlformats.org/officeDocument/2006/relationships/hyperlink" Target="vSaleOrder.aspx%3fID=316861" TargetMode="External"/><Relationship Id="rId150" Type="http://schemas.openxmlformats.org/officeDocument/2006/relationships/hyperlink" Target="vSaleOrder.aspx%3fID=313970" TargetMode="External"/><Relationship Id="rId192" Type="http://schemas.openxmlformats.org/officeDocument/2006/relationships/hyperlink" Target="vSaleOrder.aspx%3fID=313948" TargetMode="External"/><Relationship Id="rId206" Type="http://schemas.openxmlformats.org/officeDocument/2006/relationships/hyperlink" Target="vSaleOrder.aspx%3fID=205846" TargetMode="External"/><Relationship Id="rId248" Type="http://schemas.openxmlformats.org/officeDocument/2006/relationships/hyperlink" Target="vSaleOrder.aspx%3fID=305993" TargetMode="External"/><Relationship Id="rId12" Type="http://schemas.openxmlformats.org/officeDocument/2006/relationships/hyperlink" Target="vSaleOrder.aspx%3fID=314240" TargetMode="External"/><Relationship Id="rId108" Type="http://schemas.openxmlformats.org/officeDocument/2006/relationships/hyperlink" Target="vSaleOrder.aspx%3fID=289009" TargetMode="External"/><Relationship Id="rId315" Type="http://schemas.openxmlformats.org/officeDocument/2006/relationships/hyperlink" Target="vSaleOrder.aspx%3fID=318237" TargetMode="External"/><Relationship Id="rId357" Type="http://schemas.openxmlformats.org/officeDocument/2006/relationships/hyperlink" Target="vSaleOrder.aspx%3fID=" TargetMode="External"/><Relationship Id="rId54" Type="http://schemas.openxmlformats.org/officeDocument/2006/relationships/hyperlink" Target="vSaleOrder.aspx%3fID=305471" TargetMode="External"/><Relationship Id="rId96" Type="http://schemas.openxmlformats.org/officeDocument/2006/relationships/hyperlink" Target="vSaleOrder.aspx%3fID=303456" TargetMode="External"/><Relationship Id="rId161" Type="http://schemas.openxmlformats.org/officeDocument/2006/relationships/hyperlink" Target="vSaleOrder.aspx%3fID=" TargetMode="External"/><Relationship Id="rId217" Type="http://schemas.openxmlformats.org/officeDocument/2006/relationships/hyperlink" Target="vSaleOrder.aspx%3fID=317659" TargetMode="External"/><Relationship Id="rId259" Type="http://schemas.openxmlformats.org/officeDocument/2006/relationships/hyperlink" Target="vSaleOrder.aspx%3fID=283391" TargetMode="External"/><Relationship Id="rId23" Type="http://schemas.openxmlformats.org/officeDocument/2006/relationships/hyperlink" Target="vSaleOrder.aspx%3fID=297366" TargetMode="External"/><Relationship Id="rId119" Type="http://schemas.openxmlformats.org/officeDocument/2006/relationships/hyperlink" Target="vSaleOrder.aspx%3fID=" TargetMode="External"/><Relationship Id="rId270" Type="http://schemas.openxmlformats.org/officeDocument/2006/relationships/hyperlink" Target="vSaleOrder.aspx%3fID=273766" TargetMode="External"/><Relationship Id="rId326" Type="http://schemas.openxmlformats.org/officeDocument/2006/relationships/hyperlink" Target="vSaleOrder.aspx%3fID=251539" TargetMode="External"/><Relationship Id="rId65" Type="http://schemas.openxmlformats.org/officeDocument/2006/relationships/hyperlink" Target="vSaleOrder.aspx%3fID=303435" TargetMode="External"/><Relationship Id="rId130" Type="http://schemas.openxmlformats.org/officeDocument/2006/relationships/hyperlink" Target="vSaleOrder.aspx%3fID=284027" TargetMode="External"/><Relationship Id="rId368" Type="http://schemas.openxmlformats.org/officeDocument/2006/relationships/hyperlink" Target="vSaleOrder.aspx%3fID=272670" TargetMode="External"/><Relationship Id="rId172" Type="http://schemas.openxmlformats.org/officeDocument/2006/relationships/hyperlink" Target="vSaleOrder.aspx%3fID=" TargetMode="External"/><Relationship Id="rId228" Type="http://schemas.openxmlformats.org/officeDocument/2006/relationships/hyperlink" Target="vSaleOrder.aspx%3fID=295155" TargetMode="External"/><Relationship Id="rId281" Type="http://schemas.openxmlformats.org/officeDocument/2006/relationships/hyperlink" Target="vSaleOrder.aspx%3fID=296704" TargetMode="External"/><Relationship Id="rId337" Type="http://schemas.openxmlformats.org/officeDocument/2006/relationships/hyperlink" Target="vSaleOrder.aspx%3fID=314299" TargetMode="External"/><Relationship Id="rId34" Type="http://schemas.openxmlformats.org/officeDocument/2006/relationships/hyperlink" Target="vSaleOrder.aspx%3fID=295777" TargetMode="External"/><Relationship Id="rId76" Type="http://schemas.openxmlformats.org/officeDocument/2006/relationships/hyperlink" Target="vSaleOrder.aspx%3fID=261362" TargetMode="External"/><Relationship Id="rId141" Type="http://schemas.openxmlformats.org/officeDocument/2006/relationships/hyperlink" Target="vSaleOrder.aspx%3fID=268449" TargetMode="External"/><Relationship Id="rId7" Type="http://schemas.openxmlformats.org/officeDocument/2006/relationships/hyperlink" Target="vSaleOrder.aspx%3fID=318258" TargetMode="External"/><Relationship Id="rId183" Type="http://schemas.openxmlformats.org/officeDocument/2006/relationships/hyperlink" Target="vSaleOrder.aspx%3fID=260870" TargetMode="External"/><Relationship Id="rId239" Type="http://schemas.openxmlformats.org/officeDocument/2006/relationships/hyperlink" Target="vSaleOrder.aspx%3fID=316912" TargetMode="External"/><Relationship Id="rId250" Type="http://schemas.openxmlformats.org/officeDocument/2006/relationships/hyperlink" Target="vSaleOrder.aspx%3fID=316158" TargetMode="External"/><Relationship Id="rId292" Type="http://schemas.openxmlformats.org/officeDocument/2006/relationships/hyperlink" Target="vSaleOrder.aspx%3fID=314860" TargetMode="External"/><Relationship Id="rId306" Type="http://schemas.openxmlformats.org/officeDocument/2006/relationships/hyperlink" Target="vSaleOrder.aspx%3fID=319922" TargetMode="External"/><Relationship Id="rId45" Type="http://schemas.openxmlformats.org/officeDocument/2006/relationships/hyperlink" Target="vSaleOrder.aspx%3fID=243141" TargetMode="External"/><Relationship Id="rId87" Type="http://schemas.openxmlformats.org/officeDocument/2006/relationships/hyperlink" Target="vSaleOrder.aspx%3fID=315635" TargetMode="External"/><Relationship Id="rId110" Type="http://schemas.openxmlformats.org/officeDocument/2006/relationships/hyperlink" Target="vSaleOrder.aspx%3fID=242397" TargetMode="External"/><Relationship Id="rId348" Type="http://schemas.openxmlformats.org/officeDocument/2006/relationships/hyperlink" Target="vSaleOrder.aspx%3fID=266335" TargetMode="External"/><Relationship Id="rId152" Type="http://schemas.openxmlformats.org/officeDocument/2006/relationships/hyperlink" Target="vSaleOrder.aspx%3fID=318272" TargetMode="External"/><Relationship Id="rId194" Type="http://schemas.openxmlformats.org/officeDocument/2006/relationships/hyperlink" Target="vSaleOrder.aspx%3fID=239866" TargetMode="External"/><Relationship Id="rId208" Type="http://schemas.openxmlformats.org/officeDocument/2006/relationships/hyperlink" Target="vSaleOrder.aspx%3fID=205842" TargetMode="External"/><Relationship Id="rId261" Type="http://schemas.openxmlformats.org/officeDocument/2006/relationships/hyperlink" Target="vSaleOrder.aspx%3fID=314914" TargetMode="External"/><Relationship Id="rId14" Type="http://schemas.openxmlformats.org/officeDocument/2006/relationships/hyperlink" Target="vSaleOrder.aspx%3fID=261545" TargetMode="External"/><Relationship Id="rId56" Type="http://schemas.openxmlformats.org/officeDocument/2006/relationships/hyperlink" Target="vSaleOrder.aspx%3fID=314298" TargetMode="External"/><Relationship Id="rId317" Type="http://schemas.openxmlformats.org/officeDocument/2006/relationships/hyperlink" Target="vSaleOrder.aspx%3fID=247507" TargetMode="External"/><Relationship Id="rId359" Type="http://schemas.openxmlformats.org/officeDocument/2006/relationships/hyperlink" Target="vSaleOrder.aspx%3fID=" TargetMode="External"/><Relationship Id="rId98" Type="http://schemas.openxmlformats.org/officeDocument/2006/relationships/hyperlink" Target="vSaleOrder.aspx%3fID=303529" TargetMode="External"/><Relationship Id="rId121" Type="http://schemas.openxmlformats.org/officeDocument/2006/relationships/hyperlink" Target="vSaleOrder.aspx%3fID=316914" TargetMode="External"/><Relationship Id="rId163" Type="http://schemas.openxmlformats.org/officeDocument/2006/relationships/hyperlink" Target="vSaleOrder.aspx%3fID=295409" TargetMode="External"/><Relationship Id="rId219" Type="http://schemas.openxmlformats.org/officeDocument/2006/relationships/hyperlink" Target="vSaleOrder.aspx%3fID=263383" TargetMode="External"/><Relationship Id="rId230" Type="http://schemas.openxmlformats.org/officeDocument/2006/relationships/hyperlink" Target="vSaleOrder.aspx%3fID=313887" TargetMode="External"/><Relationship Id="rId25" Type="http://schemas.openxmlformats.org/officeDocument/2006/relationships/hyperlink" Target="vSaleOrder.aspx%3fID=295712" TargetMode="External"/><Relationship Id="rId67" Type="http://schemas.openxmlformats.org/officeDocument/2006/relationships/hyperlink" Target="vSaleOrder.aspx%3fID=306185" TargetMode="External"/><Relationship Id="rId272" Type="http://schemas.openxmlformats.org/officeDocument/2006/relationships/hyperlink" Target="vSaleOrder.aspx%3fID=254270" TargetMode="External"/><Relationship Id="rId328" Type="http://schemas.openxmlformats.org/officeDocument/2006/relationships/hyperlink" Target="vSaleOrder.aspx%3fID=300337" TargetMode="External"/><Relationship Id="rId132" Type="http://schemas.openxmlformats.org/officeDocument/2006/relationships/hyperlink" Target="vSaleOrder.aspx%3fID=318028" TargetMode="External"/><Relationship Id="rId174" Type="http://schemas.openxmlformats.org/officeDocument/2006/relationships/hyperlink" Target="vSaleOrder.aspx%3fID=264389" TargetMode="External"/><Relationship Id="rId241" Type="http://schemas.openxmlformats.org/officeDocument/2006/relationships/hyperlink" Target="vSaleOrder.aspx%3fID=302236" TargetMode="External"/><Relationship Id="rId15" Type="http://schemas.openxmlformats.org/officeDocument/2006/relationships/hyperlink" Target="vSaleOrder.aspx%3fID=" TargetMode="External"/><Relationship Id="rId36" Type="http://schemas.openxmlformats.org/officeDocument/2006/relationships/hyperlink" Target="vSaleOrder.aspx%3fID=295777" TargetMode="External"/><Relationship Id="rId57" Type="http://schemas.openxmlformats.org/officeDocument/2006/relationships/hyperlink" Target="vSaleOrder.aspx%3fID=314265" TargetMode="External"/><Relationship Id="rId262" Type="http://schemas.openxmlformats.org/officeDocument/2006/relationships/hyperlink" Target="vSaleOrder.aspx%3fID=267591" TargetMode="External"/><Relationship Id="rId283" Type="http://schemas.openxmlformats.org/officeDocument/2006/relationships/hyperlink" Target="vSaleOrder.aspx%3fID=307812" TargetMode="External"/><Relationship Id="rId318" Type="http://schemas.openxmlformats.org/officeDocument/2006/relationships/hyperlink" Target="vSaleOrder.aspx%3fID=318269" TargetMode="External"/><Relationship Id="rId339" Type="http://schemas.openxmlformats.org/officeDocument/2006/relationships/hyperlink" Target="vSaleOrder.aspx%3fID=304067" TargetMode="External"/><Relationship Id="rId78" Type="http://schemas.openxmlformats.org/officeDocument/2006/relationships/hyperlink" Target="vSaleOrder.aspx%3fID=261362" TargetMode="External"/><Relationship Id="rId99" Type="http://schemas.openxmlformats.org/officeDocument/2006/relationships/hyperlink" Target="vSaleOrder.aspx%3fID=296853" TargetMode="External"/><Relationship Id="rId101" Type="http://schemas.openxmlformats.org/officeDocument/2006/relationships/hyperlink" Target="vSaleOrder.aspx%3fID=306498" TargetMode="External"/><Relationship Id="rId122" Type="http://schemas.openxmlformats.org/officeDocument/2006/relationships/hyperlink" Target="vSaleOrder.aspx%3fID=316908" TargetMode="External"/><Relationship Id="rId143" Type="http://schemas.openxmlformats.org/officeDocument/2006/relationships/hyperlink" Target="vSaleOrder.aspx%3fID=300892" TargetMode="External"/><Relationship Id="rId164" Type="http://schemas.openxmlformats.org/officeDocument/2006/relationships/hyperlink" Target="vSaleOrder.aspx%3fID=295409" TargetMode="External"/><Relationship Id="rId185" Type="http://schemas.openxmlformats.org/officeDocument/2006/relationships/hyperlink" Target="vSaleOrder.aspx%3fID=260861" TargetMode="External"/><Relationship Id="rId350" Type="http://schemas.openxmlformats.org/officeDocument/2006/relationships/hyperlink" Target="vSaleOrder.aspx%3fID=" TargetMode="External"/><Relationship Id="rId9" Type="http://schemas.openxmlformats.org/officeDocument/2006/relationships/hyperlink" Target="vSaleOrder.aspx%3fID=296419" TargetMode="External"/><Relationship Id="rId210" Type="http://schemas.openxmlformats.org/officeDocument/2006/relationships/hyperlink" Target="vSaleOrder.aspx%3fID=205841" TargetMode="External"/><Relationship Id="rId26" Type="http://schemas.openxmlformats.org/officeDocument/2006/relationships/hyperlink" Target="vSaleOrder.aspx%3fID=295712" TargetMode="External"/><Relationship Id="rId231" Type="http://schemas.openxmlformats.org/officeDocument/2006/relationships/hyperlink" Target="vSaleOrder.aspx%3fID=319804" TargetMode="External"/><Relationship Id="rId252" Type="http://schemas.openxmlformats.org/officeDocument/2006/relationships/hyperlink" Target="vSaleOrder.aspx%3fID=" TargetMode="External"/><Relationship Id="rId273" Type="http://schemas.openxmlformats.org/officeDocument/2006/relationships/hyperlink" Target="vSaleOrder.aspx%3fID=306719" TargetMode="External"/><Relationship Id="rId294" Type="http://schemas.openxmlformats.org/officeDocument/2006/relationships/hyperlink" Target="vSaleOrder.aspx%3fID=291113" TargetMode="External"/><Relationship Id="rId308" Type="http://schemas.openxmlformats.org/officeDocument/2006/relationships/hyperlink" Target="vSaleOrder.aspx%3fID=314277" TargetMode="External"/><Relationship Id="rId329" Type="http://schemas.openxmlformats.org/officeDocument/2006/relationships/hyperlink" Target="vSaleOrder.aspx%3fID=316905" TargetMode="External"/><Relationship Id="rId47" Type="http://schemas.openxmlformats.org/officeDocument/2006/relationships/hyperlink" Target="vSaleOrder.aspx%3fID=280293" TargetMode="External"/><Relationship Id="rId68" Type="http://schemas.openxmlformats.org/officeDocument/2006/relationships/hyperlink" Target="vSaleOrder.aspx%3fID=313978" TargetMode="External"/><Relationship Id="rId89" Type="http://schemas.openxmlformats.org/officeDocument/2006/relationships/hyperlink" Target="vSaleOrder.aspx%3fID=292727" TargetMode="External"/><Relationship Id="rId112" Type="http://schemas.openxmlformats.org/officeDocument/2006/relationships/hyperlink" Target="vSaleOrder.aspx%3fID=230770" TargetMode="External"/><Relationship Id="rId133" Type="http://schemas.openxmlformats.org/officeDocument/2006/relationships/hyperlink" Target="vSaleOrder.aspx%3fID=318255" TargetMode="External"/><Relationship Id="rId154" Type="http://schemas.openxmlformats.org/officeDocument/2006/relationships/hyperlink" Target="vSaleOrder.aspx%3fID=318125" TargetMode="External"/><Relationship Id="rId175" Type="http://schemas.openxmlformats.org/officeDocument/2006/relationships/hyperlink" Target="vSaleOrder.aspx%3fID=315636" TargetMode="External"/><Relationship Id="rId340" Type="http://schemas.openxmlformats.org/officeDocument/2006/relationships/hyperlink" Target="vSaleOrder.aspx%3fID=262040" TargetMode="External"/><Relationship Id="rId361" Type="http://schemas.openxmlformats.org/officeDocument/2006/relationships/hyperlink" Target="vSaleOrder.aspx%3fID=" TargetMode="External"/><Relationship Id="rId196" Type="http://schemas.openxmlformats.org/officeDocument/2006/relationships/hyperlink" Target="vSaleOrder.aspx%3fID=239880" TargetMode="External"/><Relationship Id="rId200" Type="http://schemas.openxmlformats.org/officeDocument/2006/relationships/hyperlink" Target="vSaleOrder.aspx%3fID=205841" TargetMode="External"/><Relationship Id="rId16" Type="http://schemas.openxmlformats.org/officeDocument/2006/relationships/hyperlink" Target="vSaleOrder.aspx%3fID=318280" TargetMode="External"/><Relationship Id="rId221" Type="http://schemas.openxmlformats.org/officeDocument/2006/relationships/hyperlink" Target="vSaleOrder.aspx%3fID=223681" TargetMode="External"/><Relationship Id="rId242" Type="http://schemas.openxmlformats.org/officeDocument/2006/relationships/hyperlink" Target="vSaleOrder.aspx%3fID=314854" TargetMode="External"/><Relationship Id="rId263" Type="http://schemas.openxmlformats.org/officeDocument/2006/relationships/hyperlink" Target="vSaleOrder.aspx%3fID=314048" TargetMode="External"/><Relationship Id="rId284" Type="http://schemas.openxmlformats.org/officeDocument/2006/relationships/hyperlink" Target="vSaleOrder.aspx%3fID=314263" TargetMode="External"/><Relationship Id="rId319" Type="http://schemas.openxmlformats.org/officeDocument/2006/relationships/hyperlink" Target="vSaleOrder.aspx%3fID=295134" TargetMode="External"/><Relationship Id="rId37" Type="http://schemas.openxmlformats.org/officeDocument/2006/relationships/hyperlink" Target="vSaleOrder.aspx%3fID=250544" TargetMode="External"/><Relationship Id="rId58" Type="http://schemas.openxmlformats.org/officeDocument/2006/relationships/hyperlink" Target="vSaleOrder.aspx%3fID=271064" TargetMode="External"/><Relationship Id="rId79" Type="http://schemas.openxmlformats.org/officeDocument/2006/relationships/hyperlink" Target="vSaleOrder.aspx%3fID=286499" TargetMode="External"/><Relationship Id="rId102" Type="http://schemas.openxmlformats.org/officeDocument/2006/relationships/hyperlink" Target="vSaleOrder.aspx%3fID=" TargetMode="External"/><Relationship Id="rId123" Type="http://schemas.openxmlformats.org/officeDocument/2006/relationships/hyperlink" Target="vSaleOrder.aspx%3fID=314851" TargetMode="External"/><Relationship Id="rId144" Type="http://schemas.openxmlformats.org/officeDocument/2006/relationships/hyperlink" Target="vSaleOrder.aspx%3fID=258611" TargetMode="External"/><Relationship Id="rId330" Type="http://schemas.openxmlformats.org/officeDocument/2006/relationships/hyperlink" Target="vSaleOrder.aspx%3fID=293393" TargetMode="External"/><Relationship Id="rId90" Type="http://schemas.openxmlformats.org/officeDocument/2006/relationships/hyperlink" Target="vSaleOrder.aspx%3fID=284734" TargetMode="External"/><Relationship Id="rId165" Type="http://schemas.openxmlformats.org/officeDocument/2006/relationships/hyperlink" Target="vSaleOrder.aspx%3fID=269107" TargetMode="External"/><Relationship Id="rId186" Type="http://schemas.openxmlformats.org/officeDocument/2006/relationships/hyperlink" Target="vSaleOrder.aspx%3fID=260880" TargetMode="External"/><Relationship Id="rId351" Type="http://schemas.openxmlformats.org/officeDocument/2006/relationships/hyperlink" Target="vSaleOrder.aspx%3fID=315631" TargetMode="External"/><Relationship Id="rId211" Type="http://schemas.openxmlformats.org/officeDocument/2006/relationships/hyperlink" Target="vSaleOrder.aspx%3fID=205848" TargetMode="External"/><Relationship Id="rId232" Type="http://schemas.openxmlformats.org/officeDocument/2006/relationships/hyperlink" Target="vSaleOrder.aspx%3fID=" TargetMode="External"/><Relationship Id="rId253" Type="http://schemas.openxmlformats.org/officeDocument/2006/relationships/hyperlink" Target="vSaleOrder.aspx%3fID=300910" TargetMode="External"/><Relationship Id="rId274" Type="http://schemas.openxmlformats.org/officeDocument/2006/relationships/hyperlink" Target="vSaleOrder.aspx%3fID=314287" TargetMode="External"/><Relationship Id="rId295" Type="http://schemas.openxmlformats.org/officeDocument/2006/relationships/hyperlink" Target="vSaleOrder.aspx%3fID=306100" TargetMode="External"/><Relationship Id="rId309" Type="http://schemas.openxmlformats.org/officeDocument/2006/relationships/hyperlink" Target="vSaleOrder.aspx%3fID=295518" TargetMode="External"/><Relationship Id="rId27" Type="http://schemas.openxmlformats.org/officeDocument/2006/relationships/hyperlink" Target="vSaleOrder.aspx%3fID=314261" TargetMode="External"/><Relationship Id="rId48" Type="http://schemas.openxmlformats.org/officeDocument/2006/relationships/hyperlink" Target="vSaleOrder.aspx%3fID=294193" TargetMode="External"/><Relationship Id="rId69" Type="http://schemas.openxmlformats.org/officeDocument/2006/relationships/hyperlink" Target="vSaleOrder.aspx%3fID=314010" TargetMode="External"/><Relationship Id="rId113" Type="http://schemas.openxmlformats.org/officeDocument/2006/relationships/hyperlink" Target="vSaleOrder.aspx%3fID=251147" TargetMode="External"/><Relationship Id="rId134" Type="http://schemas.openxmlformats.org/officeDocument/2006/relationships/hyperlink" Target="vSaleOrder.aspx%3fID=313987" TargetMode="External"/><Relationship Id="rId320" Type="http://schemas.openxmlformats.org/officeDocument/2006/relationships/hyperlink" Target="vSaleOrder.aspx%3fID=" TargetMode="External"/><Relationship Id="rId80" Type="http://schemas.openxmlformats.org/officeDocument/2006/relationships/hyperlink" Target="vSaleOrder.aspx%3fID=314852" TargetMode="External"/><Relationship Id="rId155" Type="http://schemas.openxmlformats.org/officeDocument/2006/relationships/hyperlink" Target="vSaleOrder.aspx%3fID=316918" TargetMode="External"/><Relationship Id="rId176" Type="http://schemas.openxmlformats.org/officeDocument/2006/relationships/hyperlink" Target="vSaleOrder.aspx%3fID=275386" TargetMode="External"/><Relationship Id="rId197" Type="http://schemas.openxmlformats.org/officeDocument/2006/relationships/hyperlink" Target="vSaleOrder.aspx%3fID=" TargetMode="External"/><Relationship Id="rId341" Type="http://schemas.openxmlformats.org/officeDocument/2006/relationships/hyperlink" Target="vSaleOrder.aspx%3fID=304067" TargetMode="External"/><Relationship Id="rId362" Type="http://schemas.openxmlformats.org/officeDocument/2006/relationships/hyperlink" Target="vSaleOrder.aspx%3fID=" TargetMode="External"/><Relationship Id="rId201" Type="http://schemas.openxmlformats.org/officeDocument/2006/relationships/hyperlink" Target="vSaleOrder.aspx%3fID=205848" TargetMode="External"/><Relationship Id="rId222" Type="http://schemas.openxmlformats.org/officeDocument/2006/relationships/hyperlink" Target="vSaleOrder.aspx%3fID=291150" TargetMode="External"/><Relationship Id="rId243" Type="http://schemas.openxmlformats.org/officeDocument/2006/relationships/hyperlink" Target="vSaleOrder.aspx%3fID=288930" TargetMode="External"/><Relationship Id="rId264" Type="http://schemas.openxmlformats.org/officeDocument/2006/relationships/hyperlink" Target="vSaleOrder.aspx%3fID=308841" TargetMode="External"/><Relationship Id="rId285" Type="http://schemas.openxmlformats.org/officeDocument/2006/relationships/hyperlink" Target="vSaleOrder.aspx%3fID=316863" TargetMode="External"/><Relationship Id="rId17" Type="http://schemas.openxmlformats.org/officeDocument/2006/relationships/hyperlink" Target="vSaleOrder.aspx%3fID=314557" TargetMode="External"/><Relationship Id="rId38" Type="http://schemas.openxmlformats.org/officeDocument/2006/relationships/hyperlink" Target="vSaleOrder.aspx%3fID=314269" TargetMode="External"/><Relationship Id="rId59" Type="http://schemas.openxmlformats.org/officeDocument/2006/relationships/hyperlink" Target="vSaleOrder.aspx%3fID=271494" TargetMode="External"/><Relationship Id="rId103" Type="http://schemas.openxmlformats.org/officeDocument/2006/relationships/hyperlink" Target="vSaleOrder.aspx%3fID=259030" TargetMode="External"/><Relationship Id="rId124" Type="http://schemas.openxmlformats.org/officeDocument/2006/relationships/hyperlink" Target="vSaleOrder.aspx%3fID=308013" TargetMode="External"/><Relationship Id="rId310" Type="http://schemas.openxmlformats.org/officeDocument/2006/relationships/hyperlink" Target="vSaleOrder.aspx%3fID=295518" TargetMode="External"/><Relationship Id="rId70" Type="http://schemas.openxmlformats.org/officeDocument/2006/relationships/hyperlink" Target="vSaleOrder.aspx%3fID=274972" TargetMode="External"/><Relationship Id="rId91" Type="http://schemas.openxmlformats.org/officeDocument/2006/relationships/hyperlink" Target="vSaleOrder.aspx%3fID=" TargetMode="External"/><Relationship Id="rId145" Type="http://schemas.openxmlformats.org/officeDocument/2006/relationships/hyperlink" Target="vSaleOrder.aspx%3fID=314303" TargetMode="External"/><Relationship Id="rId166" Type="http://schemas.openxmlformats.org/officeDocument/2006/relationships/hyperlink" Target="vSaleOrder.aspx%3fID=266373" TargetMode="External"/><Relationship Id="rId187" Type="http://schemas.openxmlformats.org/officeDocument/2006/relationships/hyperlink" Target="vSaleOrder.aspx%3fID=260882" TargetMode="External"/><Relationship Id="rId331" Type="http://schemas.openxmlformats.org/officeDocument/2006/relationships/hyperlink" Target="vSaleOrder.aspx%3fID=293393" TargetMode="External"/><Relationship Id="rId352" Type="http://schemas.openxmlformats.org/officeDocument/2006/relationships/hyperlink" Target="vSaleOrder.aspx%3fID=314280" TargetMode="External"/><Relationship Id="rId1" Type="http://schemas.openxmlformats.org/officeDocument/2006/relationships/hyperlink" Target="vSaleOrder.aspx%3fID=315626" TargetMode="External"/><Relationship Id="rId212" Type="http://schemas.openxmlformats.org/officeDocument/2006/relationships/hyperlink" Target="vSaleOrder.aspx%3fID=205845" TargetMode="External"/><Relationship Id="rId233" Type="http://schemas.openxmlformats.org/officeDocument/2006/relationships/hyperlink" Target="vSaleOrder.aspx%3fID=314262" TargetMode="External"/><Relationship Id="rId254" Type="http://schemas.openxmlformats.org/officeDocument/2006/relationships/hyperlink" Target="vSaleOrder.aspx%3fID=318123" TargetMode="External"/><Relationship Id="rId28" Type="http://schemas.openxmlformats.org/officeDocument/2006/relationships/hyperlink" Target="vSaleOrder.aspx%3fID=314264" TargetMode="External"/><Relationship Id="rId49" Type="http://schemas.openxmlformats.org/officeDocument/2006/relationships/hyperlink" Target="vSaleOrder.aspx%3fID=290226" TargetMode="External"/><Relationship Id="rId114" Type="http://schemas.openxmlformats.org/officeDocument/2006/relationships/hyperlink" Target="vSaleOrder.aspx%3fID=251152" TargetMode="External"/><Relationship Id="rId275" Type="http://schemas.openxmlformats.org/officeDocument/2006/relationships/hyperlink" Target="vSaleOrder.aspx%3fID=296736" TargetMode="External"/><Relationship Id="rId296" Type="http://schemas.openxmlformats.org/officeDocument/2006/relationships/hyperlink" Target="vSaleOrder.aspx%3fID=291113" TargetMode="External"/><Relationship Id="rId300" Type="http://schemas.openxmlformats.org/officeDocument/2006/relationships/hyperlink" Target="vSaleOrder.aspx%3fID=314272" TargetMode="External"/><Relationship Id="rId60" Type="http://schemas.openxmlformats.org/officeDocument/2006/relationships/hyperlink" Target="vSaleOrder.aspx%3fID=264620" TargetMode="External"/><Relationship Id="rId81" Type="http://schemas.openxmlformats.org/officeDocument/2006/relationships/hyperlink" Target="vSaleOrder.aspx%3fID=314901" TargetMode="External"/><Relationship Id="rId135" Type="http://schemas.openxmlformats.org/officeDocument/2006/relationships/hyperlink" Target="vSaleOrder.aspx%3fID=318244" TargetMode="External"/><Relationship Id="rId156" Type="http://schemas.openxmlformats.org/officeDocument/2006/relationships/hyperlink" Target="vSaleOrder.aspx%3fID=" TargetMode="External"/><Relationship Id="rId177" Type="http://schemas.openxmlformats.org/officeDocument/2006/relationships/hyperlink" Target="vSaleOrder.aspx%3fID=318131" TargetMode="External"/><Relationship Id="rId198" Type="http://schemas.openxmlformats.org/officeDocument/2006/relationships/hyperlink" Target="vSaleOrder.aspx%3fID=" TargetMode="External"/><Relationship Id="rId321" Type="http://schemas.openxmlformats.org/officeDocument/2006/relationships/hyperlink" Target="vSaleOrder.aspx%3fID=319606" TargetMode="External"/><Relationship Id="rId342" Type="http://schemas.openxmlformats.org/officeDocument/2006/relationships/hyperlink" Target="vSaleOrder.aspx%3fID=" TargetMode="External"/><Relationship Id="rId363" Type="http://schemas.openxmlformats.org/officeDocument/2006/relationships/hyperlink" Target="vSaleOrder.aspx%3fID=279835" TargetMode="External"/><Relationship Id="rId202" Type="http://schemas.openxmlformats.org/officeDocument/2006/relationships/hyperlink" Target="vSaleOrder.aspx%3fID=205843" TargetMode="External"/><Relationship Id="rId223" Type="http://schemas.openxmlformats.org/officeDocument/2006/relationships/hyperlink" Target="vSaleOrder.aspx%3fID=314884" TargetMode="External"/><Relationship Id="rId244" Type="http://schemas.openxmlformats.org/officeDocument/2006/relationships/hyperlink" Target="vSaleOrder.aspx%3fID=288930" TargetMode="External"/><Relationship Id="rId18" Type="http://schemas.openxmlformats.org/officeDocument/2006/relationships/hyperlink" Target="vSaleOrder.aspx%3fID=314559" TargetMode="External"/><Relationship Id="rId39" Type="http://schemas.openxmlformats.org/officeDocument/2006/relationships/hyperlink" Target="vSaleOrder.aspx%3fID=286505" TargetMode="External"/><Relationship Id="rId265" Type="http://schemas.openxmlformats.org/officeDocument/2006/relationships/hyperlink" Target="vSaleOrder.aspx%3fID=294093" TargetMode="External"/><Relationship Id="rId286" Type="http://schemas.openxmlformats.org/officeDocument/2006/relationships/hyperlink" Target="vSaleOrder.aspx%3fID=315645" TargetMode="External"/><Relationship Id="rId50" Type="http://schemas.openxmlformats.org/officeDocument/2006/relationships/hyperlink" Target="vSaleOrder.aspx%3fID=290226" TargetMode="External"/><Relationship Id="rId104" Type="http://schemas.openxmlformats.org/officeDocument/2006/relationships/hyperlink" Target="vSaleOrder.aspx%3fID=259030" TargetMode="External"/><Relationship Id="rId125" Type="http://schemas.openxmlformats.org/officeDocument/2006/relationships/hyperlink" Target="vSaleOrder.aspx%3fID=315639" TargetMode="External"/><Relationship Id="rId146" Type="http://schemas.openxmlformats.org/officeDocument/2006/relationships/hyperlink" Target="vSaleOrder.aspx%3fID=314303" TargetMode="External"/><Relationship Id="rId167" Type="http://schemas.openxmlformats.org/officeDocument/2006/relationships/hyperlink" Target="vSaleOrder.aspx%3fID=314274" TargetMode="External"/><Relationship Id="rId188" Type="http://schemas.openxmlformats.org/officeDocument/2006/relationships/hyperlink" Target="vSaleOrder.aspx%3fID=260881" TargetMode="External"/><Relationship Id="rId311" Type="http://schemas.openxmlformats.org/officeDocument/2006/relationships/hyperlink" Target="vSaleOrder.aspx%3fID=314250" TargetMode="External"/><Relationship Id="rId332" Type="http://schemas.openxmlformats.org/officeDocument/2006/relationships/hyperlink" Target="vSaleOrder.aspx%3fID=318265" TargetMode="External"/><Relationship Id="rId353" Type="http://schemas.openxmlformats.org/officeDocument/2006/relationships/hyperlink" Target="vSaleOrder.aspx%3fID=318261" TargetMode="External"/><Relationship Id="rId71" Type="http://schemas.openxmlformats.org/officeDocument/2006/relationships/hyperlink" Target="vSaleOrder.aspx%3fID=274972" TargetMode="External"/><Relationship Id="rId92" Type="http://schemas.openxmlformats.org/officeDocument/2006/relationships/hyperlink" Target="vSaleOrder.aspx%3fID=" TargetMode="External"/><Relationship Id="rId213" Type="http://schemas.openxmlformats.org/officeDocument/2006/relationships/hyperlink" Target="vSaleOrder.aspx%3fID=205851" TargetMode="External"/><Relationship Id="rId234" Type="http://schemas.openxmlformats.org/officeDocument/2006/relationships/hyperlink" Target="vSaleOrder.aspx%3fID=318283" TargetMode="External"/><Relationship Id="rId2" Type="http://schemas.openxmlformats.org/officeDocument/2006/relationships/hyperlink" Target="vSaleOrder.aspx%3fID=288373" TargetMode="External"/><Relationship Id="rId29" Type="http://schemas.openxmlformats.org/officeDocument/2006/relationships/hyperlink" Target="vSaleOrder.aspx%3fID=277937" TargetMode="External"/><Relationship Id="rId255" Type="http://schemas.openxmlformats.org/officeDocument/2006/relationships/hyperlink" Target="vSaleOrder.aspx%3fID=314281" TargetMode="External"/><Relationship Id="rId276" Type="http://schemas.openxmlformats.org/officeDocument/2006/relationships/hyperlink" Target="vSaleOrder.aspx%3fID=" TargetMode="External"/><Relationship Id="rId297" Type="http://schemas.openxmlformats.org/officeDocument/2006/relationships/hyperlink" Target="vSaleOrder.aspx%3fID=" TargetMode="External"/><Relationship Id="rId40" Type="http://schemas.openxmlformats.org/officeDocument/2006/relationships/hyperlink" Target="vSaleOrder.aspx%3fID=314290" TargetMode="External"/><Relationship Id="rId115" Type="http://schemas.openxmlformats.org/officeDocument/2006/relationships/hyperlink" Target="vSaleOrder.aspx%3fID=284497" TargetMode="External"/><Relationship Id="rId136" Type="http://schemas.openxmlformats.org/officeDocument/2006/relationships/hyperlink" Target="vSaleOrder.aspx%3fID=292985" TargetMode="External"/><Relationship Id="rId157" Type="http://schemas.openxmlformats.org/officeDocument/2006/relationships/hyperlink" Target="vSaleOrder.aspx%3fID=268214" TargetMode="External"/><Relationship Id="rId178" Type="http://schemas.openxmlformats.org/officeDocument/2006/relationships/hyperlink" Target="vSaleOrder.aspx%3fID=318130" TargetMode="External"/><Relationship Id="rId301" Type="http://schemas.openxmlformats.org/officeDocument/2006/relationships/hyperlink" Target="vSaleOrder.aspx%3fID=313894" TargetMode="External"/><Relationship Id="rId322" Type="http://schemas.openxmlformats.org/officeDocument/2006/relationships/hyperlink" Target="vSaleOrder.aspx%3fID=311581" TargetMode="External"/><Relationship Id="rId343" Type="http://schemas.openxmlformats.org/officeDocument/2006/relationships/hyperlink" Target="vSaleOrder.aspx%3fID=313876" TargetMode="External"/><Relationship Id="rId364" Type="http://schemas.openxmlformats.org/officeDocument/2006/relationships/hyperlink" Target="vSaleOrder.aspx%3fID=" TargetMode="External"/><Relationship Id="rId61" Type="http://schemas.openxmlformats.org/officeDocument/2006/relationships/hyperlink" Target="vSaleOrder.aspx%3fID=219186" TargetMode="External"/><Relationship Id="rId82" Type="http://schemas.openxmlformats.org/officeDocument/2006/relationships/hyperlink" Target="vSaleOrder.aspx%3fID=315627" TargetMode="External"/><Relationship Id="rId199" Type="http://schemas.openxmlformats.org/officeDocument/2006/relationships/hyperlink" Target="vSaleOrder.aspx%3fID=205851" TargetMode="External"/><Relationship Id="rId203" Type="http://schemas.openxmlformats.org/officeDocument/2006/relationships/hyperlink" Target="vSaleOrder.aspx%3fID=205846" TargetMode="External"/><Relationship Id="rId19" Type="http://schemas.openxmlformats.org/officeDocument/2006/relationships/hyperlink" Target="vSaleOrder.aspx%3fID=316916" TargetMode="External"/><Relationship Id="rId224" Type="http://schemas.openxmlformats.org/officeDocument/2006/relationships/hyperlink" Target="vSaleOrder.aspx%3fID=304181" TargetMode="External"/><Relationship Id="rId245" Type="http://schemas.openxmlformats.org/officeDocument/2006/relationships/hyperlink" Target="vSaleOrder.aspx%3fID=288930" TargetMode="External"/><Relationship Id="rId266" Type="http://schemas.openxmlformats.org/officeDocument/2006/relationships/hyperlink" Target="vSaleOrder.aspx%3fID=318122" TargetMode="External"/><Relationship Id="rId287" Type="http://schemas.openxmlformats.org/officeDocument/2006/relationships/hyperlink" Target="vSaleOrder.aspx%3fID=316926" TargetMode="External"/><Relationship Id="rId30" Type="http://schemas.openxmlformats.org/officeDocument/2006/relationships/hyperlink" Target="vSaleOrder.aspx%3fID=277937" TargetMode="External"/><Relationship Id="rId105" Type="http://schemas.openxmlformats.org/officeDocument/2006/relationships/hyperlink" Target="vSaleOrder.aspx%3fID=259030" TargetMode="External"/><Relationship Id="rId126" Type="http://schemas.openxmlformats.org/officeDocument/2006/relationships/hyperlink" Target="vSaleOrder.aspx%3fID=295775" TargetMode="External"/><Relationship Id="rId147" Type="http://schemas.openxmlformats.org/officeDocument/2006/relationships/hyperlink" Target="vSaleOrder.aspx%3fID=314257" TargetMode="External"/><Relationship Id="rId168" Type="http://schemas.openxmlformats.org/officeDocument/2006/relationships/hyperlink" Target="vSaleOrder.aspx%3fID=254433" TargetMode="External"/><Relationship Id="rId312" Type="http://schemas.openxmlformats.org/officeDocument/2006/relationships/hyperlink" Target="vSaleOrder.aspx%3fID=318241" TargetMode="External"/><Relationship Id="rId333" Type="http://schemas.openxmlformats.org/officeDocument/2006/relationships/hyperlink" Target="vSaleOrder.aspx%3fID=315625" TargetMode="External"/><Relationship Id="rId354" Type="http://schemas.openxmlformats.org/officeDocument/2006/relationships/hyperlink" Target="vSaleOrder.aspx%3fID=258271" TargetMode="External"/><Relationship Id="rId51" Type="http://schemas.openxmlformats.org/officeDocument/2006/relationships/hyperlink" Target="vSaleOrder.aspx%3fID=304459" TargetMode="External"/><Relationship Id="rId72" Type="http://schemas.openxmlformats.org/officeDocument/2006/relationships/hyperlink" Target="vSaleOrder.aspx%3fID=274972" TargetMode="External"/><Relationship Id="rId93" Type="http://schemas.openxmlformats.org/officeDocument/2006/relationships/hyperlink" Target="vSaleOrder.aspx%3fID=314895" TargetMode="External"/><Relationship Id="rId189" Type="http://schemas.openxmlformats.org/officeDocument/2006/relationships/hyperlink" Target="vSaleOrder.aspx%3fID=282909" TargetMode="External"/><Relationship Id="rId3" Type="http://schemas.openxmlformats.org/officeDocument/2006/relationships/hyperlink" Target="vSaleOrder.aspx%3fID=" TargetMode="External"/><Relationship Id="rId214" Type="http://schemas.openxmlformats.org/officeDocument/2006/relationships/hyperlink" Target="vSaleOrder.aspx%3fID=205845" TargetMode="External"/><Relationship Id="rId235" Type="http://schemas.openxmlformats.org/officeDocument/2006/relationships/hyperlink" Target="vSaleOrder.aspx%3fID=313973" TargetMode="External"/><Relationship Id="rId256" Type="http://schemas.openxmlformats.org/officeDocument/2006/relationships/hyperlink" Target="vSaleOrder.aspx%3fID=" TargetMode="External"/><Relationship Id="rId277" Type="http://schemas.openxmlformats.org/officeDocument/2006/relationships/hyperlink" Target="vSaleOrder.aspx%3fID=289642" TargetMode="External"/><Relationship Id="rId298" Type="http://schemas.openxmlformats.org/officeDocument/2006/relationships/hyperlink" Target="vSaleOrder.aspx%3fID=313895" TargetMode="External"/><Relationship Id="rId116" Type="http://schemas.openxmlformats.org/officeDocument/2006/relationships/hyperlink" Target="vSaleOrder.aspx%3fID=290707" TargetMode="External"/><Relationship Id="rId137" Type="http://schemas.openxmlformats.org/officeDocument/2006/relationships/hyperlink" Target="vSaleOrder.aspx%3fID=314044" TargetMode="External"/><Relationship Id="rId158" Type="http://schemas.openxmlformats.org/officeDocument/2006/relationships/hyperlink" Target="vSaleOrder.aspx%3fID=298216" TargetMode="External"/><Relationship Id="rId302" Type="http://schemas.openxmlformats.org/officeDocument/2006/relationships/hyperlink" Target="vSaleOrder.aspx%3fID=240704" TargetMode="External"/><Relationship Id="rId323" Type="http://schemas.openxmlformats.org/officeDocument/2006/relationships/hyperlink" Target="vSaleOrder.aspx%3fID=289980" TargetMode="External"/><Relationship Id="rId344" Type="http://schemas.openxmlformats.org/officeDocument/2006/relationships/hyperlink" Target="vSaleOrder.aspx%3fID=313891" TargetMode="External"/><Relationship Id="rId20" Type="http://schemas.openxmlformats.org/officeDocument/2006/relationships/hyperlink" Target="vSaleOrder.aspx%3fID=268745" TargetMode="External"/><Relationship Id="rId41" Type="http://schemas.openxmlformats.org/officeDocument/2006/relationships/hyperlink" Target="vSaleOrder.aspx%3fID=314271" TargetMode="External"/><Relationship Id="rId62" Type="http://schemas.openxmlformats.org/officeDocument/2006/relationships/hyperlink" Target="vSaleOrder.aspx%3fID=315630" TargetMode="External"/><Relationship Id="rId83" Type="http://schemas.openxmlformats.org/officeDocument/2006/relationships/hyperlink" Target="vSaleOrder.aspx%3fID=314891" TargetMode="External"/><Relationship Id="rId179" Type="http://schemas.openxmlformats.org/officeDocument/2006/relationships/hyperlink" Target="vSaleOrder.aspx%3fID=316922" TargetMode="External"/><Relationship Id="rId365" Type="http://schemas.openxmlformats.org/officeDocument/2006/relationships/hyperlink" Target="vSaleOrder.aspx%3fID=" TargetMode="External"/><Relationship Id="rId190" Type="http://schemas.openxmlformats.org/officeDocument/2006/relationships/hyperlink" Target="vSaleOrder.aspx%3fID=282909" TargetMode="External"/><Relationship Id="rId204" Type="http://schemas.openxmlformats.org/officeDocument/2006/relationships/hyperlink" Target="vSaleOrder.aspx%3fID=205842" TargetMode="External"/><Relationship Id="rId225" Type="http://schemas.openxmlformats.org/officeDocument/2006/relationships/hyperlink" Target="vSaleOrder.aspx%3fID=" TargetMode="External"/><Relationship Id="rId246" Type="http://schemas.openxmlformats.org/officeDocument/2006/relationships/hyperlink" Target="vSaleOrder.aspx%3fID=288930" TargetMode="External"/><Relationship Id="rId267" Type="http://schemas.openxmlformats.org/officeDocument/2006/relationships/hyperlink" Target="vSaleOrder.aspx%3fID=" TargetMode="External"/><Relationship Id="rId288" Type="http://schemas.openxmlformats.org/officeDocument/2006/relationships/hyperlink" Target="vSaleOrder.aspx%3fID=314239" TargetMode="External"/><Relationship Id="rId106" Type="http://schemas.openxmlformats.org/officeDocument/2006/relationships/hyperlink" Target="vSaleOrder.aspx%3fID=314002" TargetMode="External"/><Relationship Id="rId127" Type="http://schemas.openxmlformats.org/officeDocument/2006/relationships/hyperlink" Target="vSaleOrder.aspx%3fID=295775" TargetMode="External"/><Relationship Id="rId313" Type="http://schemas.openxmlformats.org/officeDocument/2006/relationships/hyperlink" Target="vSaleOrder.aspx%3fID=274489" TargetMode="External"/><Relationship Id="rId10" Type="http://schemas.openxmlformats.org/officeDocument/2006/relationships/hyperlink" Target="vSaleOrder.aspx%3fID=288401" TargetMode="External"/><Relationship Id="rId31" Type="http://schemas.openxmlformats.org/officeDocument/2006/relationships/hyperlink" Target="vSaleOrder.aspx%3fID=277336" TargetMode="External"/><Relationship Id="rId52" Type="http://schemas.openxmlformats.org/officeDocument/2006/relationships/hyperlink" Target="vSaleOrder.aspx%3fID=277126" TargetMode="External"/><Relationship Id="rId73" Type="http://schemas.openxmlformats.org/officeDocument/2006/relationships/hyperlink" Target="vSaleOrder.aspx%3fID=287425" TargetMode="External"/><Relationship Id="rId94" Type="http://schemas.openxmlformats.org/officeDocument/2006/relationships/hyperlink" Target="vSaleOrder.aspx%3fID=196480" TargetMode="External"/><Relationship Id="rId148" Type="http://schemas.openxmlformats.org/officeDocument/2006/relationships/hyperlink" Target="vSaleOrder.aspx%3fID=257823" TargetMode="External"/><Relationship Id="rId169" Type="http://schemas.openxmlformats.org/officeDocument/2006/relationships/hyperlink" Target="vSaleOrder.aspx%3fID=254421" TargetMode="External"/><Relationship Id="rId334" Type="http://schemas.openxmlformats.org/officeDocument/2006/relationships/hyperlink" Target="vSaleOrder.aspx%3fID=314295" TargetMode="External"/><Relationship Id="rId355" Type="http://schemas.openxmlformats.org/officeDocument/2006/relationships/hyperlink" Target="vSaleOrder.aspx%3fID=266394" TargetMode="External"/><Relationship Id="rId4" Type="http://schemas.openxmlformats.org/officeDocument/2006/relationships/hyperlink" Target="vSaleOrder.aspx%3fID=319605" TargetMode="External"/><Relationship Id="rId180" Type="http://schemas.openxmlformats.org/officeDocument/2006/relationships/hyperlink" Target="vSaleOrder.aspx%3fID=246931" TargetMode="External"/><Relationship Id="rId215" Type="http://schemas.openxmlformats.org/officeDocument/2006/relationships/hyperlink" Target="vSaleOrder.aspx%3fID=205843" TargetMode="External"/><Relationship Id="rId236" Type="http://schemas.openxmlformats.org/officeDocument/2006/relationships/hyperlink" Target="vSaleOrder.aspx%3fID=317663" TargetMode="External"/><Relationship Id="rId257" Type="http://schemas.openxmlformats.org/officeDocument/2006/relationships/hyperlink" Target="vSaleOrder.aspx%3fID=314281" TargetMode="External"/><Relationship Id="rId278" Type="http://schemas.openxmlformats.org/officeDocument/2006/relationships/hyperlink" Target="vSaleOrder.aspx%3fID=314882" TargetMode="External"/><Relationship Id="rId303" Type="http://schemas.openxmlformats.org/officeDocument/2006/relationships/hyperlink" Target="vSaleOrder.aspx%3fID=255653" TargetMode="External"/><Relationship Id="rId42" Type="http://schemas.openxmlformats.org/officeDocument/2006/relationships/hyperlink" Target="vSaleOrder.aspx%3fID=288348" TargetMode="External"/><Relationship Id="rId84" Type="http://schemas.openxmlformats.org/officeDocument/2006/relationships/hyperlink" Target="vSaleOrder.aspx%3fID=313885" TargetMode="External"/><Relationship Id="rId138" Type="http://schemas.openxmlformats.org/officeDocument/2006/relationships/hyperlink" Target="vSaleOrder.aspx%3fID=276731" TargetMode="External"/><Relationship Id="rId345" Type="http://schemas.openxmlformats.org/officeDocument/2006/relationships/hyperlink" Target="vSaleOrder.aspx%3fID=296681" TargetMode="External"/><Relationship Id="rId191" Type="http://schemas.openxmlformats.org/officeDocument/2006/relationships/hyperlink" Target="vSaleOrder.aspx%3fID=" TargetMode="External"/><Relationship Id="rId205" Type="http://schemas.openxmlformats.org/officeDocument/2006/relationships/hyperlink" Target="vSaleOrder.aspx%3fID=205847" TargetMode="External"/><Relationship Id="rId247" Type="http://schemas.openxmlformats.org/officeDocument/2006/relationships/hyperlink" Target="vSaleOrder.aspx%3fID=288930" TargetMode="External"/><Relationship Id="rId107" Type="http://schemas.openxmlformats.org/officeDocument/2006/relationships/hyperlink" Target="vSaleOrder.aspx%3fID=308189" TargetMode="External"/><Relationship Id="rId289" Type="http://schemas.openxmlformats.org/officeDocument/2006/relationships/hyperlink" Target="vSaleOrder.aspx%3fID=314297" TargetMode="External"/><Relationship Id="rId11" Type="http://schemas.openxmlformats.org/officeDocument/2006/relationships/hyperlink" Target="vSaleOrder.aspx%3fID=307004" TargetMode="External"/><Relationship Id="rId53" Type="http://schemas.openxmlformats.org/officeDocument/2006/relationships/hyperlink" Target="vSaleOrder.aspx%3fID=279701" TargetMode="External"/><Relationship Id="rId149" Type="http://schemas.openxmlformats.org/officeDocument/2006/relationships/hyperlink" Target="vSaleOrder.aspx%3fID=302795" TargetMode="External"/><Relationship Id="rId314" Type="http://schemas.openxmlformats.org/officeDocument/2006/relationships/hyperlink" Target="vSaleOrder.aspx%3fID=287201" TargetMode="External"/><Relationship Id="rId356" Type="http://schemas.openxmlformats.org/officeDocument/2006/relationships/hyperlink" Target="vSaleOrder.aspx%3fID=" TargetMode="External"/><Relationship Id="rId95" Type="http://schemas.openxmlformats.org/officeDocument/2006/relationships/hyperlink" Target="vSaleOrder.aspx%3fID=" TargetMode="External"/><Relationship Id="rId160" Type="http://schemas.openxmlformats.org/officeDocument/2006/relationships/hyperlink" Target="vSaleOrder.aspx%3fID=318021" TargetMode="External"/><Relationship Id="rId216" Type="http://schemas.openxmlformats.org/officeDocument/2006/relationships/hyperlink" Target="vSaleOrder.aspx%3fID=308809" TargetMode="External"/><Relationship Id="rId258" Type="http://schemas.openxmlformats.org/officeDocument/2006/relationships/hyperlink" Target="vSaleOrder.aspx%3fID=" TargetMode="External"/><Relationship Id="rId22" Type="http://schemas.openxmlformats.org/officeDocument/2006/relationships/hyperlink" Target="vSaleOrder.aspx%3fID=" TargetMode="External"/><Relationship Id="rId64" Type="http://schemas.openxmlformats.org/officeDocument/2006/relationships/hyperlink" Target="vSaleOrder.aspx%3fID=314276" TargetMode="External"/><Relationship Id="rId118" Type="http://schemas.openxmlformats.org/officeDocument/2006/relationships/hyperlink" Target="vSaleOrder.aspx%3fID=299345" TargetMode="External"/><Relationship Id="rId325" Type="http://schemas.openxmlformats.org/officeDocument/2006/relationships/hyperlink" Target="vSaleOrder.aspx%3fID=250843" TargetMode="External"/><Relationship Id="rId367" Type="http://schemas.openxmlformats.org/officeDocument/2006/relationships/hyperlink" Target="vSaleOrder.aspx%3fID=260253" TargetMode="External"/><Relationship Id="rId171" Type="http://schemas.openxmlformats.org/officeDocument/2006/relationships/hyperlink" Target="vSaleOrder.aspx%3fID=254420" TargetMode="External"/><Relationship Id="rId227" Type="http://schemas.openxmlformats.org/officeDocument/2006/relationships/hyperlink" Target="vSaleOrder.aspx%3fID=315638" TargetMode="External"/><Relationship Id="rId269" Type="http://schemas.openxmlformats.org/officeDocument/2006/relationships/hyperlink" Target="vSaleOrder.aspx%3fID=273766" TargetMode="External"/><Relationship Id="rId33" Type="http://schemas.openxmlformats.org/officeDocument/2006/relationships/hyperlink" Target="vSaleOrder.aspx%3fID=318128" TargetMode="External"/><Relationship Id="rId129" Type="http://schemas.openxmlformats.org/officeDocument/2006/relationships/hyperlink" Target="vSaleOrder.aspx%3fID=249454" TargetMode="External"/><Relationship Id="rId280" Type="http://schemas.openxmlformats.org/officeDocument/2006/relationships/hyperlink" Target="vSaleOrder.aspx%3fID=314304" TargetMode="External"/><Relationship Id="rId336" Type="http://schemas.openxmlformats.org/officeDocument/2006/relationships/hyperlink" Target="vSaleOrder.aspx%3fID=313890" TargetMode="External"/><Relationship Id="rId75" Type="http://schemas.openxmlformats.org/officeDocument/2006/relationships/hyperlink" Target="vSaleOrder.aspx%3fID=296643" TargetMode="External"/><Relationship Id="rId140" Type="http://schemas.openxmlformats.org/officeDocument/2006/relationships/hyperlink" Target="vSaleOrder.aspx%3fID=261271" TargetMode="External"/><Relationship Id="rId182" Type="http://schemas.openxmlformats.org/officeDocument/2006/relationships/hyperlink" Target="vSaleOrder.aspx%3fID=260873" TargetMode="External"/><Relationship Id="rId6" Type="http://schemas.openxmlformats.org/officeDocument/2006/relationships/hyperlink" Target="vSaleOrder.aspx%3fID=319293" TargetMode="External"/><Relationship Id="rId238" Type="http://schemas.openxmlformats.org/officeDocument/2006/relationships/hyperlink" Target="vSaleOrder.aspx%3fID=" TargetMode="External"/><Relationship Id="rId291" Type="http://schemas.openxmlformats.org/officeDocument/2006/relationships/hyperlink" Target="vSaleOrder.aspx%3fID=305972" TargetMode="External"/><Relationship Id="rId305" Type="http://schemas.openxmlformats.org/officeDocument/2006/relationships/hyperlink" Target="vSaleOrder.aspx%3fID=314277" TargetMode="External"/><Relationship Id="rId347" Type="http://schemas.openxmlformats.org/officeDocument/2006/relationships/hyperlink" Target="vSaleOrder.aspx%3fID=" TargetMode="External"/><Relationship Id="rId44" Type="http://schemas.openxmlformats.org/officeDocument/2006/relationships/hyperlink" Target="vSaleOrder.aspx%3fID=266371" TargetMode="External"/><Relationship Id="rId86" Type="http://schemas.openxmlformats.org/officeDocument/2006/relationships/hyperlink" Target="vSaleOrder.aspx%3fID=317670" TargetMode="External"/><Relationship Id="rId151" Type="http://schemas.openxmlformats.org/officeDocument/2006/relationships/hyperlink" Target="vSaleOrder.aspx%3fID=318132" TargetMode="External"/><Relationship Id="rId193" Type="http://schemas.openxmlformats.org/officeDocument/2006/relationships/hyperlink" Target="vSaleOrder.aspx%3fID=219578" TargetMode="External"/><Relationship Id="rId207" Type="http://schemas.openxmlformats.org/officeDocument/2006/relationships/hyperlink" Target="vSaleOrder.aspx%3fID=205847" TargetMode="External"/><Relationship Id="rId249" Type="http://schemas.openxmlformats.org/officeDocument/2006/relationships/hyperlink" Target="vSaleOrder.aspx%3fID=318252" TargetMode="External"/><Relationship Id="rId13" Type="http://schemas.openxmlformats.org/officeDocument/2006/relationships/hyperlink" Target="vSaleOrder.aspx%3fID=307596" TargetMode="External"/><Relationship Id="rId109" Type="http://schemas.openxmlformats.org/officeDocument/2006/relationships/hyperlink" Target="vSaleOrder.aspx%3fID=242401" TargetMode="External"/><Relationship Id="rId260" Type="http://schemas.openxmlformats.org/officeDocument/2006/relationships/hyperlink" Target="vSaleOrder.aspx%3fID=283420" TargetMode="External"/><Relationship Id="rId316" Type="http://schemas.openxmlformats.org/officeDocument/2006/relationships/hyperlink" Target="vSaleOrder.aspx%3fID=247506" TargetMode="External"/><Relationship Id="rId55" Type="http://schemas.openxmlformats.org/officeDocument/2006/relationships/hyperlink" Target="vSaleOrder.aspx%3fID=316920" TargetMode="External"/><Relationship Id="rId97" Type="http://schemas.openxmlformats.org/officeDocument/2006/relationships/hyperlink" Target="vSaleOrder.aspx%3fID=196481" TargetMode="External"/><Relationship Id="rId120" Type="http://schemas.openxmlformats.org/officeDocument/2006/relationships/hyperlink" Target="vSaleOrder.aspx%3fID=304486" TargetMode="External"/><Relationship Id="rId358" Type="http://schemas.openxmlformats.org/officeDocument/2006/relationships/hyperlink" Target="vSaleOrder.aspx%3fID=305906" TargetMode="External"/><Relationship Id="rId162" Type="http://schemas.openxmlformats.org/officeDocument/2006/relationships/hyperlink" Target="vSaleOrder.aspx%3fID=258619" TargetMode="External"/><Relationship Id="rId218" Type="http://schemas.openxmlformats.org/officeDocument/2006/relationships/hyperlink" Target="vSaleOrder.aspx%3fID=" TargetMode="External"/><Relationship Id="rId271" Type="http://schemas.openxmlformats.org/officeDocument/2006/relationships/hyperlink" Target="vSaleOrder.aspx%3fID=316706" TargetMode="External"/><Relationship Id="rId24" Type="http://schemas.openxmlformats.org/officeDocument/2006/relationships/hyperlink" Target="vSaleOrder.aspx%3fID=288448" TargetMode="External"/><Relationship Id="rId66" Type="http://schemas.openxmlformats.org/officeDocument/2006/relationships/hyperlink" Target="vSaleOrder.aspx%3fID=272472" TargetMode="External"/><Relationship Id="rId131" Type="http://schemas.openxmlformats.org/officeDocument/2006/relationships/hyperlink" Target="vSaleOrder.aspx%3fID=" TargetMode="External"/><Relationship Id="rId327" Type="http://schemas.openxmlformats.org/officeDocument/2006/relationships/hyperlink" Target="vSaleOrder.aspx%3fID=215256" TargetMode="External"/><Relationship Id="rId369" Type="http://schemas.openxmlformats.org/officeDocument/2006/relationships/hyperlink" Target="vSaleOrder.aspx%3fID=318248" TargetMode="External"/><Relationship Id="rId173" Type="http://schemas.openxmlformats.org/officeDocument/2006/relationships/hyperlink" Target="vSaleOrder.aspx%3fID=254435" TargetMode="External"/><Relationship Id="rId229" Type="http://schemas.openxmlformats.org/officeDocument/2006/relationships/hyperlink" Target="vSaleOrder.aspx%3fID=295155" TargetMode="External"/><Relationship Id="rId240" Type="http://schemas.openxmlformats.org/officeDocument/2006/relationships/hyperlink" Target="vSaleOrder.aspx%3fID=314854" TargetMode="External"/><Relationship Id="rId35" Type="http://schemas.openxmlformats.org/officeDocument/2006/relationships/hyperlink" Target="vSaleOrder.aspx%3fID=295777" TargetMode="External"/><Relationship Id="rId77" Type="http://schemas.openxmlformats.org/officeDocument/2006/relationships/hyperlink" Target="vSaleOrder.aspx%3fID=318124" TargetMode="External"/><Relationship Id="rId100" Type="http://schemas.openxmlformats.org/officeDocument/2006/relationships/hyperlink" Target="vSaleOrder.aspx%3fID=315641" TargetMode="External"/><Relationship Id="rId282" Type="http://schemas.openxmlformats.org/officeDocument/2006/relationships/hyperlink" Target="vSaleOrder.aspx%3fID=315647" TargetMode="External"/><Relationship Id="rId338" Type="http://schemas.openxmlformats.org/officeDocument/2006/relationships/hyperlink" Target="vSaleOrder.aspx%3fID=304152" TargetMode="External"/><Relationship Id="rId8" Type="http://schemas.openxmlformats.org/officeDocument/2006/relationships/hyperlink" Target="vSaleOrder.aspx%3fID=292661" TargetMode="External"/><Relationship Id="rId142" Type="http://schemas.openxmlformats.org/officeDocument/2006/relationships/hyperlink" Target="vSaleOrder.aspx%3fID=295306" TargetMode="External"/><Relationship Id="rId184" Type="http://schemas.openxmlformats.org/officeDocument/2006/relationships/hyperlink" Target="vSaleOrder.aspx%3fID=297692" TargetMode="External"/><Relationship Id="rId251" Type="http://schemas.openxmlformats.org/officeDocument/2006/relationships/hyperlink" Target="vSaleOrder.aspx%3fID=313889" TargetMode="External"/><Relationship Id="rId46" Type="http://schemas.openxmlformats.org/officeDocument/2006/relationships/hyperlink" Target="vSaleOrder.aspx%3fID=" TargetMode="External"/><Relationship Id="rId293" Type="http://schemas.openxmlformats.org/officeDocument/2006/relationships/hyperlink" Target="vSaleOrder.aspx%3fID=314278" TargetMode="External"/><Relationship Id="rId307" Type="http://schemas.openxmlformats.org/officeDocument/2006/relationships/hyperlink" Target="vSaleOrder.aspx%3fID=319943" TargetMode="External"/><Relationship Id="rId349" Type="http://schemas.openxmlformats.org/officeDocument/2006/relationships/hyperlink" Target="vSaleOrder.aspx%3fID=235969" TargetMode="External"/><Relationship Id="rId88" Type="http://schemas.openxmlformats.org/officeDocument/2006/relationships/hyperlink" Target="vSaleOrder.aspx%3fID=300934" TargetMode="External"/><Relationship Id="rId111" Type="http://schemas.openxmlformats.org/officeDocument/2006/relationships/hyperlink" Target="vSaleOrder.aspx%3fID=242403" TargetMode="External"/><Relationship Id="rId153" Type="http://schemas.openxmlformats.org/officeDocument/2006/relationships/hyperlink" Target="vSaleOrder.aspx%3fID=" TargetMode="External"/><Relationship Id="rId195" Type="http://schemas.openxmlformats.org/officeDocument/2006/relationships/hyperlink" Target="vSaleOrder.aspx%3fID=239867" TargetMode="External"/><Relationship Id="rId209" Type="http://schemas.openxmlformats.org/officeDocument/2006/relationships/hyperlink" Target="vSaleOrder.aspx%3fID=205844" TargetMode="External"/><Relationship Id="rId360" Type="http://schemas.openxmlformats.org/officeDocument/2006/relationships/hyperlink" Target="vSaleOrder.aspx%3fID=283738" TargetMode="External"/><Relationship Id="rId220" Type="http://schemas.openxmlformats.org/officeDocument/2006/relationships/hyperlink" Target="vSaleOrder.aspx%3fID=270064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vSaleOrder.aspx%3fID=315642" TargetMode="External"/><Relationship Id="rId13" Type="http://schemas.openxmlformats.org/officeDocument/2006/relationships/hyperlink" Target="vSaleOrder.aspx%3fID=313893" TargetMode="External"/><Relationship Id="rId3" Type="http://schemas.openxmlformats.org/officeDocument/2006/relationships/hyperlink" Target="vSaleOrder.aspx%3fID=282797" TargetMode="External"/><Relationship Id="rId7" Type="http://schemas.openxmlformats.org/officeDocument/2006/relationships/hyperlink" Target="vSaleOrder.aspx%3fID=316163" TargetMode="External"/><Relationship Id="rId12" Type="http://schemas.openxmlformats.org/officeDocument/2006/relationships/hyperlink" Target="vSaleOrder.aspx%3fID=" TargetMode="External"/><Relationship Id="rId2" Type="http://schemas.openxmlformats.org/officeDocument/2006/relationships/hyperlink" Target="vSaleOrder.aspx%3fID=282797" TargetMode="External"/><Relationship Id="rId1" Type="http://schemas.openxmlformats.org/officeDocument/2006/relationships/hyperlink" Target="vSaleOrder.aspx%3fID=285102" TargetMode="External"/><Relationship Id="rId6" Type="http://schemas.openxmlformats.org/officeDocument/2006/relationships/hyperlink" Target="vSaleOrder.aspx%3fID=314050" TargetMode="External"/><Relationship Id="rId11" Type="http://schemas.openxmlformats.org/officeDocument/2006/relationships/hyperlink" Target="vSaleOrder.aspx%3fID=307409" TargetMode="External"/><Relationship Id="rId5" Type="http://schemas.openxmlformats.org/officeDocument/2006/relationships/hyperlink" Target="vSaleOrder.aspx%3fID=314012" TargetMode="External"/><Relationship Id="rId10" Type="http://schemas.openxmlformats.org/officeDocument/2006/relationships/hyperlink" Target="vSaleOrder.aspx%3fID=314306" TargetMode="External"/><Relationship Id="rId4" Type="http://schemas.openxmlformats.org/officeDocument/2006/relationships/hyperlink" Target="vSaleOrder.aspx%3fID=314305" TargetMode="External"/><Relationship Id="rId9" Type="http://schemas.openxmlformats.org/officeDocument/2006/relationships/hyperlink" Target="vSaleOrder.aspx%3fID=318022" TargetMode="External"/><Relationship Id="rId14" Type="http://schemas.openxmlformats.org/officeDocument/2006/relationships/hyperlink" Target="vSaleOrder.aspx%3fID=318276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vSaleOrder.aspx%3fID=300910" TargetMode="External"/><Relationship Id="rId2" Type="http://schemas.openxmlformats.org/officeDocument/2006/relationships/hyperlink" Target="vSaleOrder.aspx%3fID=266373" TargetMode="External"/><Relationship Id="rId1" Type="http://schemas.openxmlformats.org/officeDocument/2006/relationships/hyperlink" Target="vSaleOrder.aspx%3fID=2954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6420-2EE4-42CD-ADEE-747A1B161533}">
  <dimension ref="A1:O771"/>
  <sheetViews>
    <sheetView topLeftCell="F38" workbookViewId="0">
      <selection activeCell="A52" sqref="A52:XFD52"/>
    </sheetView>
  </sheetViews>
  <sheetFormatPr defaultRowHeight="14.5" x14ac:dyDescent="0.35"/>
  <cols>
    <col min="1" max="1" width="21.6328125" style="2" bestFit="1" customWidth="1"/>
    <col min="2" max="6" width="8.7265625" style="2"/>
    <col min="7" max="7" width="6.26953125" style="2" customWidth="1"/>
    <col min="8" max="9" width="42.453125" style="2" customWidth="1"/>
    <col min="10" max="10" width="11.54296875" style="2" customWidth="1"/>
    <col min="11" max="12" width="15.26953125" style="2" customWidth="1"/>
    <col min="13" max="13" width="18.1796875" style="2" customWidth="1"/>
    <col min="14" max="14" width="35.7265625" style="2" customWidth="1"/>
    <col min="15" max="15" width="43" style="2" customWidth="1"/>
    <col min="16" max="16384" width="8.7265625" style="2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>
        <v>1</v>
      </c>
      <c r="C2" s="2" t="s">
        <v>16</v>
      </c>
      <c r="D2" s="2">
        <v>968</v>
      </c>
      <c r="E2" s="2">
        <v>20020</v>
      </c>
      <c r="G2" s="2">
        <v>314</v>
      </c>
      <c r="H2" s="2" t="s">
        <v>17</v>
      </c>
      <c r="I2" s="2">
        <f>VLOOKUP(H2,[1]Customers!$A:$B,2,FALSE)</f>
        <v>1721</v>
      </c>
      <c r="J2" s="2">
        <v>45791</v>
      </c>
      <c r="K2" s="2" t="s">
        <v>18</v>
      </c>
      <c r="M2" s="2">
        <v>222392.98</v>
      </c>
      <c r="N2" s="3" t="s">
        <v>19</v>
      </c>
      <c r="O2" s="3"/>
    </row>
    <row r="3" spans="1:15" x14ac:dyDescent="0.35">
      <c r="A3" s="2" t="s">
        <v>15</v>
      </c>
      <c r="B3" s="2">
        <v>1.5</v>
      </c>
      <c r="C3" s="2" t="s">
        <v>20</v>
      </c>
      <c r="D3" s="2">
        <v>616</v>
      </c>
      <c r="E3" s="2">
        <v>20020</v>
      </c>
      <c r="F3" s="2">
        <v>616</v>
      </c>
      <c r="G3" s="2">
        <v>314</v>
      </c>
      <c r="H3" s="2" t="s">
        <v>17</v>
      </c>
      <c r="I3" s="2">
        <f>VLOOKUP(H3,[1]Customers!$A:$B,2,FALSE)</f>
        <v>1721</v>
      </c>
      <c r="J3" s="2">
        <v>45791</v>
      </c>
      <c r="K3" s="2" t="s">
        <v>18</v>
      </c>
      <c r="L3" s="2">
        <v>222392.98</v>
      </c>
      <c r="N3" s="3" t="s">
        <v>19</v>
      </c>
    </row>
    <row r="4" spans="1:15" x14ac:dyDescent="0.35">
      <c r="A4" s="2" t="s">
        <v>21</v>
      </c>
      <c r="B4" s="2">
        <v>2</v>
      </c>
      <c r="C4" s="2" t="s">
        <v>16</v>
      </c>
      <c r="D4" s="2">
        <v>968</v>
      </c>
      <c r="E4" s="2">
        <v>20020</v>
      </c>
      <c r="G4" s="2">
        <v>435</v>
      </c>
      <c r="H4" s="2" t="s">
        <v>17</v>
      </c>
      <c r="I4" s="2">
        <f>VLOOKUP(H4,[1]Customers!$A:$B,2,FALSE)</f>
        <v>1721</v>
      </c>
      <c r="J4" s="2">
        <v>45670</v>
      </c>
      <c r="K4" s="2" t="s">
        <v>22</v>
      </c>
      <c r="M4" s="2">
        <v>230660.8</v>
      </c>
      <c r="N4" s="3" t="s">
        <v>19</v>
      </c>
    </row>
    <row r="5" spans="1:15" x14ac:dyDescent="0.35">
      <c r="A5" s="2" t="s">
        <v>21</v>
      </c>
      <c r="B5" s="2">
        <v>2.5</v>
      </c>
      <c r="C5" s="2" t="s">
        <v>20</v>
      </c>
      <c r="D5" s="2">
        <v>616</v>
      </c>
      <c r="E5" s="2">
        <v>20020</v>
      </c>
      <c r="F5" s="2">
        <v>616</v>
      </c>
      <c r="G5" s="2">
        <v>435</v>
      </c>
      <c r="H5" s="2" t="s">
        <v>17</v>
      </c>
      <c r="I5" s="2">
        <f>VLOOKUP(H5,[1]Customers!$A:$B,2,FALSE)</f>
        <v>1721</v>
      </c>
      <c r="J5" s="2">
        <v>45670</v>
      </c>
      <c r="K5" s="2" t="s">
        <v>22</v>
      </c>
      <c r="L5" s="2">
        <v>230660.8</v>
      </c>
      <c r="N5" s="3" t="s">
        <v>19</v>
      </c>
    </row>
    <row r="6" spans="1:15" ht="15" customHeight="1" x14ac:dyDescent="0.35">
      <c r="A6" s="2" t="s">
        <v>23</v>
      </c>
      <c r="B6" s="2">
        <v>3</v>
      </c>
      <c r="C6" s="2" t="s">
        <v>16</v>
      </c>
      <c r="D6" s="2">
        <v>968</v>
      </c>
      <c r="E6" s="2">
        <v>20020</v>
      </c>
      <c r="G6" s="2">
        <v>398</v>
      </c>
      <c r="H6" s="2" t="s">
        <v>24</v>
      </c>
      <c r="I6" s="2">
        <f>VLOOKUP(H6,[1]Customers!$A:$B,2,FALSE)</f>
        <v>3309</v>
      </c>
      <c r="J6" s="2">
        <v>45707</v>
      </c>
      <c r="K6" s="2" t="s">
        <v>25</v>
      </c>
      <c r="M6" s="2">
        <v>3661.7</v>
      </c>
      <c r="N6" s="3" t="s">
        <v>19</v>
      </c>
    </row>
    <row r="7" spans="1:15" x14ac:dyDescent="0.35">
      <c r="A7" s="2" t="s">
        <v>23</v>
      </c>
      <c r="B7" s="2">
        <v>3.5</v>
      </c>
      <c r="C7" s="2" t="s">
        <v>20</v>
      </c>
      <c r="D7" s="2">
        <v>616</v>
      </c>
      <c r="E7" s="2">
        <v>20020</v>
      </c>
      <c r="F7" s="2">
        <v>616</v>
      </c>
      <c r="G7" s="2">
        <v>398</v>
      </c>
      <c r="H7" s="2" t="s">
        <v>24</v>
      </c>
      <c r="I7" s="2">
        <f>VLOOKUP(H7,[1]Customers!$A:$B,2,FALSE)</f>
        <v>3309</v>
      </c>
      <c r="J7" s="2">
        <v>45707</v>
      </c>
      <c r="K7" s="2" t="s">
        <v>25</v>
      </c>
      <c r="L7" s="2">
        <v>3661.7</v>
      </c>
      <c r="N7" s="3" t="s">
        <v>19</v>
      </c>
    </row>
    <row r="8" spans="1:15" x14ac:dyDescent="0.35">
      <c r="A8" s="2" t="s">
        <v>26</v>
      </c>
      <c r="B8" s="2">
        <v>4</v>
      </c>
      <c r="C8" s="2" t="s">
        <v>16</v>
      </c>
      <c r="D8" s="2">
        <v>968</v>
      </c>
      <c r="E8" s="2">
        <v>20020</v>
      </c>
      <c r="G8" s="2">
        <v>372</v>
      </c>
      <c r="H8" s="2" t="s">
        <v>27</v>
      </c>
      <c r="I8" s="2">
        <f>VLOOKUP(H8,[1]Customers!$A:$B,2,FALSE)</f>
        <v>433</v>
      </c>
      <c r="J8" s="2">
        <v>45733</v>
      </c>
      <c r="K8" s="2" t="s">
        <v>28</v>
      </c>
      <c r="M8" s="2">
        <v>177.83</v>
      </c>
      <c r="N8" s="3" t="s">
        <v>19</v>
      </c>
    </row>
    <row r="9" spans="1:15" x14ac:dyDescent="0.35">
      <c r="A9" s="2" t="s">
        <v>26</v>
      </c>
      <c r="B9" s="2">
        <v>4.5</v>
      </c>
      <c r="C9" s="2" t="s">
        <v>20</v>
      </c>
      <c r="D9" s="2">
        <v>616</v>
      </c>
      <c r="E9" s="2">
        <v>20020</v>
      </c>
      <c r="F9" s="2">
        <v>616</v>
      </c>
      <c r="G9" s="2">
        <v>372</v>
      </c>
      <c r="H9" s="2" t="s">
        <v>27</v>
      </c>
      <c r="I9" s="2">
        <f>VLOOKUP(H9,[1]Customers!$A:$B,2,FALSE)</f>
        <v>433</v>
      </c>
      <c r="J9" s="2">
        <v>45733</v>
      </c>
      <c r="K9" s="2" t="s">
        <v>28</v>
      </c>
      <c r="L9" s="2">
        <v>177.83</v>
      </c>
      <c r="N9" s="3" t="s">
        <v>19</v>
      </c>
    </row>
    <row r="10" spans="1:15" x14ac:dyDescent="0.35">
      <c r="A10" s="2" t="s">
        <v>29</v>
      </c>
      <c r="B10" s="2">
        <v>5</v>
      </c>
      <c r="C10" s="2" t="s">
        <v>16</v>
      </c>
      <c r="D10" s="2">
        <v>968</v>
      </c>
      <c r="E10" s="2">
        <v>20020</v>
      </c>
      <c r="G10" s="2">
        <v>379</v>
      </c>
      <c r="H10" s="2" t="s">
        <v>30</v>
      </c>
      <c r="I10" s="2">
        <f>VLOOKUP(H10,[1]Customers!$A:$B,2,FALSE)</f>
        <v>2164</v>
      </c>
      <c r="J10" s="2">
        <v>45726</v>
      </c>
      <c r="K10" s="2" t="s">
        <v>31</v>
      </c>
      <c r="M10" s="2">
        <v>3243.16</v>
      </c>
      <c r="N10" s="3" t="s">
        <v>19</v>
      </c>
    </row>
    <row r="11" spans="1:15" x14ac:dyDescent="0.35">
      <c r="A11" s="2" t="s">
        <v>29</v>
      </c>
      <c r="B11" s="2">
        <v>5.5</v>
      </c>
      <c r="C11" s="2" t="s">
        <v>20</v>
      </c>
      <c r="D11" s="2">
        <v>616</v>
      </c>
      <c r="E11" s="2">
        <v>20020</v>
      </c>
      <c r="F11" s="2">
        <v>616</v>
      </c>
      <c r="G11" s="2">
        <v>379</v>
      </c>
      <c r="H11" s="2" t="s">
        <v>30</v>
      </c>
      <c r="I11" s="2">
        <f>VLOOKUP(H11,[1]Customers!$A:$B,2,FALSE)</f>
        <v>2164</v>
      </c>
      <c r="J11" s="2">
        <v>45726</v>
      </c>
      <c r="K11" s="2" t="s">
        <v>31</v>
      </c>
      <c r="L11" s="2">
        <v>3243.16</v>
      </c>
      <c r="N11" s="3" t="s">
        <v>19</v>
      </c>
    </row>
    <row r="12" spans="1:15" x14ac:dyDescent="0.35">
      <c r="A12" s="2" t="s">
        <v>32</v>
      </c>
      <c r="B12" s="2">
        <v>6</v>
      </c>
      <c r="C12" s="2" t="s">
        <v>16</v>
      </c>
      <c r="D12" s="2">
        <v>968</v>
      </c>
      <c r="E12" s="2">
        <v>20020</v>
      </c>
      <c r="G12" s="2">
        <v>278</v>
      </c>
      <c r="H12" s="2" t="s">
        <v>33</v>
      </c>
      <c r="I12" s="2">
        <f>VLOOKUP(H12,[1]Customers!$A:$B,2,FALSE)</f>
        <v>2380</v>
      </c>
      <c r="J12" s="2">
        <v>45827</v>
      </c>
      <c r="K12" s="2" t="s">
        <v>34</v>
      </c>
      <c r="M12" s="2">
        <v>21599.99</v>
      </c>
      <c r="N12" s="3" t="s">
        <v>19</v>
      </c>
    </row>
    <row r="13" spans="1:15" x14ac:dyDescent="0.35">
      <c r="A13" s="2" t="s">
        <v>32</v>
      </c>
      <c r="B13" s="2">
        <v>6.5</v>
      </c>
      <c r="C13" s="2" t="s">
        <v>20</v>
      </c>
      <c r="D13" s="2">
        <v>616</v>
      </c>
      <c r="E13" s="2">
        <v>20020</v>
      </c>
      <c r="F13" s="2">
        <v>616</v>
      </c>
      <c r="G13" s="2">
        <v>278</v>
      </c>
      <c r="H13" s="2" t="s">
        <v>33</v>
      </c>
      <c r="I13" s="2">
        <f>VLOOKUP(H13,[1]Customers!$A:$B,2,FALSE)</f>
        <v>2380</v>
      </c>
      <c r="J13" s="2">
        <v>45827</v>
      </c>
      <c r="K13" s="2" t="s">
        <v>34</v>
      </c>
      <c r="L13" s="2">
        <v>21599.99</v>
      </c>
      <c r="N13" s="3" t="s">
        <v>19</v>
      </c>
    </row>
    <row r="14" spans="1:15" x14ac:dyDescent="0.35">
      <c r="A14" s="2" t="s">
        <v>35</v>
      </c>
      <c r="B14" s="2">
        <v>7</v>
      </c>
      <c r="C14" s="2" t="s">
        <v>16</v>
      </c>
      <c r="D14" s="2">
        <v>968</v>
      </c>
      <c r="E14" s="2">
        <v>20020</v>
      </c>
      <c r="G14" s="2">
        <v>592</v>
      </c>
      <c r="H14" s="2" t="s">
        <v>36</v>
      </c>
      <c r="I14" s="2">
        <f>VLOOKUP(H14,[1]Customers!$A:$B,2,FALSE)</f>
        <v>2601</v>
      </c>
      <c r="J14" s="2">
        <v>45513</v>
      </c>
      <c r="K14" s="2" t="s">
        <v>37</v>
      </c>
      <c r="M14" s="2">
        <v>527.91999999999996</v>
      </c>
      <c r="N14" s="3" t="s">
        <v>19</v>
      </c>
    </row>
    <row r="15" spans="1:15" x14ac:dyDescent="0.35">
      <c r="A15" s="2" t="s">
        <v>35</v>
      </c>
      <c r="B15" s="2">
        <v>7.5</v>
      </c>
      <c r="C15" s="2" t="s">
        <v>20</v>
      </c>
      <c r="D15" s="2">
        <v>616</v>
      </c>
      <c r="E15" s="2">
        <v>20020</v>
      </c>
      <c r="F15" s="2">
        <v>616</v>
      </c>
      <c r="G15" s="2">
        <v>592</v>
      </c>
      <c r="H15" s="2" t="s">
        <v>36</v>
      </c>
      <c r="I15" s="2">
        <f>VLOOKUP(H15,[1]Customers!$A:$B,2,FALSE)</f>
        <v>2601</v>
      </c>
      <c r="J15" s="2">
        <v>45513</v>
      </c>
      <c r="K15" s="2" t="s">
        <v>37</v>
      </c>
      <c r="L15" s="2">
        <v>527.91999999999996</v>
      </c>
      <c r="N15" s="3" t="s">
        <v>19</v>
      </c>
    </row>
    <row r="16" spans="1:15" x14ac:dyDescent="0.35">
      <c r="A16" s="2" t="s">
        <v>38</v>
      </c>
      <c r="B16" s="2">
        <v>8</v>
      </c>
      <c r="C16" s="2" t="s">
        <v>16</v>
      </c>
      <c r="D16" s="2">
        <v>968</v>
      </c>
      <c r="E16" s="2">
        <v>20020</v>
      </c>
      <c r="G16" s="2">
        <v>606</v>
      </c>
      <c r="H16" s="2" t="s">
        <v>36</v>
      </c>
      <c r="I16" s="2">
        <f>VLOOKUP(H16,[1]Customers!$A:$B,2,FALSE)</f>
        <v>2601</v>
      </c>
      <c r="J16" s="2">
        <v>45499</v>
      </c>
      <c r="K16" s="2" t="s">
        <v>39</v>
      </c>
      <c r="M16" s="2">
        <v>1085.97</v>
      </c>
      <c r="N16" s="3" t="s">
        <v>19</v>
      </c>
    </row>
    <row r="17" spans="1:14" x14ac:dyDescent="0.35">
      <c r="A17" s="2" t="s">
        <v>38</v>
      </c>
      <c r="B17" s="2">
        <v>8.5</v>
      </c>
      <c r="C17" s="2" t="s">
        <v>20</v>
      </c>
      <c r="D17" s="2">
        <v>616</v>
      </c>
      <c r="E17" s="2">
        <v>20020</v>
      </c>
      <c r="F17" s="2">
        <v>616</v>
      </c>
      <c r="G17" s="2">
        <v>606</v>
      </c>
      <c r="H17" s="2" t="s">
        <v>36</v>
      </c>
      <c r="I17" s="2">
        <f>VLOOKUP(H17,[1]Customers!$A:$B,2,FALSE)</f>
        <v>2601</v>
      </c>
      <c r="J17" s="2">
        <v>45499</v>
      </c>
      <c r="K17" s="2" t="s">
        <v>39</v>
      </c>
      <c r="L17" s="2">
        <v>1085.97</v>
      </c>
      <c r="N17" s="3" t="s">
        <v>19</v>
      </c>
    </row>
    <row r="18" spans="1:14" x14ac:dyDescent="0.35">
      <c r="A18" s="2" t="s">
        <v>40</v>
      </c>
      <c r="B18" s="2">
        <v>9</v>
      </c>
      <c r="C18" s="2" t="s">
        <v>16</v>
      </c>
      <c r="D18" s="2">
        <v>968</v>
      </c>
      <c r="E18" s="2">
        <v>20020</v>
      </c>
      <c r="G18" s="2">
        <v>602</v>
      </c>
      <c r="H18" s="2" t="s">
        <v>36</v>
      </c>
      <c r="I18" s="2">
        <f>VLOOKUP(H18,[1]Customers!$A:$B,2,FALSE)</f>
        <v>2601</v>
      </c>
      <c r="J18" s="2">
        <v>45503</v>
      </c>
      <c r="K18" s="2" t="s">
        <v>39</v>
      </c>
      <c r="M18" s="2">
        <v>44.55</v>
      </c>
      <c r="N18" s="3" t="s">
        <v>19</v>
      </c>
    </row>
    <row r="19" spans="1:14" x14ac:dyDescent="0.35">
      <c r="A19" s="2" t="s">
        <v>40</v>
      </c>
      <c r="B19" s="2">
        <v>9.5</v>
      </c>
      <c r="C19" s="2" t="s">
        <v>20</v>
      </c>
      <c r="D19" s="2">
        <v>616</v>
      </c>
      <c r="E19" s="2">
        <v>20020</v>
      </c>
      <c r="F19" s="2">
        <v>616</v>
      </c>
      <c r="G19" s="2">
        <v>602</v>
      </c>
      <c r="H19" s="2" t="s">
        <v>36</v>
      </c>
      <c r="I19" s="2">
        <f>VLOOKUP(H19,[1]Customers!$A:$B,2,FALSE)</f>
        <v>2601</v>
      </c>
      <c r="J19" s="2">
        <v>45503</v>
      </c>
      <c r="K19" s="2" t="s">
        <v>39</v>
      </c>
      <c r="L19" s="2">
        <v>44.55</v>
      </c>
      <c r="N19" s="3" t="s">
        <v>19</v>
      </c>
    </row>
    <row r="20" spans="1:14" x14ac:dyDescent="0.35">
      <c r="A20" s="2" t="s">
        <v>41</v>
      </c>
      <c r="B20" s="2">
        <v>10</v>
      </c>
      <c r="C20" s="2" t="s">
        <v>16</v>
      </c>
      <c r="D20" s="2">
        <v>968</v>
      </c>
      <c r="E20" s="2">
        <v>20020</v>
      </c>
      <c r="G20" s="2">
        <v>286</v>
      </c>
      <c r="H20" s="2" t="s">
        <v>42</v>
      </c>
      <c r="I20" s="2">
        <f>VLOOKUP(H20,[1]Customers!$A:$B,2,FALSE)</f>
        <v>2566</v>
      </c>
      <c r="J20" s="2">
        <v>45819</v>
      </c>
      <c r="K20" s="2" t="s">
        <v>43</v>
      </c>
      <c r="M20" s="2">
        <v>4874.3999999999996</v>
      </c>
      <c r="N20" s="3" t="s">
        <v>19</v>
      </c>
    </row>
    <row r="21" spans="1:14" x14ac:dyDescent="0.35">
      <c r="A21" s="2" t="s">
        <v>41</v>
      </c>
      <c r="B21" s="2">
        <v>10.5</v>
      </c>
      <c r="C21" s="2" t="s">
        <v>20</v>
      </c>
      <c r="D21" s="2">
        <v>616</v>
      </c>
      <c r="E21" s="2">
        <v>20020</v>
      </c>
      <c r="F21" s="2">
        <v>616</v>
      </c>
      <c r="G21" s="2">
        <v>286</v>
      </c>
      <c r="H21" s="2" t="s">
        <v>42</v>
      </c>
      <c r="I21" s="2">
        <f>VLOOKUP(H21,[1]Customers!$A:$B,2,FALSE)</f>
        <v>2566</v>
      </c>
      <c r="J21" s="2">
        <v>45819</v>
      </c>
      <c r="K21" s="2" t="s">
        <v>43</v>
      </c>
      <c r="L21" s="2">
        <v>4874.3999999999996</v>
      </c>
      <c r="N21" s="3" t="s">
        <v>19</v>
      </c>
    </row>
    <row r="22" spans="1:14" x14ac:dyDescent="0.35">
      <c r="A22" s="2" t="s">
        <v>44</v>
      </c>
      <c r="B22" s="2">
        <v>11</v>
      </c>
      <c r="C22" s="2" t="s">
        <v>16</v>
      </c>
      <c r="D22" s="2">
        <v>968</v>
      </c>
      <c r="E22" s="2">
        <v>20020</v>
      </c>
      <c r="G22" s="2">
        <v>425</v>
      </c>
      <c r="H22" s="2" t="s">
        <v>45</v>
      </c>
      <c r="I22" s="2">
        <f>VLOOKUP(H22,[1]Customers!$A:$B,2,FALSE)</f>
        <v>3553</v>
      </c>
      <c r="J22" s="2">
        <v>45680</v>
      </c>
      <c r="K22" s="2" t="s">
        <v>46</v>
      </c>
      <c r="M22" s="2">
        <v>29496.35</v>
      </c>
      <c r="N22" s="3" t="s">
        <v>19</v>
      </c>
    </row>
    <row r="23" spans="1:14" x14ac:dyDescent="0.35">
      <c r="A23" s="2" t="s">
        <v>44</v>
      </c>
      <c r="B23" s="2">
        <v>11.5</v>
      </c>
      <c r="C23" s="2" t="s">
        <v>20</v>
      </c>
      <c r="D23" s="2">
        <v>616</v>
      </c>
      <c r="E23" s="2">
        <v>20020</v>
      </c>
      <c r="F23" s="2">
        <v>616</v>
      </c>
      <c r="G23" s="2">
        <v>425</v>
      </c>
      <c r="H23" s="2" t="s">
        <v>45</v>
      </c>
      <c r="I23" s="2">
        <f>VLOOKUP(H23,[1]Customers!$A:$B,2,FALSE)</f>
        <v>3553</v>
      </c>
      <c r="J23" s="2">
        <v>45680</v>
      </c>
      <c r="K23" s="2" t="s">
        <v>46</v>
      </c>
      <c r="L23" s="2">
        <v>29496.35</v>
      </c>
      <c r="N23" s="3" t="s">
        <v>19</v>
      </c>
    </row>
    <row r="24" spans="1:14" x14ac:dyDescent="0.35">
      <c r="A24" s="2" t="s">
        <v>47</v>
      </c>
      <c r="B24" s="2">
        <v>12</v>
      </c>
      <c r="C24" s="2" t="s">
        <v>16</v>
      </c>
      <c r="D24" s="2">
        <v>968</v>
      </c>
      <c r="E24" s="2">
        <v>20020</v>
      </c>
      <c r="G24" s="2">
        <v>315</v>
      </c>
      <c r="H24" s="2" t="s">
        <v>48</v>
      </c>
      <c r="I24" s="2">
        <f>VLOOKUP(H24,[1]Customers!$A:$B,2,FALSE)</f>
        <v>2386</v>
      </c>
      <c r="J24" s="2">
        <v>45790</v>
      </c>
      <c r="K24" s="2" t="s">
        <v>49</v>
      </c>
      <c r="M24" s="2">
        <v>821.88</v>
      </c>
      <c r="N24" s="3" t="s">
        <v>19</v>
      </c>
    </row>
    <row r="25" spans="1:14" x14ac:dyDescent="0.35">
      <c r="A25" s="2" t="s">
        <v>47</v>
      </c>
      <c r="B25" s="2">
        <v>12.5</v>
      </c>
      <c r="C25" s="2" t="s">
        <v>20</v>
      </c>
      <c r="D25" s="2">
        <v>616</v>
      </c>
      <c r="E25" s="2">
        <v>20020</v>
      </c>
      <c r="F25" s="2">
        <v>616</v>
      </c>
      <c r="G25" s="2">
        <v>315</v>
      </c>
      <c r="H25" s="2" t="s">
        <v>48</v>
      </c>
      <c r="I25" s="2">
        <f>VLOOKUP(H25,[1]Customers!$A:$B,2,FALSE)</f>
        <v>2386</v>
      </c>
      <c r="J25" s="2">
        <v>45790</v>
      </c>
      <c r="K25" s="2" t="s">
        <v>49</v>
      </c>
      <c r="L25" s="2">
        <v>821.88</v>
      </c>
      <c r="N25" s="3" t="s">
        <v>19</v>
      </c>
    </row>
    <row r="26" spans="1:14" x14ac:dyDescent="0.35">
      <c r="A26" s="2" t="s">
        <v>50</v>
      </c>
      <c r="B26" s="2">
        <v>13</v>
      </c>
      <c r="C26" s="2" t="s">
        <v>16</v>
      </c>
      <c r="D26" s="2">
        <v>968</v>
      </c>
      <c r="E26" s="2">
        <v>20020</v>
      </c>
      <c r="G26" s="2">
        <v>344</v>
      </c>
      <c r="H26" s="2" t="s">
        <v>48</v>
      </c>
      <c r="I26" s="2">
        <f>VLOOKUP(H26,[1]Customers!$A:$B,2,FALSE)</f>
        <v>2386</v>
      </c>
      <c r="J26" s="2">
        <v>45761</v>
      </c>
      <c r="K26" s="2" t="s">
        <v>51</v>
      </c>
      <c r="M26" s="2">
        <v>862.01</v>
      </c>
      <c r="N26" s="3" t="s">
        <v>19</v>
      </c>
    </row>
    <row r="27" spans="1:14" x14ac:dyDescent="0.35">
      <c r="A27" s="2" t="s">
        <v>50</v>
      </c>
      <c r="B27" s="2">
        <v>13.5</v>
      </c>
      <c r="C27" s="2" t="s">
        <v>20</v>
      </c>
      <c r="D27" s="2">
        <v>616</v>
      </c>
      <c r="E27" s="2">
        <v>20020</v>
      </c>
      <c r="F27" s="2">
        <v>616</v>
      </c>
      <c r="G27" s="2">
        <v>344</v>
      </c>
      <c r="H27" s="2" t="s">
        <v>48</v>
      </c>
      <c r="I27" s="2">
        <f>VLOOKUP(H27,[1]Customers!$A:$B,2,FALSE)</f>
        <v>2386</v>
      </c>
      <c r="J27" s="2">
        <v>45761</v>
      </c>
      <c r="K27" s="2" t="s">
        <v>51</v>
      </c>
      <c r="L27" s="2">
        <v>862.01</v>
      </c>
      <c r="N27" s="3" t="s">
        <v>19</v>
      </c>
    </row>
    <row r="28" spans="1:14" x14ac:dyDescent="0.35">
      <c r="A28" s="2" t="s">
        <v>52</v>
      </c>
      <c r="B28" s="2">
        <v>14</v>
      </c>
      <c r="C28" s="2" t="s">
        <v>16</v>
      </c>
      <c r="D28" s="2">
        <v>968</v>
      </c>
      <c r="E28" s="2">
        <v>20020</v>
      </c>
      <c r="G28" s="2">
        <v>463</v>
      </c>
      <c r="H28" s="2" t="s">
        <v>53</v>
      </c>
      <c r="I28" s="2">
        <f>VLOOKUP(H28,[1]Customers!$A:$B,2,FALSE)</f>
        <v>2692</v>
      </c>
      <c r="J28" s="2">
        <v>45642</v>
      </c>
      <c r="K28" s="2" t="s">
        <v>54</v>
      </c>
      <c r="M28" s="2">
        <v>10659.06</v>
      </c>
      <c r="N28" s="3" t="s">
        <v>19</v>
      </c>
    </row>
    <row r="29" spans="1:14" x14ac:dyDescent="0.35">
      <c r="A29" s="2" t="s">
        <v>52</v>
      </c>
      <c r="B29" s="2">
        <v>14.5</v>
      </c>
      <c r="C29" s="2" t="s">
        <v>20</v>
      </c>
      <c r="D29" s="2">
        <v>616</v>
      </c>
      <c r="E29" s="2">
        <v>20020</v>
      </c>
      <c r="F29" s="2">
        <v>616</v>
      </c>
      <c r="G29" s="2">
        <v>463</v>
      </c>
      <c r="H29" s="2" t="s">
        <v>53</v>
      </c>
      <c r="I29" s="2">
        <f>VLOOKUP(H29,[1]Customers!$A:$B,2,FALSE)</f>
        <v>2692</v>
      </c>
      <c r="J29" s="2">
        <v>45642</v>
      </c>
      <c r="K29" s="2" t="s">
        <v>54</v>
      </c>
      <c r="L29" s="2">
        <v>10659.06</v>
      </c>
      <c r="N29" s="3" t="s">
        <v>19</v>
      </c>
    </row>
    <row r="30" spans="1:14" x14ac:dyDescent="0.35">
      <c r="A30" s="2" t="s">
        <v>55</v>
      </c>
      <c r="B30" s="2">
        <v>15</v>
      </c>
      <c r="C30" s="2" t="s">
        <v>16</v>
      </c>
      <c r="D30" s="2">
        <v>968</v>
      </c>
      <c r="E30" s="2">
        <v>20020</v>
      </c>
      <c r="G30" s="2">
        <v>558</v>
      </c>
      <c r="H30" s="2" t="s">
        <v>56</v>
      </c>
      <c r="I30" s="2">
        <f>VLOOKUP(H30,[1]Customers!$A:$B,2,FALSE)</f>
        <v>444</v>
      </c>
      <c r="J30" s="2">
        <v>45547</v>
      </c>
      <c r="K30" s="2" t="s">
        <v>57</v>
      </c>
      <c r="M30" s="2">
        <v>226000.53</v>
      </c>
      <c r="N30" s="3" t="s">
        <v>19</v>
      </c>
    </row>
    <row r="31" spans="1:14" x14ac:dyDescent="0.35">
      <c r="A31" s="2" t="s">
        <v>55</v>
      </c>
      <c r="B31" s="2">
        <v>15.5</v>
      </c>
      <c r="C31" s="2" t="s">
        <v>20</v>
      </c>
      <c r="D31" s="2">
        <v>616</v>
      </c>
      <c r="E31" s="2">
        <v>20020</v>
      </c>
      <c r="F31" s="2">
        <v>616</v>
      </c>
      <c r="G31" s="2">
        <v>558</v>
      </c>
      <c r="H31" s="2" t="s">
        <v>56</v>
      </c>
      <c r="I31" s="2">
        <f>VLOOKUP(H31,[1]Customers!$A:$B,2,FALSE)</f>
        <v>444</v>
      </c>
      <c r="J31" s="2">
        <v>45547</v>
      </c>
      <c r="K31" s="2" t="s">
        <v>57</v>
      </c>
      <c r="L31" s="2">
        <v>226000.53</v>
      </c>
      <c r="N31" s="3" t="s">
        <v>19</v>
      </c>
    </row>
    <row r="32" spans="1:14" x14ac:dyDescent="0.35">
      <c r="A32" s="2" t="s">
        <v>58</v>
      </c>
      <c r="B32" s="2">
        <v>16</v>
      </c>
      <c r="C32" s="2" t="s">
        <v>16</v>
      </c>
      <c r="D32" s="2">
        <v>968</v>
      </c>
      <c r="E32" s="2">
        <v>20020</v>
      </c>
      <c r="G32" s="2">
        <v>343</v>
      </c>
      <c r="H32" s="2" t="s">
        <v>59</v>
      </c>
      <c r="I32" s="2">
        <f>VLOOKUP(H32,[1]Customers!$A:$B,2,FALSE)</f>
        <v>2387</v>
      </c>
      <c r="J32" s="2">
        <v>45762</v>
      </c>
      <c r="K32" s="2" t="s">
        <v>60</v>
      </c>
      <c r="M32" s="2">
        <v>687.5</v>
      </c>
      <c r="N32" s="3" t="s">
        <v>19</v>
      </c>
    </row>
    <row r="33" spans="1:15" x14ac:dyDescent="0.35">
      <c r="A33" s="2" t="s">
        <v>58</v>
      </c>
      <c r="B33" s="2">
        <v>16.5</v>
      </c>
      <c r="C33" s="2" t="s">
        <v>20</v>
      </c>
      <c r="D33" s="2">
        <v>616</v>
      </c>
      <c r="E33" s="2">
        <v>20020</v>
      </c>
      <c r="F33" s="2">
        <v>616</v>
      </c>
      <c r="G33" s="2">
        <v>343</v>
      </c>
      <c r="H33" s="2" t="s">
        <v>59</v>
      </c>
      <c r="I33" s="2">
        <f>VLOOKUP(H33,[1]Customers!$A:$B,2,FALSE)</f>
        <v>2387</v>
      </c>
      <c r="J33" s="2">
        <v>45762</v>
      </c>
      <c r="K33" s="2" t="s">
        <v>60</v>
      </c>
      <c r="L33" s="2">
        <v>687.5</v>
      </c>
      <c r="N33" s="3" t="s">
        <v>19</v>
      </c>
    </row>
    <row r="34" spans="1:15" x14ac:dyDescent="0.35">
      <c r="A34" s="2" t="s">
        <v>61</v>
      </c>
      <c r="B34" s="2">
        <v>17</v>
      </c>
      <c r="C34" s="2" t="s">
        <v>16</v>
      </c>
      <c r="D34" s="2">
        <v>968</v>
      </c>
      <c r="E34" s="2">
        <v>20020</v>
      </c>
      <c r="G34" s="2">
        <v>399</v>
      </c>
      <c r="H34" s="2" t="s">
        <v>62</v>
      </c>
      <c r="I34" s="2">
        <f>VLOOKUP(H34,[1]Customers!$A:$B,2,FALSE)</f>
        <v>2598</v>
      </c>
      <c r="J34" s="2">
        <v>45706</v>
      </c>
      <c r="K34" s="2" t="s">
        <v>63</v>
      </c>
      <c r="M34" s="2">
        <v>84.61</v>
      </c>
      <c r="N34" s="3" t="s">
        <v>19</v>
      </c>
      <c r="O34" s="2">
        <v>4248</v>
      </c>
    </row>
    <row r="35" spans="1:15" x14ac:dyDescent="0.35">
      <c r="A35" s="2" t="s">
        <v>61</v>
      </c>
      <c r="B35" s="2">
        <v>17.5</v>
      </c>
      <c r="C35" s="2" t="s">
        <v>20</v>
      </c>
      <c r="D35" s="2">
        <v>616</v>
      </c>
      <c r="E35" s="2">
        <v>20020</v>
      </c>
      <c r="F35" s="2">
        <v>616</v>
      </c>
      <c r="G35" s="2">
        <v>399</v>
      </c>
      <c r="H35" s="2" t="s">
        <v>62</v>
      </c>
      <c r="I35" s="2">
        <f>VLOOKUP(H35,[1]Customers!$A:$B,2,FALSE)</f>
        <v>2598</v>
      </c>
      <c r="J35" s="2">
        <v>45706</v>
      </c>
      <c r="K35" s="2" t="s">
        <v>63</v>
      </c>
      <c r="L35" s="2">
        <v>84.61</v>
      </c>
      <c r="N35" s="3" t="s">
        <v>19</v>
      </c>
      <c r="O35" s="2">
        <v>4248</v>
      </c>
    </row>
    <row r="36" spans="1:15" x14ac:dyDescent="0.35">
      <c r="A36" s="2" t="s">
        <v>64</v>
      </c>
      <c r="B36" s="2">
        <v>18</v>
      </c>
      <c r="C36" s="2" t="s">
        <v>16</v>
      </c>
      <c r="D36" s="2">
        <v>968</v>
      </c>
      <c r="E36" s="2">
        <v>20020</v>
      </c>
      <c r="G36" s="2">
        <v>314</v>
      </c>
      <c r="H36" s="2" t="s">
        <v>65</v>
      </c>
      <c r="I36" s="2">
        <f>VLOOKUP(H36,[1]Customers!$A:$B,2,FALSE)</f>
        <v>2413</v>
      </c>
      <c r="J36" s="2">
        <v>45791</v>
      </c>
      <c r="K36" s="2" t="s">
        <v>66</v>
      </c>
      <c r="M36" s="2">
        <v>557.32000000000005</v>
      </c>
      <c r="N36" s="3" t="s">
        <v>19</v>
      </c>
    </row>
    <row r="37" spans="1:15" x14ac:dyDescent="0.35">
      <c r="A37" s="2" t="s">
        <v>64</v>
      </c>
      <c r="B37" s="2">
        <v>18.5</v>
      </c>
      <c r="C37" s="2" t="s">
        <v>20</v>
      </c>
      <c r="D37" s="2">
        <v>616</v>
      </c>
      <c r="E37" s="2">
        <v>20020</v>
      </c>
      <c r="F37" s="2">
        <v>616</v>
      </c>
      <c r="G37" s="2">
        <v>314</v>
      </c>
      <c r="H37" s="2" t="s">
        <v>65</v>
      </c>
      <c r="I37" s="2">
        <f>VLOOKUP(H37,[1]Customers!$A:$B,2,FALSE)</f>
        <v>2413</v>
      </c>
      <c r="J37" s="2">
        <v>45791</v>
      </c>
      <c r="K37" s="2" t="s">
        <v>66</v>
      </c>
      <c r="L37" s="2">
        <v>557.32000000000005</v>
      </c>
      <c r="N37" s="3" t="s">
        <v>19</v>
      </c>
    </row>
    <row r="38" spans="1:15" x14ac:dyDescent="0.35">
      <c r="A38" s="2" t="s">
        <v>67</v>
      </c>
      <c r="B38" s="2">
        <v>19</v>
      </c>
      <c r="C38" s="2" t="s">
        <v>16</v>
      </c>
      <c r="D38" s="2">
        <v>968</v>
      </c>
      <c r="E38" s="2">
        <v>20020</v>
      </c>
      <c r="G38" s="2">
        <v>365</v>
      </c>
      <c r="H38" s="2" t="s">
        <v>68</v>
      </c>
      <c r="I38" s="2">
        <f>VLOOKUP(H38,[1]Customers!$A:$B,2,FALSE)</f>
        <v>452</v>
      </c>
      <c r="J38" s="2">
        <v>45740</v>
      </c>
      <c r="K38" s="2" t="s">
        <v>69</v>
      </c>
      <c r="M38" s="2">
        <v>740.29</v>
      </c>
      <c r="N38" s="3" t="s">
        <v>19</v>
      </c>
    </row>
    <row r="39" spans="1:15" x14ac:dyDescent="0.35">
      <c r="A39" s="2" t="s">
        <v>67</v>
      </c>
      <c r="B39" s="2">
        <v>19.5</v>
      </c>
      <c r="C39" s="2" t="s">
        <v>20</v>
      </c>
      <c r="D39" s="2">
        <v>616</v>
      </c>
      <c r="E39" s="2">
        <v>20020</v>
      </c>
      <c r="F39" s="2">
        <v>616</v>
      </c>
      <c r="G39" s="2">
        <v>365</v>
      </c>
      <c r="H39" s="2" t="s">
        <v>68</v>
      </c>
      <c r="I39" s="2">
        <f>VLOOKUP(H39,[1]Customers!$A:$B,2,FALSE)</f>
        <v>452</v>
      </c>
      <c r="J39" s="2">
        <v>45740</v>
      </c>
      <c r="K39" s="2" t="s">
        <v>69</v>
      </c>
      <c r="L39" s="2">
        <v>740.29</v>
      </c>
      <c r="N39" s="3" t="s">
        <v>19</v>
      </c>
    </row>
    <row r="40" spans="1:15" x14ac:dyDescent="0.35">
      <c r="A40" s="2" t="s">
        <v>70</v>
      </c>
      <c r="B40" s="2">
        <v>20</v>
      </c>
      <c r="C40" s="2" t="s">
        <v>16</v>
      </c>
      <c r="D40" s="2">
        <v>968</v>
      </c>
      <c r="E40" s="2">
        <v>20020</v>
      </c>
      <c r="G40" s="2">
        <v>337</v>
      </c>
      <c r="H40" s="2" t="s">
        <v>71</v>
      </c>
      <c r="I40" s="2">
        <f>VLOOKUP(H40,[1]Customers!$A:$B,2,FALSE)</f>
        <v>453</v>
      </c>
      <c r="J40" s="2">
        <v>45768</v>
      </c>
      <c r="K40" s="2" t="s">
        <v>72</v>
      </c>
      <c r="M40" s="2">
        <v>2780.99</v>
      </c>
      <c r="N40" s="3" t="s">
        <v>19</v>
      </c>
    </row>
    <row r="41" spans="1:15" x14ac:dyDescent="0.35">
      <c r="A41" s="2" t="s">
        <v>70</v>
      </c>
      <c r="B41" s="2">
        <v>20.5</v>
      </c>
      <c r="C41" s="2" t="s">
        <v>20</v>
      </c>
      <c r="D41" s="2">
        <v>616</v>
      </c>
      <c r="E41" s="2">
        <v>20020</v>
      </c>
      <c r="F41" s="2">
        <v>616</v>
      </c>
      <c r="G41" s="2">
        <v>337</v>
      </c>
      <c r="H41" s="2" t="s">
        <v>71</v>
      </c>
      <c r="I41" s="2">
        <f>VLOOKUP(H41,[1]Customers!$A:$B,2,FALSE)</f>
        <v>453</v>
      </c>
      <c r="J41" s="2">
        <v>45768</v>
      </c>
      <c r="K41" s="2" t="s">
        <v>72</v>
      </c>
      <c r="L41" s="2">
        <v>2780.99</v>
      </c>
      <c r="N41" s="3" t="s">
        <v>19</v>
      </c>
    </row>
    <row r="42" spans="1:15" x14ac:dyDescent="0.35">
      <c r="A42" s="2" t="s">
        <v>73</v>
      </c>
      <c r="B42" s="2">
        <v>21</v>
      </c>
      <c r="C42" s="2" t="s">
        <v>16</v>
      </c>
      <c r="D42" s="2">
        <v>968</v>
      </c>
      <c r="E42" s="2">
        <v>20020</v>
      </c>
      <c r="G42" s="2">
        <v>316</v>
      </c>
      <c r="H42" s="2" t="s">
        <v>74</v>
      </c>
      <c r="I42" s="2">
        <f>VLOOKUP(H42,[1]Customers!$A:$B,2,FALSE)</f>
        <v>454</v>
      </c>
      <c r="J42" s="2">
        <v>45789</v>
      </c>
      <c r="K42" s="2" t="s">
        <v>75</v>
      </c>
      <c r="M42" s="2">
        <v>2963.43</v>
      </c>
      <c r="N42" s="3" t="s">
        <v>19</v>
      </c>
    </row>
    <row r="43" spans="1:15" x14ac:dyDescent="0.35">
      <c r="A43" s="2" t="s">
        <v>73</v>
      </c>
      <c r="B43" s="2">
        <v>21.5</v>
      </c>
      <c r="C43" s="2" t="s">
        <v>20</v>
      </c>
      <c r="D43" s="2">
        <v>616</v>
      </c>
      <c r="E43" s="2">
        <v>20020</v>
      </c>
      <c r="F43" s="2">
        <v>616</v>
      </c>
      <c r="G43" s="2">
        <v>316</v>
      </c>
      <c r="H43" s="2" t="s">
        <v>74</v>
      </c>
      <c r="I43" s="2">
        <f>VLOOKUP(H43,[1]Customers!$A:$B,2,FALSE)</f>
        <v>454</v>
      </c>
      <c r="J43" s="2">
        <v>45789</v>
      </c>
      <c r="K43" s="2" t="s">
        <v>75</v>
      </c>
      <c r="L43" s="2">
        <v>2963.43</v>
      </c>
      <c r="N43" s="3" t="s">
        <v>19</v>
      </c>
    </row>
    <row r="44" spans="1:15" x14ac:dyDescent="0.35">
      <c r="A44" s="2" t="s">
        <v>76</v>
      </c>
      <c r="B44" s="2">
        <v>22</v>
      </c>
      <c r="C44" s="2" t="s">
        <v>16</v>
      </c>
      <c r="D44" s="2">
        <v>968</v>
      </c>
      <c r="E44" s="2">
        <v>20020</v>
      </c>
      <c r="G44" s="2">
        <v>400</v>
      </c>
      <c r="H44" s="2" t="s">
        <v>74</v>
      </c>
      <c r="I44" s="2">
        <f>VLOOKUP(H44,[1]Customers!$A:$B,2,FALSE)</f>
        <v>454</v>
      </c>
      <c r="J44" s="2">
        <v>45705</v>
      </c>
      <c r="K44" s="2" t="s">
        <v>77</v>
      </c>
      <c r="M44" s="2">
        <v>2824.75</v>
      </c>
      <c r="N44" s="3" t="s">
        <v>19</v>
      </c>
    </row>
    <row r="45" spans="1:15" x14ac:dyDescent="0.35">
      <c r="A45" s="2" t="s">
        <v>76</v>
      </c>
      <c r="B45" s="2">
        <v>22.5</v>
      </c>
      <c r="C45" s="2" t="s">
        <v>20</v>
      </c>
      <c r="D45" s="2">
        <v>616</v>
      </c>
      <c r="E45" s="2">
        <v>20020</v>
      </c>
      <c r="F45" s="2">
        <v>616</v>
      </c>
      <c r="G45" s="2">
        <v>400</v>
      </c>
      <c r="H45" s="2" t="s">
        <v>74</v>
      </c>
      <c r="I45" s="2">
        <f>VLOOKUP(H45,[1]Customers!$A:$B,2,FALSE)</f>
        <v>454</v>
      </c>
      <c r="J45" s="2">
        <v>45705</v>
      </c>
      <c r="K45" s="2" t="s">
        <v>77</v>
      </c>
      <c r="L45" s="2">
        <v>2824.75</v>
      </c>
      <c r="N45" s="3" t="s">
        <v>19</v>
      </c>
    </row>
    <row r="46" spans="1:15" x14ac:dyDescent="0.35">
      <c r="A46" s="2" t="s">
        <v>78</v>
      </c>
      <c r="B46" s="2">
        <v>23</v>
      </c>
      <c r="C46" s="2" t="s">
        <v>16</v>
      </c>
      <c r="D46" s="2">
        <v>968</v>
      </c>
      <c r="E46" s="2">
        <v>20020</v>
      </c>
      <c r="G46" s="2">
        <v>357</v>
      </c>
      <c r="H46" s="2" t="s">
        <v>79</v>
      </c>
      <c r="I46" s="2">
        <f>VLOOKUP(H46,[1]Customers!$A:$B,2,FALSE)</f>
        <v>2161</v>
      </c>
      <c r="J46" s="2">
        <v>45748</v>
      </c>
      <c r="K46" s="2" t="s">
        <v>80</v>
      </c>
      <c r="M46" s="2">
        <v>21338</v>
      </c>
      <c r="N46" s="3" t="s">
        <v>19</v>
      </c>
    </row>
    <row r="47" spans="1:15" x14ac:dyDescent="0.35">
      <c r="A47" s="2" t="s">
        <v>78</v>
      </c>
      <c r="B47" s="2">
        <v>23.5</v>
      </c>
      <c r="C47" s="2" t="s">
        <v>20</v>
      </c>
      <c r="D47" s="2">
        <v>616</v>
      </c>
      <c r="E47" s="2">
        <v>20020</v>
      </c>
      <c r="F47" s="2">
        <v>616</v>
      </c>
      <c r="G47" s="2">
        <v>357</v>
      </c>
      <c r="H47" s="2" t="s">
        <v>79</v>
      </c>
      <c r="I47" s="2">
        <f>VLOOKUP(H47,[1]Customers!$A:$B,2,FALSE)</f>
        <v>2161</v>
      </c>
      <c r="J47" s="2">
        <v>45748</v>
      </c>
      <c r="K47" s="2" t="s">
        <v>80</v>
      </c>
      <c r="L47" s="2">
        <v>21338</v>
      </c>
      <c r="N47" s="3" t="s">
        <v>19</v>
      </c>
    </row>
    <row r="48" spans="1:15" x14ac:dyDescent="0.35">
      <c r="A48" s="2" t="s">
        <v>81</v>
      </c>
      <c r="B48" s="2">
        <v>24</v>
      </c>
      <c r="C48" s="2" t="s">
        <v>16</v>
      </c>
      <c r="D48" s="2">
        <v>968</v>
      </c>
      <c r="E48" s="2">
        <v>20020</v>
      </c>
      <c r="G48" s="2">
        <v>386</v>
      </c>
      <c r="H48" s="2" t="s">
        <v>82</v>
      </c>
      <c r="I48" s="2">
        <f>VLOOKUP(H48,[1]Customers!$A:$B,2,FALSE)</f>
        <v>2670</v>
      </c>
      <c r="J48" s="2">
        <v>45719</v>
      </c>
      <c r="K48" s="2" t="s">
        <v>83</v>
      </c>
      <c r="M48" s="2">
        <v>3040</v>
      </c>
      <c r="N48" s="3" t="s">
        <v>19</v>
      </c>
      <c r="O48" s="2">
        <v>773</v>
      </c>
    </row>
    <row r="49" spans="1:15" x14ac:dyDescent="0.35">
      <c r="A49" s="2" t="s">
        <v>81</v>
      </c>
      <c r="B49" s="2">
        <v>24.5</v>
      </c>
      <c r="C49" s="2" t="s">
        <v>20</v>
      </c>
      <c r="D49" s="2">
        <v>616</v>
      </c>
      <c r="E49" s="2">
        <v>20020</v>
      </c>
      <c r="F49" s="2">
        <v>616</v>
      </c>
      <c r="G49" s="2">
        <v>386</v>
      </c>
      <c r="H49" s="2" t="s">
        <v>82</v>
      </c>
      <c r="I49" s="2">
        <f>VLOOKUP(H49,[1]Customers!$A:$B,2,FALSE)</f>
        <v>2670</v>
      </c>
      <c r="J49" s="2">
        <v>45719</v>
      </c>
      <c r="K49" s="2" t="s">
        <v>83</v>
      </c>
      <c r="L49" s="2">
        <v>3040</v>
      </c>
      <c r="N49" s="3" t="s">
        <v>19</v>
      </c>
      <c r="O49" s="2">
        <v>773</v>
      </c>
    </row>
    <row r="50" spans="1:15" x14ac:dyDescent="0.35">
      <c r="A50" s="2" t="s">
        <v>84</v>
      </c>
      <c r="B50" s="2">
        <v>25</v>
      </c>
      <c r="C50" s="2" t="s">
        <v>16</v>
      </c>
      <c r="D50" s="2">
        <v>968</v>
      </c>
      <c r="E50" s="2">
        <v>20020</v>
      </c>
      <c r="G50" s="2">
        <v>740</v>
      </c>
      <c r="H50" s="2" t="s">
        <v>85</v>
      </c>
      <c r="I50" s="2">
        <f>VLOOKUP(H50,[1]Customers!$A:$B,2,FALSE)</f>
        <v>3314</v>
      </c>
      <c r="J50" s="2">
        <v>45365</v>
      </c>
      <c r="K50" s="2" t="s">
        <v>86</v>
      </c>
      <c r="M50" s="2">
        <v>1100</v>
      </c>
      <c r="N50" s="3" t="s">
        <v>19</v>
      </c>
      <c r="O50" s="2">
        <v>35829</v>
      </c>
    </row>
    <row r="51" spans="1:15" x14ac:dyDescent="0.35">
      <c r="A51" s="2" t="s">
        <v>84</v>
      </c>
      <c r="B51" s="2">
        <v>25.5</v>
      </c>
      <c r="C51" s="2" t="s">
        <v>20</v>
      </c>
      <c r="D51" s="2">
        <v>616</v>
      </c>
      <c r="E51" s="2">
        <v>20020</v>
      </c>
      <c r="F51" s="2">
        <v>616</v>
      </c>
      <c r="G51" s="2">
        <v>740</v>
      </c>
      <c r="H51" s="2" t="s">
        <v>85</v>
      </c>
      <c r="I51" s="2">
        <f>VLOOKUP(H51,[1]Customers!$A:$B,2,FALSE)</f>
        <v>3314</v>
      </c>
      <c r="J51" s="2">
        <v>45365</v>
      </c>
      <c r="K51" s="2" t="s">
        <v>86</v>
      </c>
      <c r="L51" s="2">
        <v>1100</v>
      </c>
      <c r="N51" s="3" t="s">
        <v>19</v>
      </c>
      <c r="O51" s="2">
        <v>35829</v>
      </c>
    </row>
    <row r="52" spans="1:15" x14ac:dyDescent="0.35">
      <c r="A52" s="2" t="s">
        <v>87</v>
      </c>
      <c r="B52" s="2">
        <v>26</v>
      </c>
      <c r="C52" s="2" t="s">
        <v>16</v>
      </c>
      <c r="D52" s="2">
        <v>968</v>
      </c>
      <c r="E52" s="2">
        <v>20020</v>
      </c>
      <c r="G52" s="2">
        <v>602</v>
      </c>
      <c r="H52" s="2" t="s">
        <v>85</v>
      </c>
      <c r="I52" s="2">
        <f>VLOOKUP(H52,[1]Customers!$A:$B,2,FALSE)</f>
        <v>3314</v>
      </c>
      <c r="J52" s="2">
        <v>45503</v>
      </c>
      <c r="M52" s="2">
        <v>39615.370000000003</v>
      </c>
      <c r="N52" s="3" t="s">
        <v>19</v>
      </c>
    </row>
    <row r="53" spans="1:15" x14ac:dyDescent="0.35">
      <c r="A53" s="2" t="s">
        <v>87</v>
      </c>
      <c r="B53" s="2">
        <v>26.5</v>
      </c>
      <c r="C53" s="2" t="s">
        <v>20</v>
      </c>
      <c r="D53" s="2">
        <v>616</v>
      </c>
      <c r="E53" s="2">
        <v>20020</v>
      </c>
      <c r="F53" s="2">
        <v>616</v>
      </c>
      <c r="G53" s="2">
        <v>602</v>
      </c>
      <c r="H53" s="2" t="s">
        <v>85</v>
      </c>
      <c r="I53" s="2">
        <f>VLOOKUP(H53,[1]Customers!$A:$B,2,FALSE)</f>
        <v>3314</v>
      </c>
      <c r="J53" s="2">
        <v>45503</v>
      </c>
      <c r="L53" s="2">
        <v>39615.370000000003</v>
      </c>
      <c r="N53" s="3" t="s">
        <v>19</v>
      </c>
    </row>
    <row r="54" spans="1:15" x14ac:dyDescent="0.35">
      <c r="A54" s="2" t="s">
        <v>88</v>
      </c>
      <c r="B54" s="2">
        <v>27</v>
      </c>
      <c r="C54" s="2" t="s">
        <v>16</v>
      </c>
      <c r="D54" s="2">
        <v>968</v>
      </c>
      <c r="E54" s="2">
        <v>20020</v>
      </c>
      <c r="G54" s="2">
        <v>277</v>
      </c>
      <c r="H54" s="2" t="s">
        <v>89</v>
      </c>
      <c r="I54" s="2">
        <f>VLOOKUP(H54,[1]Customers!$A:$B,2,FALSE)</f>
        <v>459</v>
      </c>
      <c r="J54" s="2">
        <v>45828</v>
      </c>
      <c r="K54" s="2" t="s">
        <v>90</v>
      </c>
      <c r="M54" s="2">
        <v>641721</v>
      </c>
      <c r="N54" s="3" t="s">
        <v>19</v>
      </c>
    </row>
    <row r="55" spans="1:15" x14ac:dyDescent="0.35">
      <c r="A55" s="2" t="s">
        <v>88</v>
      </c>
      <c r="B55" s="2">
        <v>27.5</v>
      </c>
      <c r="C55" s="2" t="s">
        <v>20</v>
      </c>
      <c r="D55" s="2">
        <v>616</v>
      </c>
      <c r="E55" s="2">
        <v>20020</v>
      </c>
      <c r="F55" s="2">
        <v>616</v>
      </c>
      <c r="G55" s="2">
        <v>277</v>
      </c>
      <c r="H55" s="2" t="s">
        <v>89</v>
      </c>
      <c r="I55" s="2">
        <f>VLOOKUP(H55,[1]Customers!$A:$B,2,FALSE)</f>
        <v>459</v>
      </c>
      <c r="J55" s="2">
        <v>45828</v>
      </c>
      <c r="K55" s="2" t="s">
        <v>90</v>
      </c>
      <c r="L55" s="2">
        <v>641721</v>
      </c>
      <c r="N55" s="3" t="s">
        <v>19</v>
      </c>
    </row>
    <row r="56" spans="1:15" x14ac:dyDescent="0.35">
      <c r="A56" s="2" t="s">
        <v>91</v>
      </c>
      <c r="B56" s="2">
        <v>28</v>
      </c>
      <c r="C56" s="2" t="s">
        <v>16</v>
      </c>
      <c r="D56" s="2">
        <v>968</v>
      </c>
      <c r="E56" s="2">
        <v>20020</v>
      </c>
      <c r="G56" s="2">
        <v>356</v>
      </c>
      <c r="H56" s="2" t="s">
        <v>89</v>
      </c>
      <c r="I56" s="2">
        <f>VLOOKUP(H56,[1]Customers!$A:$B,2,FALSE)</f>
        <v>459</v>
      </c>
      <c r="J56" s="2">
        <v>45749</v>
      </c>
      <c r="K56" s="2" t="s">
        <v>92</v>
      </c>
      <c r="M56" s="2">
        <v>750000</v>
      </c>
      <c r="N56" s="3" t="s">
        <v>19</v>
      </c>
    </row>
    <row r="57" spans="1:15" x14ac:dyDescent="0.35">
      <c r="A57" s="2" t="s">
        <v>91</v>
      </c>
      <c r="B57" s="2">
        <v>28.5</v>
      </c>
      <c r="C57" s="2" t="s">
        <v>20</v>
      </c>
      <c r="D57" s="2">
        <v>616</v>
      </c>
      <c r="E57" s="2">
        <v>20020</v>
      </c>
      <c r="F57" s="2">
        <v>616</v>
      </c>
      <c r="G57" s="2">
        <v>356</v>
      </c>
      <c r="H57" s="2" t="s">
        <v>89</v>
      </c>
      <c r="I57" s="2">
        <f>VLOOKUP(H57,[1]Customers!$A:$B,2,FALSE)</f>
        <v>459</v>
      </c>
      <c r="J57" s="2">
        <v>45749</v>
      </c>
      <c r="K57" s="2" t="s">
        <v>92</v>
      </c>
      <c r="L57" s="2">
        <v>750000</v>
      </c>
      <c r="N57" s="3" t="s">
        <v>19</v>
      </c>
    </row>
    <row r="58" spans="1:15" x14ac:dyDescent="0.35">
      <c r="A58" s="2" t="s">
        <v>93</v>
      </c>
      <c r="B58" s="2">
        <v>29</v>
      </c>
      <c r="C58" s="2" t="s">
        <v>16</v>
      </c>
      <c r="D58" s="2">
        <v>968</v>
      </c>
      <c r="E58" s="2">
        <v>20020</v>
      </c>
      <c r="G58" s="2">
        <v>340</v>
      </c>
      <c r="H58" s="2" t="s">
        <v>89</v>
      </c>
      <c r="I58" s="2">
        <f>VLOOKUP(H58,[1]Customers!$A:$B,2,FALSE)</f>
        <v>459</v>
      </c>
      <c r="J58" s="2">
        <v>45765</v>
      </c>
      <c r="K58" s="2" t="s">
        <v>94</v>
      </c>
      <c r="M58" s="2">
        <v>940883.04</v>
      </c>
      <c r="N58" s="3" t="s">
        <v>19</v>
      </c>
    </row>
    <row r="59" spans="1:15" x14ac:dyDescent="0.35">
      <c r="A59" s="2" t="s">
        <v>93</v>
      </c>
      <c r="B59" s="2">
        <v>29.5</v>
      </c>
      <c r="C59" s="2" t="s">
        <v>20</v>
      </c>
      <c r="D59" s="2">
        <v>616</v>
      </c>
      <c r="E59" s="2">
        <v>20020</v>
      </c>
      <c r="F59" s="2">
        <v>616</v>
      </c>
      <c r="G59" s="2">
        <v>340</v>
      </c>
      <c r="H59" s="2" t="s">
        <v>89</v>
      </c>
      <c r="I59" s="2">
        <f>VLOOKUP(H59,[1]Customers!$A:$B,2,FALSE)</f>
        <v>459</v>
      </c>
      <c r="J59" s="2">
        <v>45765</v>
      </c>
      <c r="K59" s="2" t="s">
        <v>94</v>
      </c>
      <c r="L59" s="2">
        <v>940883.04</v>
      </c>
      <c r="N59" s="3" t="s">
        <v>19</v>
      </c>
    </row>
    <row r="60" spans="1:15" x14ac:dyDescent="0.35">
      <c r="A60" s="2" t="s">
        <v>95</v>
      </c>
      <c r="B60" s="2">
        <v>30</v>
      </c>
      <c r="C60" s="2" t="s">
        <v>16</v>
      </c>
      <c r="D60" s="2">
        <v>968</v>
      </c>
      <c r="E60" s="2">
        <v>20020</v>
      </c>
      <c r="G60" s="2">
        <v>372</v>
      </c>
      <c r="H60" s="2" t="s">
        <v>89</v>
      </c>
      <c r="I60" s="2">
        <f>VLOOKUP(H60,[1]Customers!$A:$B,2,FALSE)</f>
        <v>459</v>
      </c>
      <c r="J60" s="2">
        <v>45733</v>
      </c>
      <c r="K60" s="2" t="s">
        <v>96</v>
      </c>
      <c r="M60" s="2">
        <v>500000.6</v>
      </c>
      <c r="N60" s="3" t="s">
        <v>19</v>
      </c>
    </row>
    <row r="61" spans="1:15" x14ac:dyDescent="0.35">
      <c r="A61" s="2" t="s">
        <v>95</v>
      </c>
      <c r="B61" s="2">
        <v>30.5</v>
      </c>
      <c r="C61" s="2" t="s">
        <v>20</v>
      </c>
      <c r="D61" s="2">
        <v>616</v>
      </c>
      <c r="E61" s="2">
        <v>20020</v>
      </c>
      <c r="F61" s="2">
        <v>616</v>
      </c>
      <c r="G61" s="2">
        <v>372</v>
      </c>
      <c r="H61" s="2" t="s">
        <v>89</v>
      </c>
      <c r="I61" s="2">
        <f>VLOOKUP(H61,[1]Customers!$A:$B,2,FALSE)</f>
        <v>459</v>
      </c>
      <c r="J61" s="2">
        <v>45733</v>
      </c>
      <c r="K61" s="2" t="s">
        <v>96</v>
      </c>
      <c r="L61" s="2">
        <v>500000.6</v>
      </c>
      <c r="N61" s="3" t="s">
        <v>19</v>
      </c>
    </row>
    <row r="62" spans="1:15" x14ac:dyDescent="0.35">
      <c r="A62" s="2" t="s">
        <v>97</v>
      </c>
      <c r="B62" s="2">
        <v>31</v>
      </c>
      <c r="C62" s="2" t="s">
        <v>16</v>
      </c>
      <c r="D62" s="2">
        <v>968</v>
      </c>
      <c r="E62" s="2">
        <v>20020</v>
      </c>
      <c r="G62" s="2">
        <v>299</v>
      </c>
      <c r="H62" s="2" t="s">
        <v>98</v>
      </c>
      <c r="I62" s="2">
        <f>VLOOKUP(H62,[1]Customers!$A:$B,2,FALSE)</f>
        <v>2713</v>
      </c>
      <c r="J62" s="2">
        <v>45806</v>
      </c>
      <c r="K62" s="2" t="s">
        <v>99</v>
      </c>
      <c r="M62" s="2">
        <v>39071.79</v>
      </c>
      <c r="N62" s="3" t="s">
        <v>19</v>
      </c>
    </row>
    <row r="63" spans="1:15" ht="15" customHeight="1" x14ac:dyDescent="0.35">
      <c r="A63" s="2" t="s">
        <v>97</v>
      </c>
      <c r="B63" s="2">
        <v>31.5</v>
      </c>
      <c r="C63" s="2" t="s">
        <v>20</v>
      </c>
      <c r="D63" s="2">
        <v>616</v>
      </c>
      <c r="E63" s="2">
        <v>20020</v>
      </c>
      <c r="F63" s="2">
        <v>616</v>
      </c>
      <c r="G63" s="2">
        <v>299</v>
      </c>
      <c r="H63" s="2" t="s">
        <v>98</v>
      </c>
      <c r="I63" s="2">
        <f>VLOOKUP(H63,[1]Customers!$A:$B,2,FALSE)</f>
        <v>2713</v>
      </c>
      <c r="J63" s="2">
        <v>45806</v>
      </c>
      <c r="K63" s="2" t="s">
        <v>99</v>
      </c>
      <c r="L63" s="2">
        <v>39071.79</v>
      </c>
      <c r="N63" s="3" t="s">
        <v>19</v>
      </c>
    </row>
    <row r="64" spans="1:15" x14ac:dyDescent="0.35">
      <c r="A64" s="2" t="s">
        <v>100</v>
      </c>
      <c r="B64" s="2">
        <v>32</v>
      </c>
      <c r="C64" s="2" t="s">
        <v>16</v>
      </c>
      <c r="D64" s="2">
        <v>968</v>
      </c>
      <c r="E64" s="2">
        <v>20020</v>
      </c>
      <c r="G64" s="2">
        <v>337</v>
      </c>
      <c r="H64" s="2" t="s">
        <v>101</v>
      </c>
      <c r="I64" s="2">
        <f>VLOOKUP(H64,[1]Customers!$A:$B,2,FALSE)</f>
        <v>2628</v>
      </c>
      <c r="J64" s="2">
        <v>45768</v>
      </c>
      <c r="K64" s="2" t="s">
        <v>102</v>
      </c>
      <c r="M64" s="2">
        <v>338.1</v>
      </c>
      <c r="N64" s="3" t="s">
        <v>19</v>
      </c>
    </row>
    <row r="65" spans="1:14" x14ac:dyDescent="0.35">
      <c r="A65" s="2" t="s">
        <v>100</v>
      </c>
      <c r="B65" s="2">
        <v>32.5</v>
      </c>
      <c r="C65" s="2" t="s">
        <v>20</v>
      </c>
      <c r="D65" s="2">
        <v>616</v>
      </c>
      <c r="E65" s="2">
        <v>20020</v>
      </c>
      <c r="F65" s="2">
        <v>616</v>
      </c>
      <c r="G65" s="2">
        <v>337</v>
      </c>
      <c r="H65" s="2" t="s">
        <v>101</v>
      </c>
      <c r="I65" s="2">
        <f>VLOOKUP(H65,[1]Customers!$A:$B,2,FALSE)</f>
        <v>2628</v>
      </c>
      <c r="J65" s="2">
        <v>45768</v>
      </c>
      <c r="K65" s="2" t="s">
        <v>102</v>
      </c>
      <c r="L65" s="2">
        <v>338.1</v>
      </c>
      <c r="N65" s="3" t="s">
        <v>19</v>
      </c>
    </row>
    <row r="66" spans="1:14" x14ac:dyDescent="0.35">
      <c r="A66" s="2" t="s">
        <v>103</v>
      </c>
      <c r="B66" s="2">
        <v>33</v>
      </c>
      <c r="C66" s="2" t="s">
        <v>16</v>
      </c>
      <c r="D66" s="2">
        <v>968</v>
      </c>
      <c r="E66" s="2">
        <v>20020</v>
      </c>
      <c r="G66" s="2">
        <v>496</v>
      </c>
      <c r="H66" s="2" t="s">
        <v>104</v>
      </c>
      <c r="I66" s="2">
        <f>VLOOKUP(H66,[1]Customers!$A:$B,2,FALSE)</f>
        <v>3318</v>
      </c>
      <c r="J66" s="2">
        <v>45609</v>
      </c>
      <c r="M66" s="2">
        <v>189922.42</v>
      </c>
      <c r="N66" s="3" t="s">
        <v>19</v>
      </c>
    </row>
    <row r="67" spans="1:14" x14ac:dyDescent="0.35">
      <c r="A67" s="2" t="s">
        <v>103</v>
      </c>
      <c r="B67" s="2">
        <v>33.5</v>
      </c>
      <c r="C67" s="2" t="s">
        <v>20</v>
      </c>
      <c r="D67" s="2">
        <v>616</v>
      </c>
      <c r="E67" s="2">
        <v>20020</v>
      </c>
      <c r="F67" s="2">
        <v>616</v>
      </c>
      <c r="G67" s="2">
        <v>496</v>
      </c>
      <c r="H67" s="2" t="s">
        <v>104</v>
      </c>
      <c r="I67" s="2">
        <f>VLOOKUP(H67,[1]Customers!$A:$B,2,FALSE)</f>
        <v>3318</v>
      </c>
      <c r="J67" s="2">
        <v>45609</v>
      </c>
      <c r="L67" s="2">
        <v>189922.42</v>
      </c>
      <c r="N67" s="3" t="s">
        <v>19</v>
      </c>
    </row>
    <row r="68" spans="1:14" x14ac:dyDescent="0.35">
      <c r="A68" s="2" t="s">
        <v>105</v>
      </c>
      <c r="B68" s="2">
        <v>34</v>
      </c>
      <c r="C68" s="2" t="s">
        <v>16</v>
      </c>
      <c r="D68" s="2">
        <v>968</v>
      </c>
      <c r="E68" s="2">
        <v>20020</v>
      </c>
      <c r="G68" s="2">
        <v>516</v>
      </c>
      <c r="H68" s="2" t="s">
        <v>104</v>
      </c>
      <c r="I68" s="2">
        <f>VLOOKUP(H68,[1]Customers!$A:$B,2,FALSE)</f>
        <v>3318</v>
      </c>
      <c r="J68" s="2">
        <v>45589</v>
      </c>
      <c r="K68" s="2" t="s">
        <v>106</v>
      </c>
      <c r="M68" s="2">
        <v>139.53</v>
      </c>
      <c r="N68" s="3" t="s">
        <v>19</v>
      </c>
    </row>
    <row r="69" spans="1:14" x14ac:dyDescent="0.35">
      <c r="A69" s="2" t="s">
        <v>105</v>
      </c>
      <c r="B69" s="2">
        <v>34.5</v>
      </c>
      <c r="C69" s="2" t="s">
        <v>20</v>
      </c>
      <c r="D69" s="2">
        <v>616</v>
      </c>
      <c r="E69" s="2">
        <v>20020</v>
      </c>
      <c r="F69" s="2">
        <v>616</v>
      </c>
      <c r="G69" s="2">
        <v>516</v>
      </c>
      <c r="H69" s="2" t="s">
        <v>104</v>
      </c>
      <c r="I69" s="2">
        <f>VLOOKUP(H69,[1]Customers!$A:$B,2,FALSE)</f>
        <v>3318</v>
      </c>
      <c r="J69" s="2">
        <v>45589</v>
      </c>
      <c r="K69" s="2" t="s">
        <v>106</v>
      </c>
      <c r="L69" s="2">
        <v>139.53</v>
      </c>
      <c r="N69" s="3" t="s">
        <v>19</v>
      </c>
    </row>
    <row r="70" spans="1:14" x14ac:dyDescent="0.35">
      <c r="A70" s="2" t="s">
        <v>107</v>
      </c>
      <c r="B70" s="2">
        <v>35</v>
      </c>
      <c r="C70" s="2" t="s">
        <v>16</v>
      </c>
      <c r="D70" s="2">
        <v>968</v>
      </c>
      <c r="E70" s="2">
        <v>20020</v>
      </c>
      <c r="G70" s="2">
        <v>496</v>
      </c>
      <c r="H70" s="2" t="s">
        <v>104</v>
      </c>
      <c r="I70" s="2">
        <f>VLOOKUP(H70,[1]Customers!$A:$B,2,FALSE)</f>
        <v>3318</v>
      </c>
      <c r="J70" s="2">
        <v>45609</v>
      </c>
      <c r="K70" s="2" t="s">
        <v>108</v>
      </c>
      <c r="M70" s="2">
        <v>199723</v>
      </c>
      <c r="N70" s="3" t="s">
        <v>19</v>
      </c>
    </row>
    <row r="71" spans="1:14" x14ac:dyDescent="0.35">
      <c r="A71" s="2" t="s">
        <v>107</v>
      </c>
      <c r="B71" s="2">
        <v>35.5</v>
      </c>
      <c r="C71" s="2" t="s">
        <v>20</v>
      </c>
      <c r="D71" s="2">
        <v>616</v>
      </c>
      <c r="E71" s="2">
        <v>20020</v>
      </c>
      <c r="F71" s="2">
        <v>616</v>
      </c>
      <c r="G71" s="2">
        <v>496</v>
      </c>
      <c r="H71" s="2" t="s">
        <v>104</v>
      </c>
      <c r="I71" s="2">
        <f>VLOOKUP(H71,[1]Customers!$A:$B,2,FALSE)</f>
        <v>3318</v>
      </c>
      <c r="J71" s="2">
        <v>45609</v>
      </c>
      <c r="K71" s="2" t="s">
        <v>108</v>
      </c>
      <c r="L71" s="2">
        <v>199723</v>
      </c>
      <c r="N71" s="3" t="s">
        <v>19</v>
      </c>
    </row>
    <row r="72" spans="1:14" x14ac:dyDescent="0.35">
      <c r="A72" s="2" t="s">
        <v>109</v>
      </c>
      <c r="B72" s="2">
        <v>36</v>
      </c>
      <c r="C72" s="2" t="s">
        <v>16</v>
      </c>
      <c r="D72" s="2">
        <v>968</v>
      </c>
      <c r="E72" s="2">
        <v>20020</v>
      </c>
      <c r="G72" s="2">
        <v>299</v>
      </c>
      <c r="H72" s="2" t="s">
        <v>104</v>
      </c>
      <c r="I72" s="2">
        <f>VLOOKUP(H72,[1]Customers!$A:$B,2,FALSE)</f>
        <v>3318</v>
      </c>
      <c r="J72" s="2">
        <v>45806</v>
      </c>
      <c r="K72" s="2" t="s">
        <v>110</v>
      </c>
      <c r="M72" s="2">
        <v>800000</v>
      </c>
      <c r="N72" s="3" t="s">
        <v>19</v>
      </c>
    </row>
    <row r="73" spans="1:14" x14ac:dyDescent="0.35">
      <c r="A73" s="2" t="s">
        <v>109</v>
      </c>
      <c r="B73" s="2">
        <v>36.5</v>
      </c>
      <c r="C73" s="2" t="s">
        <v>20</v>
      </c>
      <c r="D73" s="2">
        <v>616</v>
      </c>
      <c r="E73" s="2">
        <v>20020</v>
      </c>
      <c r="F73" s="2">
        <v>616</v>
      </c>
      <c r="G73" s="2">
        <v>299</v>
      </c>
      <c r="H73" s="2" t="s">
        <v>104</v>
      </c>
      <c r="I73" s="2">
        <f>VLOOKUP(H73,[1]Customers!$A:$B,2,FALSE)</f>
        <v>3318</v>
      </c>
      <c r="J73" s="2">
        <v>45806</v>
      </c>
      <c r="K73" s="2" t="s">
        <v>110</v>
      </c>
      <c r="L73" s="2">
        <v>800000</v>
      </c>
      <c r="N73" s="3" t="s">
        <v>19</v>
      </c>
    </row>
    <row r="74" spans="1:14" x14ac:dyDescent="0.35">
      <c r="A74" s="2" t="s">
        <v>111</v>
      </c>
      <c r="B74" s="2">
        <v>37</v>
      </c>
      <c r="C74" s="2" t="s">
        <v>16</v>
      </c>
      <c r="D74" s="2">
        <v>968</v>
      </c>
      <c r="E74" s="2">
        <v>20020</v>
      </c>
      <c r="G74" s="2">
        <v>323</v>
      </c>
      <c r="H74" s="2" t="s">
        <v>112</v>
      </c>
      <c r="I74" s="2">
        <f>VLOOKUP(H74,[1]Customers!$A:$B,2,FALSE)</f>
        <v>3320</v>
      </c>
      <c r="J74" s="2">
        <v>45782</v>
      </c>
      <c r="K74" s="2" t="s">
        <v>113</v>
      </c>
      <c r="M74" s="2">
        <v>262505.84000000003</v>
      </c>
      <c r="N74" s="3" t="s">
        <v>19</v>
      </c>
    </row>
    <row r="75" spans="1:14" x14ac:dyDescent="0.35">
      <c r="A75" s="2" t="s">
        <v>111</v>
      </c>
      <c r="B75" s="2">
        <v>37.5</v>
      </c>
      <c r="C75" s="2" t="s">
        <v>20</v>
      </c>
      <c r="D75" s="2">
        <v>616</v>
      </c>
      <c r="E75" s="2">
        <v>20020</v>
      </c>
      <c r="F75" s="2">
        <v>616</v>
      </c>
      <c r="G75" s="2">
        <v>323</v>
      </c>
      <c r="H75" s="2" t="s">
        <v>112</v>
      </c>
      <c r="I75" s="2">
        <f>VLOOKUP(H75,[1]Customers!$A:$B,2,FALSE)</f>
        <v>3320</v>
      </c>
      <c r="J75" s="2">
        <v>45782</v>
      </c>
      <c r="K75" s="2" t="s">
        <v>113</v>
      </c>
      <c r="L75" s="2">
        <v>262505.84000000003</v>
      </c>
      <c r="N75" s="3" t="s">
        <v>19</v>
      </c>
    </row>
    <row r="76" spans="1:14" x14ac:dyDescent="0.35">
      <c r="A76" s="2" t="s">
        <v>114</v>
      </c>
      <c r="B76" s="2">
        <v>38</v>
      </c>
      <c r="C76" s="2" t="s">
        <v>16</v>
      </c>
      <c r="D76" s="2">
        <v>968</v>
      </c>
      <c r="E76" s="2">
        <v>20020</v>
      </c>
      <c r="G76" s="2">
        <v>329</v>
      </c>
      <c r="H76" s="2" t="s">
        <v>115</v>
      </c>
      <c r="I76" s="2">
        <f>VLOOKUP(H76,[1]Customers!$A:$B,2,FALSE)</f>
        <v>2440</v>
      </c>
      <c r="J76" s="2">
        <v>45776</v>
      </c>
      <c r="K76" s="2" t="s">
        <v>116</v>
      </c>
      <c r="M76" s="2">
        <v>3047.61</v>
      </c>
      <c r="N76" s="3" t="s">
        <v>19</v>
      </c>
    </row>
    <row r="77" spans="1:14" x14ac:dyDescent="0.35">
      <c r="A77" s="2" t="s">
        <v>114</v>
      </c>
      <c r="B77" s="2">
        <v>38.5</v>
      </c>
      <c r="C77" s="2" t="s">
        <v>20</v>
      </c>
      <c r="D77" s="2">
        <v>616</v>
      </c>
      <c r="E77" s="2">
        <v>20020</v>
      </c>
      <c r="F77" s="2">
        <v>616</v>
      </c>
      <c r="G77" s="2">
        <v>329</v>
      </c>
      <c r="H77" s="2" t="s">
        <v>115</v>
      </c>
      <c r="I77" s="2">
        <f>VLOOKUP(H77,[1]Customers!$A:$B,2,FALSE)</f>
        <v>2440</v>
      </c>
      <c r="J77" s="2">
        <v>45776</v>
      </c>
      <c r="K77" s="2" t="s">
        <v>116</v>
      </c>
      <c r="L77" s="2">
        <v>3047.61</v>
      </c>
      <c r="N77" s="3" t="s">
        <v>19</v>
      </c>
    </row>
    <row r="78" spans="1:14" ht="15" customHeight="1" x14ac:dyDescent="0.35">
      <c r="A78" s="2" t="s">
        <v>117</v>
      </c>
      <c r="B78" s="2">
        <v>39</v>
      </c>
      <c r="C78" s="2" t="s">
        <v>16</v>
      </c>
      <c r="D78" s="2">
        <v>968</v>
      </c>
      <c r="E78" s="2">
        <v>20020</v>
      </c>
      <c r="G78" s="2">
        <v>277</v>
      </c>
      <c r="H78" s="2" t="s">
        <v>118</v>
      </c>
      <c r="I78" s="2">
        <f>VLOOKUP(H78,[1]Customers!$A:$B,2,FALSE)</f>
        <v>1576</v>
      </c>
      <c r="J78" s="2">
        <v>45828</v>
      </c>
      <c r="K78" s="2" t="s">
        <v>119</v>
      </c>
      <c r="M78" s="2">
        <v>1402.87</v>
      </c>
      <c r="N78" s="3" t="s">
        <v>19</v>
      </c>
    </row>
    <row r="79" spans="1:14" x14ac:dyDescent="0.35">
      <c r="A79" s="2" t="s">
        <v>117</v>
      </c>
      <c r="B79" s="2">
        <v>39.5</v>
      </c>
      <c r="C79" s="2" t="s">
        <v>20</v>
      </c>
      <c r="D79" s="2">
        <v>616</v>
      </c>
      <c r="E79" s="2">
        <v>20020</v>
      </c>
      <c r="F79" s="2">
        <v>616</v>
      </c>
      <c r="G79" s="2">
        <v>277</v>
      </c>
      <c r="H79" s="2" t="s">
        <v>118</v>
      </c>
      <c r="I79" s="2">
        <f>VLOOKUP(H79,[1]Customers!$A:$B,2,FALSE)</f>
        <v>1576</v>
      </c>
      <c r="J79" s="2">
        <v>45828</v>
      </c>
      <c r="K79" s="2" t="s">
        <v>119</v>
      </c>
      <c r="L79" s="2">
        <v>1402.87</v>
      </c>
      <c r="N79" s="3" t="s">
        <v>19</v>
      </c>
    </row>
    <row r="80" spans="1:14" x14ac:dyDescent="0.35">
      <c r="A80" s="2" t="s">
        <v>120</v>
      </c>
      <c r="B80" s="2">
        <v>40</v>
      </c>
      <c r="C80" s="2" t="s">
        <v>16</v>
      </c>
      <c r="D80" s="2">
        <v>968</v>
      </c>
      <c r="E80" s="2">
        <v>20020</v>
      </c>
      <c r="G80" s="2">
        <v>384</v>
      </c>
      <c r="H80" s="2" t="s">
        <v>121</v>
      </c>
      <c r="I80" s="2">
        <f>VLOOKUP(H80,[1]Customers!$A:$B,2,FALSE)</f>
        <v>1548</v>
      </c>
      <c r="J80" s="2">
        <v>45721</v>
      </c>
      <c r="K80" s="2" t="s">
        <v>122</v>
      </c>
      <c r="M80" s="2">
        <v>625929.09</v>
      </c>
      <c r="N80" s="3" t="s">
        <v>19</v>
      </c>
    </row>
    <row r="81" spans="1:15" x14ac:dyDescent="0.35">
      <c r="A81" s="2" t="s">
        <v>120</v>
      </c>
      <c r="B81" s="2">
        <v>40.5</v>
      </c>
      <c r="C81" s="2" t="s">
        <v>20</v>
      </c>
      <c r="D81" s="2">
        <v>616</v>
      </c>
      <c r="E81" s="2">
        <v>20020</v>
      </c>
      <c r="F81" s="2">
        <v>616</v>
      </c>
      <c r="G81" s="2">
        <v>384</v>
      </c>
      <c r="H81" s="2" t="s">
        <v>121</v>
      </c>
      <c r="I81" s="2">
        <f>VLOOKUP(H81,[1]Customers!$A:$B,2,FALSE)</f>
        <v>1548</v>
      </c>
      <c r="J81" s="2">
        <v>45721</v>
      </c>
      <c r="K81" s="2" t="s">
        <v>122</v>
      </c>
      <c r="L81" s="2">
        <v>625929.09</v>
      </c>
      <c r="N81" s="3" t="s">
        <v>19</v>
      </c>
    </row>
    <row r="82" spans="1:15" x14ac:dyDescent="0.35">
      <c r="A82" s="2" t="s">
        <v>123</v>
      </c>
      <c r="B82" s="2">
        <v>41</v>
      </c>
      <c r="C82" s="2" t="s">
        <v>16</v>
      </c>
      <c r="D82" s="2">
        <v>968</v>
      </c>
      <c r="E82" s="2">
        <v>20020</v>
      </c>
      <c r="G82" s="2">
        <v>494</v>
      </c>
      <c r="H82" s="2" t="s">
        <v>121</v>
      </c>
      <c r="I82" s="2">
        <f>VLOOKUP(H82,[1]Customers!$A:$B,2,FALSE)</f>
        <v>1548</v>
      </c>
      <c r="J82" s="2">
        <v>45611</v>
      </c>
      <c r="K82" s="2" t="s">
        <v>122</v>
      </c>
      <c r="M82" s="2">
        <v>141523.45000000001</v>
      </c>
      <c r="N82" s="3" t="s">
        <v>19</v>
      </c>
    </row>
    <row r="83" spans="1:15" x14ac:dyDescent="0.35">
      <c r="A83" s="2" t="s">
        <v>123</v>
      </c>
      <c r="B83" s="2">
        <v>41.5</v>
      </c>
      <c r="C83" s="2" t="s">
        <v>20</v>
      </c>
      <c r="D83" s="2">
        <v>616</v>
      </c>
      <c r="E83" s="2">
        <v>20020</v>
      </c>
      <c r="F83" s="2">
        <v>616</v>
      </c>
      <c r="G83" s="2">
        <v>494</v>
      </c>
      <c r="H83" s="2" t="s">
        <v>121</v>
      </c>
      <c r="I83" s="2">
        <f>VLOOKUP(H83,[1]Customers!$A:$B,2,FALSE)</f>
        <v>1548</v>
      </c>
      <c r="J83" s="2">
        <v>45611</v>
      </c>
      <c r="K83" s="2" t="s">
        <v>122</v>
      </c>
      <c r="L83" s="2">
        <v>141523.45000000001</v>
      </c>
      <c r="N83" s="3" t="s">
        <v>19</v>
      </c>
    </row>
    <row r="84" spans="1:15" x14ac:dyDescent="0.35">
      <c r="A84" s="2" t="s">
        <v>124</v>
      </c>
      <c r="B84" s="2">
        <v>42</v>
      </c>
      <c r="C84" s="2" t="s">
        <v>16</v>
      </c>
      <c r="D84" s="2">
        <v>968</v>
      </c>
      <c r="E84" s="2">
        <v>20020</v>
      </c>
      <c r="G84" s="2">
        <v>293</v>
      </c>
      <c r="H84" s="2" t="s">
        <v>125</v>
      </c>
      <c r="I84" s="2">
        <f>VLOOKUP(H84,[1]Customers!$A:$B,2,FALSE)</f>
        <v>2577</v>
      </c>
      <c r="J84" s="2">
        <v>45812</v>
      </c>
      <c r="K84" s="2" t="s">
        <v>126</v>
      </c>
      <c r="M84" s="2">
        <v>32003.74</v>
      </c>
      <c r="N84" s="3" t="s">
        <v>19</v>
      </c>
    </row>
    <row r="85" spans="1:15" x14ac:dyDescent="0.35">
      <c r="A85" s="2" t="s">
        <v>124</v>
      </c>
      <c r="B85" s="2">
        <v>42.5</v>
      </c>
      <c r="C85" s="2" t="s">
        <v>20</v>
      </c>
      <c r="D85" s="2">
        <v>616</v>
      </c>
      <c r="E85" s="2">
        <v>20020</v>
      </c>
      <c r="F85" s="2">
        <v>616</v>
      </c>
      <c r="G85" s="2">
        <v>293</v>
      </c>
      <c r="H85" s="2" t="s">
        <v>125</v>
      </c>
      <c r="I85" s="2">
        <f>VLOOKUP(H85,[1]Customers!$A:$B,2,FALSE)</f>
        <v>2577</v>
      </c>
      <c r="J85" s="2">
        <v>45812</v>
      </c>
      <c r="K85" s="2" t="s">
        <v>126</v>
      </c>
      <c r="L85" s="2">
        <v>32003.74</v>
      </c>
      <c r="N85" s="3" t="s">
        <v>19</v>
      </c>
    </row>
    <row r="86" spans="1:15" x14ac:dyDescent="0.35">
      <c r="A86" s="2" t="s">
        <v>127</v>
      </c>
      <c r="B86" s="2">
        <v>43</v>
      </c>
      <c r="C86" s="2" t="s">
        <v>16</v>
      </c>
      <c r="D86" s="2">
        <v>968</v>
      </c>
      <c r="E86" s="2">
        <v>20020</v>
      </c>
      <c r="G86" s="2">
        <v>279</v>
      </c>
      <c r="H86" s="2" t="s">
        <v>125</v>
      </c>
      <c r="I86" s="2">
        <f>VLOOKUP(H86,[1]Customers!$A:$B,2,FALSE)</f>
        <v>2577</v>
      </c>
      <c r="J86" s="2">
        <v>45826</v>
      </c>
      <c r="K86" s="2" t="s">
        <v>128</v>
      </c>
      <c r="M86" s="2">
        <v>15100.62</v>
      </c>
      <c r="N86" s="3" t="s">
        <v>19</v>
      </c>
    </row>
    <row r="87" spans="1:15" x14ac:dyDescent="0.35">
      <c r="A87" s="2" t="s">
        <v>127</v>
      </c>
      <c r="B87" s="2">
        <v>43.5</v>
      </c>
      <c r="C87" s="2" t="s">
        <v>20</v>
      </c>
      <c r="D87" s="2">
        <v>616</v>
      </c>
      <c r="E87" s="2">
        <v>20020</v>
      </c>
      <c r="F87" s="2">
        <v>616</v>
      </c>
      <c r="G87" s="2">
        <v>279</v>
      </c>
      <c r="H87" s="2" t="s">
        <v>125</v>
      </c>
      <c r="I87" s="2">
        <f>VLOOKUP(H87,[1]Customers!$A:$B,2,FALSE)</f>
        <v>2577</v>
      </c>
      <c r="J87" s="2">
        <v>45826</v>
      </c>
      <c r="K87" s="2" t="s">
        <v>128</v>
      </c>
      <c r="L87" s="2">
        <v>15100.62</v>
      </c>
      <c r="N87" s="3" t="s">
        <v>19</v>
      </c>
    </row>
    <row r="88" spans="1:15" x14ac:dyDescent="0.35">
      <c r="A88" s="2" t="s">
        <v>129</v>
      </c>
      <c r="B88" s="2">
        <v>44</v>
      </c>
      <c r="C88" s="2" t="s">
        <v>16</v>
      </c>
      <c r="D88" s="2">
        <v>968</v>
      </c>
      <c r="E88" s="2">
        <v>20020</v>
      </c>
      <c r="G88" s="2">
        <v>351</v>
      </c>
      <c r="H88" s="2" t="s">
        <v>130</v>
      </c>
      <c r="I88" s="2">
        <f>VLOOKUP(H88,[1]Customers!$A:$B,2,FALSE)</f>
        <v>464</v>
      </c>
      <c r="J88" s="2">
        <v>45754</v>
      </c>
      <c r="K88" s="2" t="s">
        <v>131</v>
      </c>
      <c r="M88" s="2">
        <v>10435.040000000001</v>
      </c>
      <c r="N88" s="3" t="s">
        <v>19</v>
      </c>
    </row>
    <row r="89" spans="1:15" x14ac:dyDescent="0.35">
      <c r="A89" s="2" t="s">
        <v>129</v>
      </c>
      <c r="B89" s="2">
        <v>44.5</v>
      </c>
      <c r="C89" s="2" t="s">
        <v>20</v>
      </c>
      <c r="D89" s="2">
        <v>616</v>
      </c>
      <c r="E89" s="2">
        <v>20020</v>
      </c>
      <c r="F89" s="2">
        <v>616</v>
      </c>
      <c r="G89" s="2">
        <v>351</v>
      </c>
      <c r="H89" s="2" t="s">
        <v>130</v>
      </c>
      <c r="I89" s="2">
        <f>VLOOKUP(H89,[1]Customers!$A:$B,2,FALSE)</f>
        <v>464</v>
      </c>
      <c r="J89" s="2">
        <v>45754</v>
      </c>
      <c r="K89" s="2" t="s">
        <v>131</v>
      </c>
      <c r="L89" s="2">
        <v>10435.040000000001</v>
      </c>
      <c r="N89" s="3" t="s">
        <v>19</v>
      </c>
    </row>
    <row r="90" spans="1:15" ht="15" customHeight="1" x14ac:dyDescent="0.35">
      <c r="A90" s="2" t="s">
        <v>132</v>
      </c>
      <c r="B90" s="2">
        <v>45</v>
      </c>
      <c r="C90" s="2" t="s">
        <v>16</v>
      </c>
      <c r="D90" s="2">
        <v>968</v>
      </c>
      <c r="E90" s="2">
        <v>20020</v>
      </c>
      <c r="G90" s="2">
        <v>601</v>
      </c>
      <c r="H90" s="2" t="s">
        <v>130</v>
      </c>
      <c r="I90" s="2">
        <f>VLOOKUP(H90,[1]Customers!$A:$B,2,FALSE)</f>
        <v>464</v>
      </c>
      <c r="J90" s="2">
        <v>45504</v>
      </c>
      <c r="K90" s="2" t="s">
        <v>131</v>
      </c>
      <c r="M90" s="2">
        <v>10435.040000000001</v>
      </c>
      <c r="N90" s="3" t="s">
        <v>19</v>
      </c>
    </row>
    <row r="91" spans="1:15" x14ac:dyDescent="0.35">
      <c r="A91" s="2" t="s">
        <v>132</v>
      </c>
      <c r="B91" s="2">
        <v>45.5</v>
      </c>
      <c r="C91" s="2" t="s">
        <v>20</v>
      </c>
      <c r="D91" s="2">
        <v>616</v>
      </c>
      <c r="E91" s="2">
        <v>20020</v>
      </c>
      <c r="F91" s="2">
        <v>616</v>
      </c>
      <c r="G91" s="2">
        <v>601</v>
      </c>
      <c r="H91" s="2" t="s">
        <v>130</v>
      </c>
      <c r="I91" s="2">
        <f>VLOOKUP(H91,[1]Customers!$A:$B,2,FALSE)</f>
        <v>464</v>
      </c>
      <c r="J91" s="2">
        <v>45504</v>
      </c>
      <c r="K91" s="2" t="s">
        <v>131</v>
      </c>
      <c r="L91" s="2">
        <v>10435.040000000001</v>
      </c>
      <c r="N91" s="3" t="s">
        <v>19</v>
      </c>
    </row>
    <row r="92" spans="1:15" x14ac:dyDescent="0.35">
      <c r="A92" s="2" t="s">
        <v>133</v>
      </c>
      <c r="B92" s="2">
        <v>46</v>
      </c>
      <c r="C92" s="2" t="s">
        <v>16</v>
      </c>
      <c r="D92" s="2">
        <v>968</v>
      </c>
      <c r="E92" s="2">
        <v>20020</v>
      </c>
      <c r="G92" s="2">
        <v>637</v>
      </c>
      <c r="H92" s="2" t="s">
        <v>130</v>
      </c>
      <c r="I92" s="2">
        <f>VLOOKUP(H92,[1]Customers!$A:$B,2,FALSE)</f>
        <v>464</v>
      </c>
      <c r="J92" s="2">
        <v>45468</v>
      </c>
      <c r="K92" s="2" t="s">
        <v>134</v>
      </c>
      <c r="M92" s="2">
        <v>27104</v>
      </c>
      <c r="N92" s="3" t="s">
        <v>19</v>
      </c>
      <c r="O92" s="2">
        <v>36920</v>
      </c>
    </row>
    <row r="93" spans="1:15" x14ac:dyDescent="0.35">
      <c r="A93" s="2" t="s">
        <v>133</v>
      </c>
      <c r="B93" s="2">
        <v>46.5</v>
      </c>
      <c r="C93" s="2" t="s">
        <v>20</v>
      </c>
      <c r="D93" s="2">
        <v>616</v>
      </c>
      <c r="E93" s="2">
        <v>20020</v>
      </c>
      <c r="F93" s="2">
        <v>616</v>
      </c>
      <c r="G93" s="2">
        <v>637</v>
      </c>
      <c r="H93" s="2" t="s">
        <v>130</v>
      </c>
      <c r="I93" s="2">
        <f>VLOOKUP(H93,[1]Customers!$A:$B,2,FALSE)</f>
        <v>464</v>
      </c>
      <c r="J93" s="2">
        <v>45468</v>
      </c>
      <c r="K93" s="2" t="s">
        <v>134</v>
      </c>
      <c r="L93" s="2">
        <v>27104</v>
      </c>
      <c r="N93" s="3" t="s">
        <v>19</v>
      </c>
      <c r="O93" s="2">
        <v>36920</v>
      </c>
    </row>
    <row r="94" spans="1:15" x14ac:dyDescent="0.35">
      <c r="A94" s="2" t="s">
        <v>135</v>
      </c>
      <c r="B94" s="2">
        <v>47</v>
      </c>
      <c r="C94" s="2" t="s">
        <v>16</v>
      </c>
      <c r="D94" s="2">
        <v>968</v>
      </c>
      <c r="E94" s="2">
        <v>20020</v>
      </c>
      <c r="G94" s="2">
        <v>333</v>
      </c>
      <c r="H94" s="2" t="s">
        <v>136</v>
      </c>
      <c r="I94" s="2">
        <f>VLOOKUP(H94,[1]Customers!$A:$B,2,FALSE)</f>
        <v>2371</v>
      </c>
      <c r="J94" s="2">
        <v>45772</v>
      </c>
      <c r="K94" s="2" t="s">
        <v>137</v>
      </c>
      <c r="M94" s="2">
        <v>51651.71</v>
      </c>
      <c r="N94" s="3" t="s">
        <v>19</v>
      </c>
    </row>
    <row r="95" spans="1:15" x14ac:dyDescent="0.35">
      <c r="A95" s="2" t="s">
        <v>135</v>
      </c>
      <c r="B95" s="2">
        <v>47.5</v>
      </c>
      <c r="C95" s="2" t="s">
        <v>20</v>
      </c>
      <c r="D95" s="2">
        <v>616</v>
      </c>
      <c r="E95" s="2">
        <v>20020</v>
      </c>
      <c r="F95" s="2">
        <v>616</v>
      </c>
      <c r="G95" s="2">
        <v>333</v>
      </c>
      <c r="H95" s="2" t="s">
        <v>136</v>
      </c>
      <c r="I95" s="2">
        <f>VLOOKUP(H95,[1]Customers!$A:$B,2,FALSE)</f>
        <v>2371</v>
      </c>
      <c r="J95" s="2">
        <v>45772</v>
      </c>
      <c r="K95" s="2" t="s">
        <v>137</v>
      </c>
      <c r="L95" s="2">
        <v>51651.71</v>
      </c>
      <c r="N95" s="3" t="s">
        <v>19</v>
      </c>
    </row>
    <row r="96" spans="1:15" x14ac:dyDescent="0.35">
      <c r="A96" s="2" t="s">
        <v>138</v>
      </c>
      <c r="B96" s="2">
        <v>48</v>
      </c>
      <c r="C96" s="2" t="s">
        <v>16</v>
      </c>
      <c r="D96" s="2">
        <v>968</v>
      </c>
      <c r="E96" s="2">
        <v>20020</v>
      </c>
      <c r="G96" s="2">
        <v>305</v>
      </c>
      <c r="H96" s="2" t="s">
        <v>139</v>
      </c>
      <c r="I96" s="2">
        <f>VLOOKUP(H96,[1]Customers!$A:$B,2,FALSE)</f>
        <v>474</v>
      </c>
      <c r="J96" s="2">
        <v>45800</v>
      </c>
      <c r="K96" s="2" t="s">
        <v>140</v>
      </c>
      <c r="M96" s="2">
        <v>179770.18</v>
      </c>
      <c r="N96" s="3" t="s">
        <v>19</v>
      </c>
    </row>
    <row r="97" spans="1:14" x14ac:dyDescent="0.35">
      <c r="A97" s="2" t="s">
        <v>138</v>
      </c>
      <c r="B97" s="2">
        <v>48.5</v>
      </c>
      <c r="C97" s="2" t="s">
        <v>20</v>
      </c>
      <c r="D97" s="2">
        <v>616</v>
      </c>
      <c r="E97" s="2">
        <v>20020</v>
      </c>
      <c r="F97" s="2">
        <v>616</v>
      </c>
      <c r="G97" s="2">
        <v>305</v>
      </c>
      <c r="H97" s="2" t="s">
        <v>139</v>
      </c>
      <c r="I97" s="2">
        <f>VLOOKUP(H97,[1]Customers!$A:$B,2,FALSE)</f>
        <v>474</v>
      </c>
      <c r="J97" s="2">
        <v>45800</v>
      </c>
      <c r="K97" s="2" t="s">
        <v>140</v>
      </c>
      <c r="L97" s="2">
        <v>179770.18</v>
      </c>
      <c r="N97" s="3" t="s">
        <v>19</v>
      </c>
    </row>
    <row r="98" spans="1:14" x14ac:dyDescent="0.35">
      <c r="A98" s="2" t="s">
        <v>141</v>
      </c>
      <c r="B98" s="2">
        <v>49</v>
      </c>
      <c r="C98" s="2" t="s">
        <v>16</v>
      </c>
      <c r="D98" s="2">
        <v>968</v>
      </c>
      <c r="E98" s="2">
        <v>20020</v>
      </c>
      <c r="G98" s="2">
        <v>487</v>
      </c>
      <c r="H98" s="2" t="s">
        <v>139</v>
      </c>
      <c r="I98" s="2">
        <f>VLOOKUP(H98,[1]Customers!$A:$B,2,FALSE)</f>
        <v>474</v>
      </c>
      <c r="J98" s="2">
        <v>45618</v>
      </c>
      <c r="K98" s="2" t="s">
        <v>142</v>
      </c>
      <c r="M98" s="2">
        <v>250000</v>
      </c>
      <c r="N98" s="3" t="s">
        <v>19</v>
      </c>
    </row>
    <row r="99" spans="1:14" x14ac:dyDescent="0.35">
      <c r="A99" s="2" t="s">
        <v>141</v>
      </c>
      <c r="B99" s="2">
        <v>49.5</v>
      </c>
      <c r="C99" s="2" t="s">
        <v>20</v>
      </c>
      <c r="D99" s="2">
        <v>616</v>
      </c>
      <c r="E99" s="2">
        <v>20020</v>
      </c>
      <c r="F99" s="2">
        <v>616</v>
      </c>
      <c r="G99" s="2">
        <v>487</v>
      </c>
      <c r="H99" s="2" t="s">
        <v>139</v>
      </c>
      <c r="I99" s="2">
        <f>VLOOKUP(H99,[1]Customers!$A:$B,2,FALSE)</f>
        <v>474</v>
      </c>
      <c r="J99" s="2">
        <v>45618</v>
      </c>
      <c r="K99" s="2" t="s">
        <v>142</v>
      </c>
      <c r="L99" s="2">
        <v>250000</v>
      </c>
      <c r="N99" s="3" t="s">
        <v>19</v>
      </c>
    </row>
    <row r="100" spans="1:14" x14ac:dyDescent="0.35">
      <c r="A100" s="2" t="s">
        <v>143</v>
      </c>
      <c r="B100" s="2">
        <v>50</v>
      </c>
      <c r="C100" s="2" t="s">
        <v>16</v>
      </c>
      <c r="D100" s="2">
        <v>968</v>
      </c>
      <c r="E100" s="2">
        <v>20020</v>
      </c>
      <c r="G100" s="2">
        <v>488</v>
      </c>
      <c r="H100" s="2" t="s">
        <v>139</v>
      </c>
      <c r="I100" s="2">
        <f>VLOOKUP(H100,[1]Customers!$A:$B,2,FALSE)</f>
        <v>474</v>
      </c>
      <c r="J100" s="2">
        <v>45617</v>
      </c>
      <c r="K100" s="2" t="s">
        <v>142</v>
      </c>
      <c r="M100" s="2">
        <v>250000</v>
      </c>
      <c r="N100" s="3" t="s">
        <v>19</v>
      </c>
    </row>
    <row r="101" spans="1:14" x14ac:dyDescent="0.35">
      <c r="A101" s="2" t="s">
        <v>143</v>
      </c>
      <c r="B101" s="2">
        <v>50.5</v>
      </c>
      <c r="C101" s="2" t="s">
        <v>20</v>
      </c>
      <c r="D101" s="2">
        <v>616</v>
      </c>
      <c r="E101" s="2">
        <v>20020</v>
      </c>
      <c r="F101" s="2">
        <v>616</v>
      </c>
      <c r="G101" s="2">
        <v>488</v>
      </c>
      <c r="H101" s="2" t="s">
        <v>139</v>
      </c>
      <c r="I101" s="2">
        <f>VLOOKUP(H101,[1]Customers!$A:$B,2,FALSE)</f>
        <v>474</v>
      </c>
      <c r="J101" s="2">
        <v>45617</v>
      </c>
      <c r="K101" s="2" t="s">
        <v>142</v>
      </c>
      <c r="L101" s="2">
        <v>250000</v>
      </c>
      <c r="N101" s="3" t="s">
        <v>19</v>
      </c>
    </row>
    <row r="102" spans="1:14" x14ac:dyDescent="0.35">
      <c r="A102" s="2" t="s">
        <v>144</v>
      </c>
      <c r="B102" s="2">
        <v>51</v>
      </c>
      <c r="C102" s="2" t="s">
        <v>16</v>
      </c>
      <c r="D102" s="2">
        <v>968</v>
      </c>
      <c r="E102" s="2">
        <v>20020</v>
      </c>
      <c r="G102" s="2">
        <v>431</v>
      </c>
      <c r="H102" s="2" t="s">
        <v>139</v>
      </c>
      <c r="I102" s="2">
        <f>VLOOKUP(H102,[1]Customers!$A:$B,2,FALSE)</f>
        <v>474</v>
      </c>
      <c r="J102" s="2">
        <v>45674</v>
      </c>
      <c r="K102" s="2" t="s">
        <v>142</v>
      </c>
      <c r="M102" s="2">
        <v>250000</v>
      </c>
      <c r="N102" s="3" t="s">
        <v>19</v>
      </c>
    </row>
    <row r="103" spans="1:14" x14ac:dyDescent="0.35">
      <c r="A103" s="2" t="s">
        <v>144</v>
      </c>
      <c r="B103" s="2">
        <v>51.5</v>
      </c>
      <c r="C103" s="2" t="s">
        <v>20</v>
      </c>
      <c r="D103" s="2">
        <v>616</v>
      </c>
      <c r="E103" s="2">
        <v>20020</v>
      </c>
      <c r="F103" s="2">
        <v>616</v>
      </c>
      <c r="G103" s="2">
        <v>431</v>
      </c>
      <c r="H103" s="2" t="s">
        <v>139</v>
      </c>
      <c r="I103" s="2">
        <f>VLOOKUP(H103,[1]Customers!$A:$B,2,FALSE)</f>
        <v>474</v>
      </c>
      <c r="J103" s="2">
        <v>45674</v>
      </c>
      <c r="K103" s="2" t="s">
        <v>142</v>
      </c>
      <c r="L103" s="2">
        <v>250000</v>
      </c>
      <c r="N103" s="3" t="s">
        <v>19</v>
      </c>
    </row>
    <row r="104" spans="1:14" x14ac:dyDescent="0.35">
      <c r="A104" s="2" t="s">
        <v>145</v>
      </c>
      <c r="B104" s="2">
        <v>52</v>
      </c>
      <c r="C104" s="2" t="s">
        <v>16</v>
      </c>
      <c r="D104" s="2">
        <v>968</v>
      </c>
      <c r="E104" s="2">
        <v>20020</v>
      </c>
      <c r="G104" s="2">
        <v>461</v>
      </c>
      <c r="H104" s="4" t="s">
        <v>146</v>
      </c>
      <c r="I104" s="2">
        <f>VLOOKUP(H104,[1]Customers!$A:$B,2,FALSE)</f>
        <v>2574</v>
      </c>
      <c r="J104" s="2">
        <v>45644</v>
      </c>
      <c r="K104" s="2" t="s">
        <v>147</v>
      </c>
      <c r="M104" s="2">
        <v>1331.91</v>
      </c>
      <c r="N104" s="3" t="s">
        <v>19</v>
      </c>
    </row>
    <row r="105" spans="1:14" x14ac:dyDescent="0.35">
      <c r="A105" s="2" t="s">
        <v>145</v>
      </c>
      <c r="B105" s="2">
        <v>52.5</v>
      </c>
      <c r="C105" s="2" t="s">
        <v>20</v>
      </c>
      <c r="D105" s="2">
        <v>616</v>
      </c>
      <c r="E105" s="2">
        <v>20020</v>
      </c>
      <c r="F105" s="2">
        <v>616</v>
      </c>
      <c r="G105" s="2">
        <v>461</v>
      </c>
      <c r="H105" s="4" t="s">
        <v>146</v>
      </c>
      <c r="I105" s="2">
        <f>VLOOKUP(H105,[1]Customers!$A:$B,2,FALSE)</f>
        <v>2574</v>
      </c>
      <c r="J105" s="2">
        <v>45644</v>
      </c>
      <c r="K105" s="2" t="s">
        <v>147</v>
      </c>
      <c r="L105" s="2">
        <v>1331.91</v>
      </c>
      <c r="N105" s="3" t="s">
        <v>19</v>
      </c>
    </row>
    <row r="106" spans="1:14" x14ac:dyDescent="0.35">
      <c r="A106" s="2" t="s">
        <v>148</v>
      </c>
      <c r="B106" s="2">
        <v>53</v>
      </c>
      <c r="C106" s="2" t="s">
        <v>16</v>
      </c>
      <c r="D106" s="2">
        <v>968</v>
      </c>
      <c r="E106" s="2">
        <v>20020</v>
      </c>
      <c r="G106" s="2">
        <v>274</v>
      </c>
      <c r="H106" s="2" t="s">
        <v>146</v>
      </c>
      <c r="I106" s="2">
        <f>VLOOKUP(H106,[1]Customers!$A:$B,2,FALSE)</f>
        <v>2574</v>
      </c>
      <c r="J106" s="2">
        <v>45831</v>
      </c>
      <c r="K106" s="2" t="s">
        <v>149</v>
      </c>
      <c r="M106" s="2">
        <v>33300</v>
      </c>
      <c r="N106" s="3" t="s">
        <v>19</v>
      </c>
    </row>
    <row r="107" spans="1:14" x14ac:dyDescent="0.35">
      <c r="A107" s="2" t="s">
        <v>148</v>
      </c>
      <c r="B107" s="2">
        <v>53.5</v>
      </c>
      <c r="C107" s="2" t="s">
        <v>20</v>
      </c>
      <c r="D107" s="2">
        <v>616</v>
      </c>
      <c r="E107" s="2">
        <v>20020</v>
      </c>
      <c r="F107" s="2">
        <v>616</v>
      </c>
      <c r="G107" s="2">
        <v>274</v>
      </c>
      <c r="H107" s="2" t="s">
        <v>146</v>
      </c>
      <c r="I107" s="2">
        <f>VLOOKUP(H107,[1]Customers!$A:$B,2,FALSE)</f>
        <v>2574</v>
      </c>
      <c r="J107" s="2">
        <v>45831</v>
      </c>
      <c r="K107" s="2" t="s">
        <v>149</v>
      </c>
      <c r="L107" s="2">
        <v>33300</v>
      </c>
      <c r="N107" s="3" t="s">
        <v>19</v>
      </c>
    </row>
    <row r="108" spans="1:14" x14ac:dyDescent="0.35">
      <c r="A108" s="2" t="s">
        <v>150</v>
      </c>
      <c r="B108" s="2">
        <v>54</v>
      </c>
      <c r="C108" s="2" t="s">
        <v>16</v>
      </c>
      <c r="D108" s="2">
        <v>968</v>
      </c>
      <c r="E108" s="2">
        <v>20020</v>
      </c>
      <c r="G108" s="2">
        <v>286</v>
      </c>
      <c r="H108" s="2" t="s">
        <v>151</v>
      </c>
      <c r="I108" s="2">
        <f>VLOOKUP(H108,[1]Customers!$A:$B,2,FALSE)</f>
        <v>3321</v>
      </c>
      <c r="J108" s="2">
        <v>45819</v>
      </c>
      <c r="K108" s="2" t="s">
        <v>152</v>
      </c>
      <c r="M108" s="2">
        <v>64469.49</v>
      </c>
      <c r="N108" s="3" t="s">
        <v>19</v>
      </c>
    </row>
    <row r="109" spans="1:14" x14ac:dyDescent="0.35">
      <c r="A109" s="2" t="s">
        <v>150</v>
      </c>
      <c r="B109" s="2">
        <v>54.5</v>
      </c>
      <c r="C109" s="2" t="s">
        <v>20</v>
      </c>
      <c r="D109" s="2">
        <v>616</v>
      </c>
      <c r="E109" s="2">
        <v>20020</v>
      </c>
      <c r="F109" s="2">
        <v>616</v>
      </c>
      <c r="G109" s="2">
        <v>286</v>
      </c>
      <c r="H109" s="2" t="s">
        <v>151</v>
      </c>
      <c r="I109" s="2">
        <f>VLOOKUP(H109,[1]Customers!$A:$B,2,FALSE)</f>
        <v>3321</v>
      </c>
      <c r="J109" s="2">
        <v>45819</v>
      </c>
      <c r="K109" s="2" t="s">
        <v>152</v>
      </c>
      <c r="L109" s="2">
        <v>64469.49</v>
      </c>
      <c r="N109" s="3" t="s">
        <v>19</v>
      </c>
    </row>
    <row r="110" spans="1:14" x14ac:dyDescent="0.35">
      <c r="A110" s="2" t="s">
        <v>153</v>
      </c>
      <c r="B110" s="2">
        <v>55</v>
      </c>
      <c r="C110" s="2" t="s">
        <v>16</v>
      </c>
      <c r="D110" s="2">
        <v>968</v>
      </c>
      <c r="E110" s="2">
        <v>20020</v>
      </c>
      <c r="G110" s="2">
        <v>328</v>
      </c>
      <c r="H110" s="2" t="s">
        <v>154</v>
      </c>
      <c r="I110" s="2">
        <f>VLOOKUP(H110,[1]Customers!$A:$B,2,FALSE)</f>
        <v>485</v>
      </c>
      <c r="J110" s="2">
        <v>45777</v>
      </c>
      <c r="K110" s="2" t="s">
        <v>155</v>
      </c>
      <c r="M110" s="2">
        <v>8529.09</v>
      </c>
      <c r="N110" s="3" t="s">
        <v>19</v>
      </c>
    </row>
    <row r="111" spans="1:14" x14ac:dyDescent="0.35">
      <c r="A111" s="2" t="s">
        <v>153</v>
      </c>
      <c r="B111" s="2">
        <v>55.5</v>
      </c>
      <c r="C111" s="2" t="s">
        <v>20</v>
      </c>
      <c r="D111" s="2">
        <v>616</v>
      </c>
      <c r="E111" s="2">
        <v>20020</v>
      </c>
      <c r="F111" s="2">
        <v>616</v>
      </c>
      <c r="G111" s="2">
        <v>328</v>
      </c>
      <c r="H111" s="2" t="s">
        <v>154</v>
      </c>
      <c r="I111" s="2">
        <f>VLOOKUP(H111,[1]Customers!$A:$B,2,FALSE)</f>
        <v>485</v>
      </c>
      <c r="J111" s="2">
        <v>45777</v>
      </c>
      <c r="K111" s="2" t="s">
        <v>155</v>
      </c>
      <c r="L111" s="2">
        <v>8529.09</v>
      </c>
      <c r="N111" s="3" t="s">
        <v>19</v>
      </c>
    </row>
    <row r="112" spans="1:14" x14ac:dyDescent="0.35">
      <c r="A112" s="2" t="s">
        <v>156</v>
      </c>
      <c r="B112" s="2">
        <v>56</v>
      </c>
      <c r="C112" s="2" t="s">
        <v>16</v>
      </c>
      <c r="D112" s="2">
        <v>968</v>
      </c>
      <c r="E112" s="2">
        <v>20020</v>
      </c>
      <c r="G112" s="2">
        <v>288</v>
      </c>
      <c r="H112" s="2" t="s">
        <v>157</v>
      </c>
      <c r="I112" s="2">
        <f>VLOOKUP(H112,[1]Customers!$A:$B,2,FALSE)</f>
        <v>487</v>
      </c>
      <c r="J112" s="2">
        <v>45817</v>
      </c>
      <c r="K112" s="2" t="s">
        <v>158</v>
      </c>
      <c r="M112" s="2">
        <v>32336.94</v>
      </c>
      <c r="N112" s="3" t="s">
        <v>19</v>
      </c>
    </row>
    <row r="113" spans="1:15" x14ac:dyDescent="0.35">
      <c r="A113" s="2" t="s">
        <v>156</v>
      </c>
      <c r="B113" s="2">
        <v>56.5</v>
      </c>
      <c r="C113" s="2" t="s">
        <v>20</v>
      </c>
      <c r="D113" s="2">
        <v>616</v>
      </c>
      <c r="E113" s="2">
        <v>20020</v>
      </c>
      <c r="F113" s="2">
        <v>616</v>
      </c>
      <c r="G113" s="2">
        <v>288</v>
      </c>
      <c r="H113" s="2" t="s">
        <v>157</v>
      </c>
      <c r="I113" s="2">
        <f>VLOOKUP(H113,[1]Customers!$A:$B,2,FALSE)</f>
        <v>487</v>
      </c>
      <c r="J113" s="2">
        <v>45817</v>
      </c>
      <c r="K113" s="2" t="s">
        <v>158</v>
      </c>
      <c r="L113" s="2">
        <v>32336.94</v>
      </c>
      <c r="N113" s="3" t="s">
        <v>19</v>
      </c>
    </row>
    <row r="114" spans="1:15" x14ac:dyDescent="0.35">
      <c r="A114" s="2" t="s">
        <v>159</v>
      </c>
      <c r="B114" s="2">
        <v>57</v>
      </c>
      <c r="C114" s="2" t="s">
        <v>16</v>
      </c>
      <c r="D114" s="2">
        <v>968</v>
      </c>
      <c r="E114" s="2">
        <v>20020</v>
      </c>
      <c r="G114" s="2">
        <v>497</v>
      </c>
      <c r="H114" s="2" t="s">
        <v>157</v>
      </c>
      <c r="I114" s="2">
        <f>VLOOKUP(H114,[1]Customers!$A:$B,2,FALSE)</f>
        <v>487</v>
      </c>
      <c r="J114" s="2">
        <v>45608</v>
      </c>
      <c r="K114" s="2" t="s">
        <v>160</v>
      </c>
      <c r="M114" s="2">
        <v>1050.5</v>
      </c>
      <c r="N114" s="3" t="s">
        <v>19</v>
      </c>
    </row>
    <row r="115" spans="1:15" x14ac:dyDescent="0.35">
      <c r="A115" s="2" t="s">
        <v>159</v>
      </c>
      <c r="B115" s="2">
        <v>57.5</v>
      </c>
      <c r="C115" s="2" t="s">
        <v>20</v>
      </c>
      <c r="D115" s="2">
        <v>616</v>
      </c>
      <c r="E115" s="2">
        <v>20020</v>
      </c>
      <c r="F115" s="2">
        <v>616</v>
      </c>
      <c r="G115" s="2">
        <v>497</v>
      </c>
      <c r="H115" s="2" t="s">
        <v>157</v>
      </c>
      <c r="I115" s="2">
        <f>VLOOKUP(H115,[1]Customers!$A:$B,2,FALSE)</f>
        <v>487</v>
      </c>
      <c r="J115" s="2">
        <v>45608</v>
      </c>
      <c r="K115" s="2" t="s">
        <v>160</v>
      </c>
      <c r="L115" s="2">
        <v>1050.5</v>
      </c>
      <c r="N115" s="3" t="s">
        <v>19</v>
      </c>
    </row>
    <row r="116" spans="1:15" x14ac:dyDescent="0.35">
      <c r="A116" s="2" t="s">
        <v>161</v>
      </c>
      <c r="B116" s="2">
        <v>58</v>
      </c>
      <c r="C116" s="2" t="s">
        <v>16</v>
      </c>
      <c r="D116" s="2">
        <v>968</v>
      </c>
      <c r="E116" s="2">
        <v>20020</v>
      </c>
      <c r="G116" s="2">
        <v>273</v>
      </c>
      <c r="H116" s="2" t="s">
        <v>157</v>
      </c>
      <c r="I116" s="2">
        <f>VLOOKUP(H116,[1]Customers!$A:$B,2,FALSE)</f>
        <v>487</v>
      </c>
      <c r="J116" s="2">
        <v>45832</v>
      </c>
      <c r="K116" s="2" t="s">
        <v>162</v>
      </c>
      <c r="M116" s="2">
        <v>7600</v>
      </c>
      <c r="N116" s="3" t="s">
        <v>19</v>
      </c>
    </row>
    <row r="117" spans="1:15" ht="15" customHeight="1" x14ac:dyDescent="0.35">
      <c r="A117" s="2" t="s">
        <v>161</v>
      </c>
      <c r="B117" s="2">
        <v>58.5</v>
      </c>
      <c r="C117" s="2" t="s">
        <v>20</v>
      </c>
      <c r="D117" s="2">
        <v>616</v>
      </c>
      <c r="E117" s="2">
        <v>20020</v>
      </c>
      <c r="F117" s="2">
        <v>616</v>
      </c>
      <c r="G117" s="2">
        <v>273</v>
      </c>
      <c r="H117" s="2" t="s">
        <v>157</v>
      </c>
      <c r="I117" s="2">
        <f>VLOOKUP(H117,[1]Customers!$A:$B,2,FALSE)</f>
        <v>487</v>
      </c>
      <c r="J117" s="2">
        <v>45832</v>
      </c>
      <c r="K117" s="2" t="s">
        <v>162</v>
      </c>
      <c r="L117" s="2">
        <v>7600</v>
      </c>
      <c r="N117" s="3" t="s">
        <v>19</v>
      </c>
    </row>
    <row r="118" spans="1:15" x14ac:dyDescent="0.35">
      <c r="A118" s="2" t="s">
        <v>163</v>
      </c>
      <c r="B118" s="2">
        <v>59</v>
      </c>
      <c r="C118" s="2" t="s">
        <v>16</v>
      </c>
      <c r="D118" s="2">
        <v>968</v>
      </c>
      <c r="E118" s="2">
        <v>20020</v>
      </c>
      <c r="G118" s="2">
        <v>671</v>
      </c>
      <c r="H118" s="2" t="s">
        <v>164</v>
      </c>
      <c r="I118" s="2">
        <f>VLOOKUP(H118,[1]Customers!$A:$B,2,FALSE)</f>
        <v>3546</v>
      </c>
      <c r="J118" s="2">
        <v>45434</v>
      </c>
      <c r="K118" s="2" t="s">
        <v>165</v>
      </c>
      <c r="M118" s="2">
        <v>340</v>
      </c>
      <c r="N118" s="3" t="s">
        <v>19</v>
      </c>
      <c r="O118" s="2">
        <v>36162</v>
      </c>
    </row>
    <row r="119" spans="1:15" x14ac:dyDescent="0.35">
      <c r="A119" s="2" t="s">
        <v>163</v>
      </c>
      <c r="B119" s="2">
        <v>59.5</v>
      </c>
      <c r="C119" s="2" t="s">
        <v>20</v>
      </c>
      <c r="D119" s="2">
        <v>616</v>
      </c>
      <c r="E119" s="2">
        <v>20020</v>
      </c>
      <c r="F119" s="2">
        <v>616</v>
      </c>
      <c r="G119" s="2">
        <v>671</v>
      </c>
      <c r="H119" s="2" t="s">
        <v>164</v>
      </c>
      <c r="I119" s="2">
        <f>VLOOKUP(H119,[1]Customers!$A:$B,2,FALSE)</f>
        <v>3546</v>
      </c>
      <c r="J119" s="2">
        <v>45434</v>
      </c>
      <c r="K119" s="2" t="s">
        <v>165</v>
      </c>
      <c r="L119" s="2">
        <v>340</v>
      </c>
      <c r="N119" s="3" t="s">
        <v>19</v>
      </c>
      <c r="O119" s="2">
        <v>36162</v>
      </c>
    </row>
    <row r="120" spans="1:15" x14ac:dyDescent="0.35">
      <c r="A120" s="2" t="s">
        <v>166</v>
      </c>
      <c r="B120" s="2">
        <v>60</v>
      </c>
      <c r="C120" s="2" t="s">
        <v>16</v>
      </c>
      <c r="D120" s="2">
        <v>968</v>
      </c>
      <c r="E120" s="2">
        <v>20020</v>
      </c>
      <c r="G120" s="2">
        <v>915</v>
      </c>
      <c r="H120" s="2" t="s">
        <v>167</v>
      </c>
      <c r="I120" s="2">
        <f>VLOOKUP(H120,[1]Customers!$A:$B,2,FALSE)</f>
        <v>3323</v>
      </c>
      <c r="J120" s="2">
        <v>45190</v>
      </c>
      <c r="K120" s="2" t="s">
        <v>168</v>
      </c>
      <c r="M120" s="2">
        <v>3194.36</v>
      </c>
      <c r="N120" s="3" t="s">
        <v>19</v>
      </c>
    </row>
    <row r="121" spans="1:15" x14ac:dyDescent="0.35">
      <c r="A121" s="2" t="s">
        <v>166</v>
      </c>
      <c r="B121" s="2">
        <v>60.5</v>
      </c>
      <c r="C121" s="2" t="s">
        <v>20</v>
      </c>
      <c r="D121" s="2">
        <v>616</v>
      </c>
      <c r="E121" s="2">
        <v>20020</v>
      </c>
      <c r="F121" s="2">
        <v>616</v>
      </c>
      <c r="G121" s="2">
        <v>915</v>
      </c>
      <c r="H121" s="2" t="s">
        <v>167</v>
      </c>
      <c r="I121" s="2">
        <f>VLOOKUP(H121,[1]Customers!$A:$B,2,FALSE)</f>
        <v>3323</v>
      </c>
      <c r="J121" s="2">
        <v>45190</v>
      </c>
      <c r="K121" s="2" t="s">
        <v>168</v>
      </c>
      <c r="L121" s="2">
        <v>3194.36</v>
      </c>
      <c r="N121" s="3" t="s">
        <v>19</v>
      </c>
    </row>
    <row r="122" spans="1:15" x14ac:dyDescent="0.35">
      <c r="A122" s="2" t="s">
        <v>169</v>
      </c>
      <c r="B122" s="2">
        <v>61</v>
      </c>
      <c r="C122" s="2" t="s">
        <v>16</v>
      </c>
      <c r="D122" s="2">
        <v>968</v>
      </c>
      <c r="E122" s="2">
        <v>20020</v>
      </c>
      <c r="G122" s="2">
        <v>1037</v>
      </c>
      <c r="H122" s="2" t="s">
        <v>167</v>
      </c>
      <c r="I122" s="2">
        <f>VLOOKUP(H122,[1]Customers!$A:$B,2,FALSE)</f>
        <v>3323</v>
      </c>
      <c r="J122" s="2">
        <v>45068</v>
      </c>
      <c r="M122" s="2">
        <v>4677.08</v>
      </c>
      <c r="N122" s="3" t="s">
        <v>19</v>
      </c>
      <c r="O122" s="2">
        <v>34507</v>
      </c>
    </row>
    <row r="123" spans="1:15" x14ac:dyDescent="0.35">
      <c r="A123" s="2" t="s">
        <v>169</v>
      </c>
      <c r="B123" s="2">
        <v>61.5</v>
      </c>
      <c r="C123" s="2" t="s">
        <v>20</v>
      </c>
      <c r="D123" s="2">
        <v>616</v>
      </c>
      <c r="E123" s="2">
        <v>20020</v>
      </c>
      <c r="F123" s="2">
        <v>616</v>
      </c>
      <c r="G123" s="2">
        <v>1037</v>
      </c>
      <c r="H123" s="2" t="s">
        <v>167</v>
      </c>
      <c r="I123" s="2">
        <f>VLOOKUP(H123,[1]Customers!$A:$B,2,FALSE)</f>
        <v>3323</v>
      </c>
      <c r="J123" s="2">
        <v>45068</v>
      </c>
      <c r="L123" s="2">
        <v>4677.08</v>
      </c>
      <c r="N123" s="3" t="s">
        <v>19</v>
      </c>
      <c r="O123" s="2">
        <v>34507</v>
      </c>
    </row>
    <row r="124" spans="1:15" x14ac:dyDescent="0.35">
      <c r="A124" s="2" t="s">
        <v>170</v>
      </c>
      <c r="B124" s="2">
        <v>62</v>
      </c>
      <c r="C124" s="2" t="s">
        <v>16</v>
      </c>
      <c r="D124" s="2">
        <v>968</v>
      </c>
      <c r="E124" s="2">
        <v>20020</v>
      </c>
      <c r="G124" s="2">
        <v>599</v>
      </c>
      <c r="H124" s="2" t="s">
        <v>171</v>
      </c>
      <c r="I124" s="2">
        <f>VLOOKUP(H124,[1]Customers!$A:$B,2,FALSE)</f>
        <v>3324</v>
      </c>
      <c r="J124" s="2">
        <v>45506</v>
      </c>
      <c r="K124" s="2" t="s">
        <v>172</v>
      </c>
      <c r="M124" s="2">
        <v>1095.42</v>
      </c>
      <c r="N124" s="3" t="s">
        <v>19</v>
      </c>
    </row>
    <row r="125" spans="1:15" x14ac:dyDescent="0.35">
      <c r="A125" s="2" t="s">
        <v>170</v>
      </c>
      <c r="B125" s="2">
        <v>62.5</v>
      </c>
      <c r="C125" s="2" t="s">
        <v>20</v>
      </c>
      <c r="D125" s="2">
        <v>616</v>
      </c>
      <c r="E125" s="2">
        <v>20020</v>
      </c>
      <c r="F125" s="2">
        <v>616</v>
      </c>
      <c r="G125" s="2">
        <v>599</v>
      </c>
      <c r="H125" s="2" t="s">
        <v>171</v>
      </c>
      <c r="I125" s="2">
        <f>VLOOKUP(H125,[1]Customers!$A:$B,2,FALSE)</f>
        <v>3324</v>
      </c>
      <c r="J125" s="2">
        <v>45506</v>
      </c>
      <c r="K125" s="2" t="s">
        <v>172</v>
      </c>
      <c r="L125" s="2">
        <v>1095.42</v>
      </c>
      <c r="N125" s="3" t="s">
        <v>19</v>
      </c>
    </row>
    <row r="126" spans="1:15" x14ac:dyDescent="0.35">
      <c r="A126" s="2" t="s">
        <v>173</v>
      </c>
      <c r="B126" s="2">
        <v>63</v>
      </c>
      <c r="C126" s="2" t="s">
        <v>16</v>
      </c>
      <c r="D126" s="2">
        <v>968</v>
      </c>
      <c r="E126" s="2">
        <v>20020</v>
      </c>
      <c r="G126" s="2">
        <v>511</v>
      </c>
      <c r="H126" s="2" t="s">
        <v>174</v>
      </c>
      <c r="I126" s="2">
        <f>VLOOKUP(H126,[1]Customers!$A:$B,2,FALSE)</f>
        <v>1552</v>
      </c>
      <c r="J126" s="2">
        <v>45594</v>
      </c>
      <c r="K126" s="2" t="s">
        <v>175</v>
      </c>
      <c r="M126" s="2">
        <v>114.07</v>
      </c>
      <c r="N126" s="3" t="s">
        <v>19</v>
      </c>
    </row>
    <row r="127" spans="1:15" x14ac:dyDescent="0.35">
      <c r="A127" s="2" t="s">
        <v>173</v>
      </c>
      <c r="B127" s="2">
        <v>63.5</v>
      </c>
      <c r="C127" s="2" t="s">
        <v>20</v>
      </c>
      <c r="D127" s="2">
        <v>616</v>
      </c>
      <c r="E127" s="2">
        <v>20020</v>
      </c>
      <c r="F127" s="2">
        <v>616</v>
      </c>
      <c r="G127" s="2">
        <v>511</v>
      </c>
      <c r="H127" s="2" t="s">
        <v>174</v>
      </c>
      <c r="I127" s="2">
        <f>VLOOKUP(H127,[1]Customers!$A:$B,2,FALSE)</f>
        <v>1552</v>
      </c>
      <c r="J127" s="2">
        <v>45594</v>
      </c>
      <c r="K127" s="2" t="s">
        <v>175</v>
      </c>
      <c r="L127" s="2">
        <v>114.07</v>
      </c>
      <c r="N127" s="3" t="s">
        <v>19</v>
      </c>
    </row>
    <row r="128" spans="1:15" x14ac:dyDescent="0.35">
      <c r="A128" s="2" t="s">
        <v>176</v>
      </c>
      <c r="B128" s="2">
        <v>64</v>
      </c>
      <c r="C128" s="2" t="s">
        <v>16</v>
      </c>
      <c r="D128" s="2">
        <v>968</v>
      </c>
      <c r="E128" s="2">
        <v>20020</v>
      </c>
      <c r="G128" s="2">
        <v>398</v>
      </c>
      <c r="H128" s="4" t="s">
        <v>177</v>
      </c>
      <c r="I128" s="2">
        <f>VLOOKUP(H128,[1]Customers!$A:$B,2,FALSE)</f>
        <v>1558</v>
      </c>
      <c r="J128" s="2">
        <v>45707</v>
      </c>
      <c r="K128" s="2" t="s">
        <v>178</v>
      </c>
      <c r="M128" s="2">
        <v>43211.64</v>
      </c>
      <c r="N128" s="3" t="s">
        <v>19</v>
      </c>
    </row>
    <row r="129" spans="1:14" x14ac:dyDescent="0.35">
      <c r="A129" s="2" t="s">
        <v>176</v>
      </c>
      <c r="B129" s="2">
        <v>64.5</v>
      </c>
      <c r="C129" s="2" t="s">
        <v>20</v>
      </c>
      <c r="D129" s="2">
        <v>616</v>
      </c>
      <c r="E129" s="2">
        <v>20020</v>
      </c>
      <c r="F129" s="2">
        <v>616</v>
      </c>
      <c r="G129" s="2">
        <v>398</v>
      </c>
      <c r="H129" s="4" t="s">
        <v>177</v>
      </c>
      <c r="I129" s="2">
        <f>VLOOKUP(H129,[1]Customers!$A:$B,2,FALSE)</f>
        <v>1558</v>
      </c>
      <c r="J129" s="2">
        <v>45707</v>
      </c>
      <c r="K129" s="2" t="s">
        <v>178</v>
      </c>
      <c r="L129" s="2">
        <v>43211.64</v>
      </c>
      <c r="N129" s="3" t="s">
        <v>19</v>
      </c>
    </row>
    <row r="130" spans="1:14" x14ac:dyDescent="0.35">
      <c r="A130" s="2" t="s">
        <v>179</v>
      </c>
      <c r="B130" s="2">
        <v>65</v>
      </c>
      <c r="C130" s="2" t="s">
        <v>16</v>
      </c>
      <c r="D130" s="2">
        <v>968</v>
      </c>
      <c r="E130" s="2">
        <v>20020</v>
      </c>
      <c r="G130" s="2">
        <v>551</v>
      </c>
      <c r="H130" s="4" t="s">
        <v>177</v>
      </c>
      <c r="I130" s="2">
        <f>VLOOKUP(H130,[1]Customers!$A:$B,2,FALSE)</f>
        <v>1558</v>
      </c>
      <c r="J130" s="2">
        <v>45554</v>
      </c>
      <c r="K130" s="2" t="s">
        <v>178</v>
      </c>
      <c r="M130" s="2">
        <v>145779.16</v>
      </c>
      <c r="N130" s="3" t="s">
        <v>19</v>
      </c>
    </row>
    <row r="131" spans="1:14" x14ac:dyDescent="0.35">
      <c r="A131" s="2" t="s">
        <v>179</v>
      </c>
      <c r="B131" s="2">
        <v>65.5</v>
      </c>
      <c r="C131" s="2" t="s">
        <v>20</v>
      </c>
      <c r="D131" s="2">
        <v>616</v>
      </c>
      <c r="E131" s="2">
        <v>20020</v>
      </c>
      <c r="F131" s="2">
        <v>616</v>
      </c>
      <c r="G131" s="2">
        <v>551</v>
      </c>
      <c r="H131" s="4" t="s">
        <v>177</v>
      </c>
      <c r="I131" s="2">
        <f>VLOOKUP(H131,[1]Customers!$A:$B,2,FALSE)</f>
        <v>1558</v>
      </c>
      <c r="J131" s="2">
        <v>45554</v>
      </c>
      <c r="K131" s="2" t="s">
        <v>178</v>
      </c>
      <c r="L131" s="2">
        <v>145779.16</v>
      </c>
      <c r="N131" s="3" t="s">
        <v>19</v>
      </c>
    </row>
    <row r="132" spans="1:14" x14ac:dyDescent="0.35">
      <c r="A132" s="2" t="s">
        <v>180</v>
      </c>
      <c r="B132" s="2">
        <v>66</v>
      </c>
      <c r="C132" s="2" t="s">
        <v>16</v>
      </c>
      <c r="D132" s="2">
        <v>968</v>
      </c>
      <c r="E132" s="2">
        <v>20020</v>
      </c>
      <c r="G132" s="2">
        <v>428</v>
      </c>
      <c r="H132" s="2" t="s">
        <v>181</v>
      </c>
      <c r="I132" s="2">
        <f>VLOOKUP(H132,[1]Customers!$A:$B,2,FALSE)</f>
        <v>2708</v>
      </c>
      <c r="J132" s="2">
        <v>45677</v>
      </c>
      <c r="K132" s="2" t="s">
        <v>182</v>
      </c>
      <c r="M132" s="2">
        <v>1432.34</v>
      </c>
      <c r="N132" s="3" t="s">
        <v>19</v>
      </c>
    </row>
    <row r="133" spans="1:14" x14ac:dyDescent="0.35">
      <c r="A133" s="2" t="s">
        <v>180</v>
      </c>
      <c r="B133" s="2">
        <v>66.5</v>
      </c>
      <c r="C133" s="2" t="s">
        <v>20</v>
      </c>
      <c r="D133" s="2">
        <v>616</v>
      </c>
      <c r="E133" s="2">
        <v>20020</v>
      </c>
      <c r="F133" s="2">
        <v>616</v>
      </c>
      <c r="G133" s="2">
        <v>428</v>
      </c>
      <c r="H133" s="2" t="s">
        <v>181</v>
      </c>
      <c r="I133" s="2">
        <f>VLOOKUP(H133,[1]Customers!$A:$B,2,FALSE)</f>
        <v>2708</v>
      </c>
      <c r="J133" s="2">
        <v>45677</v>
      </c>
      <c r="K133" s="2" t="s">
        <v>182</v>
      </c>
      <c r="L133" s="2">
        <v>1432.34</v>
      </c>
      <c r="N133" s="3" t="s">
        <v>19</v>
      </c>
    </row>
    <row r="134" spans="1:14" x14ac:dyDescent="0.35">
      <c r="A134" s="2" t="s">
        <v>183</v>
      </c>
      <c r="B134" s="2">
        <v>67</v>
      </c>
      <c r="C134" s="2" t="s">
        <v>16</v>
      </c>
      <c r="D134" s="2">
        <v>968</v>
      </c>
      <c r="E134" s="2">
        <v>20020</v>
      </c>
      <c r="G134" s="2">
        <v>580</v>
      </c>
      <c r="H134" s="2" t="s">
        <v>184</v>
      </c>
      <c r="I134" s="2">
        <f>VLOOKUP(H134,[1]Customers!$A:$B,2,FALSE)</f>
        <v>3325</v>
      </c>
      <c r="J134" s="2">
        <v>45525</v>
      </c>
      <c r="K134" s="2" t="s">
        <v>185</v>
      </c>
      <c r="M134" s="2">
        <v>458.63</v>
      </c>
      <c r="N134" s="3" t="s">
        <v>19</v>
      </c>
    </row>
    <row r="135" spans="1:14" x14ac:dyDescent="0.35">
      <c r="A135" s="2" t="s">
        <v>183</v>
      </c>
      <c r="B135" s="2">
        <v>67.5</v>
      </c>
      <c r="C135" s="2" t="s">
        <v>20</v>
      </c>
      <c r="D135" s="2">
        <v>616</v>
      </c>
      <c r="E135" s="2">
        <v>20020</v>
      </c>
      <c r="F135" s="2">
        <v>616</v>
      </c>
      <c r="G135" s="2">
        <v>580</v>
      </c>
      <c r="H135" s="2" t="s">
        <v>184</v>
      </c>
      <c r="I135" s="2">
        <f>VLOOKUP(H135,[1]Customers!$A:$B,2,FALSE)</f>
        <v>3325</v>
      </c>
      <c r="J135" s="2">
        <v>45525</v>
      </c>
      <c r="K135" s="2" t="s">
        <v>185</v>
      </c>
      <c r="L135" s="2">
        <v>458.63</v>
      </c>
      <c r="N135" s="3" t="s">
        <v>19</v>
      </c>
    </row>
    <row r="136" spans="1:14" x14ac:dyDescent="0.35">
      <c r="A136" s="2" t="s">
        <v>186</v>
      </c>
      <c r="B136" s="2">
        <v>68</v>
      </c>
      <c r="C136" s="2" t="s">
        <v>16</v>
      </c>
      <c r="D136" s="2">
        <v>968</v>
      </c>
      <c r="E136" s="2">
        <v>20020</v>
      </c>
      <c r="G136" s="2">
        <v>330</v>
      </c>
      <c r="H136" s="2" t="s">
        <v>184</v>
      </c>
      <c r="I136" s="2">
        <f>VLOOKUP(H136,[1]Customers!$A:$B,2,FALSE)</f>
        <v>3325</v>
      </c>
      <c r="J136" s="2">
        <v>45775</v>
      </c>
      <c r="K136" s="2" t="s">
        <v>187</v>
      </c>
      <c r="M136" s="2">
        <v>11.76</v>
      </c>
      <c r="N136" s="3" t="s">
        <v>19</v>
      </c>
    </row>
    <row r="137" spans="1:14" x14ac:dyDescent="0.35">
      <c r="A137" s="2" t="s">
        <v>186</v>
      </c>
      <c r="B137" s="2">
        <v>68.5</v>
      </c>
      <c r="C137" s="2" t="s">
        <v>20</v>
      </c>
      <c r="D137" s="2">
        <v>616</v>
      </c>
      <c r="E137" s="2">
        <v>20020</v>
      </c>
      <c r="F137" s="2">
        <v>616</v>
      </c>
      <c r="G137" s="2">
        <v>330</v>
      </c>
      <c r="H137" s="2" t="s">
        <v>184</v>
      </c>
      <c r="I137" s="2">
        <f>VLOOKUP(H137,[1]Customers!$A:$B,2,FALSE)</f>
        <v>3325</v>
      </c>
      <c r="J137" s="2">
        <v>45775</v>
      </c>
      <c r="K137" s="2" t="s">
        <v>187</v>
      </c>
      <c r="L137" s="2">
        <v>11.76</v>
      </c>
      <c r="N137" s="3" t="s">
        <v>19</v>
      </c>
    </row>
    <row r="138" spans="1:14" x14ac:dyDescent="0.35">
      <c r="A138" s="2" t="s">
        <v>188</v>
      </c>
      <c r="B138" s="2">
        <v>69</v>
      </c>
      <c r="C138" s="2" t="s">
        <v>16</v>
      </c>
      <c r="D138" s="2">
        <v>968</v>
      </c>
      <c r="E138" s="2">
        <v>20020</v>
      </c>
      <c r="G138" s="2">
        <v>421</v>
      </c>
      <c r="H138" s="2" t="s">
        <v>189</v>
      </c>
      <c r="I138" s="2">
        <f>VLOOKUP(H138,[1]Customers!$A:$B,2,FALSE)</f>
        <v>2640</v>
      </c>
      <c r="J138" s="2">
        <v>45684</v>
      </c>
      <c r="K138" s="2" t="s">
        <v>190</v>
      </c>
      <c r="M138" s="2">
        <v>3583</v>
      </c>
      <c r="N138" s="3" t="s">
        <v>19</v>
      </c>
    </row>
    <row r="139" spans="1:14" x14ac:dyDescent="0.35">
      <c r="A139" s="2" t="s">
        <v>188</v>
      </c>
      <c r="B139" s="2">
        <v>69.5</v>
      </c>
      <c r="C139" s="2" t="s">
        <v>20</v>
      </c>
      <c r="D139" s="2">
        <v>616</v>
      </c>
      <c r="E139" s="2">
        <v>20020</v>
      </c>
      <c r="F139" s="2">
        <v>616</v>
      </c>
      <c r="G139" s="2">
        <v>421</v>
      </c>
      <c r="H139" s="2" t="s">
        <v>189</v>
      </c>
      <c r="I139" s="2">
        <f>VLOOKUP(H139,[1]Customers!$A:$B,2,FALSE)</f>
        <v>2640</v>
      </c>
      <c r="J139" s="2">
        <v>45684</v>
      </c>
      <c r="K139" s="2" t="s">
        <v>190</v>
      </c>
      <c r="L139" s="2">
        <v>3583</v>
      </c>
      <c r="N139" s="3" t="s">
        <v>19</v>
      </c>
    </row>
    <row r="140" spans="1:14" x14ac:dyDescent="0.35">
      <c r="A140" s="2" t="s">
        <v>191</v>
      </c>
      <c r="B140" s="2">
        <v>70</v>
      </c>
      <c r="C140" s="2" t="s">
        <v>16</v>
      </c>
      <c r="D140" s="2">
        <v>968</v>
      </c>
      <c r="E140" s="2">
        <v>20020</v>
      </c>
      <c r="G140" s="2">
        <v>377</v>
      </c>
      <c r="H140" s="4" t="s">
        <v>192</v>
      </c>
      <c r="I140" s="2">
        <f>VLOOKUP(H140,[1]Customers!$A:$B,2,FALSE)</f>
        <v>2456</v>
      </c>
      <c r="J140" s="2">
        <v>45728</v>
      </c>
      <c r="K140" s="2" t="s">
        <v>193</v>
      </c>
      <c r="M140" s="2">
        <v>111.8</v>
      </c>
      <c r="N140" s="3" t="s">
        <v>19</v>
      </c>
    </row>
    <row r="141" spans="1:14" x14ac:dyDescent="0.35">
      <c r="A141" s="2" t="s">
        <v>191</v>
      </c>
      <c r="B141" s="2">
        <v>70.5</v>
      </c>
      <c r="C141" s="2" t="s">
        <v>20</v>
      </c>
      <c r="D141" s="2">
        <v>616</v>
      </c>
      <c r="E141" s="2">
        <v>20020</v>
      </c>
      <c r="F141" s="2">
        <v>616</v>
      </c>
      <c r="G141" s="2">
        <v>377</v>
      </c>
      <c r="H141" s="4" t="s">
        <v>192</v>
      </c>
      <c r="I141" s="2">
        <f>VLOOKUP(H141,[1]Customers!$A:$B,2,FALSE)</f>
        <v>2456</v>
      </c>
      <c r="J141" s="2">
        <v>45728</v>
      </c>
      <c r="K141" s="2" t="s">
        <v>193</v>
      </c>
      <c r="L141" s="2">
        <v>111.8</v>
      </c>
      <c r="N141" s="3" t="s">
        <v>19</v>
      </c>
    </row>
    <row r="142" spans="1:14" x14ac:dyDescent="0.35">
      <c r="A142" s="2" t="s">
        <v>194</v>
      </c>
      <c r="B142" s="2">
        <v>71</v>
      </c>
      <c r="C142" s="2" t="s">
        <v>16</v>
      </c>
      <c r="D142" s="2">
        <v>968</v>
      </c>
      <c r="E142" s="2">
        <v>20020</v>
      </c>
      <c r="G142" s="2">
        <v>323</v>
      </c>
      <c r="H142" s="2" t="s">
        <v>192</v>
      </c>
      <c r="I142" s="2">
        <f>VLOOKUP(H142,[1]Customers!$A:$B,2,FALSE)</f>
        <v>2456</v>
      </c>
      <c r="J142" s="2">
        <v>45782</v>
      </c>
      <c r="K142" s="2" t="s">
        <v>195</v>
      </c>
      <c r="M142" s="2">
        <v>459.47</v>
      </c>
      <c r="N142" s="3" t="s">
        <v>19</v>
      </c>
    </row>
    <row r="143" spans="1:14" x14ac:dyDescent="0.35">
      <c r="A143" s="2" t="s">
        <v>194</v>
      </c>
      <c r="B143" s="2">
        <v>71.5</v>
      </c>
      <c r="C143" s="2" t="s">
        <v>20</v>
      </c>
      <c r="D143" s="2">
        <v>616</v>
      </c>
      <c r="E143" s="2">
        <v>20020</v>
      </c>
      <c r="F143" s="2">
        <v>616</v>
      </c>
      <c r="G143" s="2">
        <v>323</v>
      </c>
      <c r="H143" s="2" t="s">
        <v>192</v>
      </c>
      <c r="I143" s="2">
        <f>VLOOKUP(H143,[1]Customers!$A:$B,2,FALSE)</f>
        <v>2456</v>
      </c>
      <c r="J143" s="2">
        <v>45782</v>
      </c>
      <c r="K143" s="2" t="s">
        <v>195</v>
      </c>
      <c r="L143" s="2">
        <v>459.47</v>
      </c>
      <c r="N143" s="3" t="s">
        <v>19</v>
      </c>
    </row>
    <row r="144" spans="1:14" x14ac:dyDescent="0.35">
      <c r="A144" s="2" t="s">
        <v>196</v>
      </c>
      <c r="B144" s="2">
        <v>72</v>
      </c>
      <c r="C144" s="2" t="s">
        <v>16</v>
      </c>
      <c r="D144" s="2">
        <v>968</v>
      </c>
      <c r="E144" s="2">
        <v>20020</v>
      </c>
      <c r="G144" s="2">
        <v>292</v>
      </c>
      <c r="H144" s="2" t="s">
        <v>197</v>
      </c>
      <c r="I144" s="2">
        <f>VLOOKUP(H144,[1]Customers!$A:$B,2,FALSE)</f>
        <v>498</v>
      </c>
      <c r="J144" s="2">
        <v>45813</v>
      </c>
      <c r="K144" s="2" t="s">
        <v>198</v>
      </c>
      <c r="M144" s="2">
        <v>7811.06</v>
      </c>
      <c r="N144" s="3" t="s">
        <v>19</v>
      </c>
    </row>
    <row r="145" spans="1:15" x14ac:dyDescent="0.35">
      <c r="A145" s="2" t="s">
        <v>196</v>
      </c>
      <c r="B145" s="2">
        <v>72.5</v>
      </c>
      <c r="C145" s="2" t="s">
        <v>20</v>
      </c>
      <c r="D145" s="2">
        <v>616</v>
      </c>
      <c r="E145" s="2">
        <v>20020</v>
      </c>
      <c r="F145" s="2">
        <v>616</v>
      </c>
      <c r="G145" s="2">
        <v>292</v>
      </c>
      <c r="H145" s="2" t="s">
        <v>197</v>
      </c>
      <c r="I145" s="2">
        <f>VLOOKUP(H145,[1]Customers!$A:$B,2,FALSE)</f>
        <v>498</v>
      </c>
      <c r="J145" s="2">
        <v>45813</v>
      </c>
      <c r="K145" s="2" t="s">
        <v>198</v>
      </c>
      <c r="L145" s="2">
        <v>7811.06</v>
      </c>
      <c r="N145" s="3" t="s">
        <v>19</v>
      </c>
    </row>
    <row r="146" spans="1:15" x14ac:dyDescent="0.35">
      <c r="A146" s="2" t="s">
        <v>199</v>
      </c>
      <c r="B146" s="2">
        <v>73</v>
      </c>
      <c r="C146" s="2" t="s">
        <v>16</v>
      </c>
      <c r="D146" s="2">
        <v>968</v>
      </c>
      <c r="E146" s="2">
        <v>20020</v>
      </c>
      <c r="G146" s="2">
        <v>679</v>
      </c>
      <c r="H146" s="2" t="s">
        <v>200</v>
      </c>
      <c r="I146" s="2">
        <f>VLOOKUP(H146,[1]Customers!$A:$B,2,FALSE)</f>
        <v>502</v>
      </c>
      <c r="J146" s="2">
        <v>45426</v>
      </c>
      <c r="K146" s="2" t="s">
        <v>201</v>
      </c>
      <c r="M146" s="2">
        <v>6041.38</v>
      </c>
      <c r="N146" s="3" t="s">
        <v>19</v>
      </c>
      <c r="O146" s="2">
        <v>36417</v>
      </c>
    </row>
    <row r="147" spans="1:15" x14ac:dyDescent="0.35">
      <c r="A147" s="2" t="s">
        <v>199</v>
      </c>
      <c r="B147" s="2">
        <v>73.5</v>
      </c>
      <c r="C147" s="2" t="s">
        <v>20</v>
      </c>
      <c r="D147" s="2">
        <v>616</v>
      </c>
      <c r="E147" s="2">
        <v>20020</v>
      </c>
      <c r="F147" s="2">
        <v>616</v>
      </c>
      <c r="G147" s="2">
        <v>679</v>
      </c>
      <c r="H147" s="2" t="s">
        <v>200</v>
      </c>
      <c r="I147" s="2">
        <f>VLOOKUP(H147,[1]Customers!$A:$B,2,FALSE)</f>
        <v>502</v>
      </c>
      <c r="J147" s="2">
        <v>45426</v>
      </c>
      <c r="K147" s="2" t="s">
        <v>201</v>
      </c>
      <c r="L147" s="2">
        <v>6041.38</v>
      </c>
      <c r="N147" s="3" t="s">
        <v>19</v>
      </c>
      <c r="O147" s="2">
        <v>36417</v>
      </c>
    </row>
    <row r="148" spans="1:15" x14ac:dyDescent="0.35">
      <c r="A148" s="2" t="s">
        <v>202</v>
      </c>
      <c r="B148" s="2">
        <v>74</v>
      </c>
      <c r="C148" s="2" t="s">
        <v>16</v>
      </c>
      <c r="D148" s="2">
        <v>968</v>
      </c>
      <c r="E148" s="2">
        <v>20020</v>
      </c>
      <c r="G148" s="2">
        <v>729</v>
      </c>
      <c r="H148" s="2" t="s">
        <v>200</v>
      </c>
      <c r="I148" s="2">
        <f>VLOOKUP(H148,[1]Customers!$A:$B,2,FALSE)</f>
        <v>502</v>
      </c>
      <c r="J148" s="2">
        <v>45376</v>
      </c>
      <c r="K148" s="2" t="s">
        <v>203</v>
      </c>
      <c r="M148" s="2">
        <v>469.12</v>
      </c>
      <c r="N148" s="3" t="s">
        <v>19</v>
      </c>
      <c r="O148" s="2">
        <v>36432</v>
      </c>
    </row>
    <row r="149" spans="1:15" x14ac:dyDescent="0.35">
      <c r="A149" s="2" t="s">
        <v>202</v>
      </c>
      <c r="B149" s="2">
        <v>74.5</v>
      </c>
      <c r="C149" s="2" t="s">
        <v>20</v>
      </c>
      <c r="D149" s="2">
        <v>616</v>
      </c>
      <c r="E149" s="2">
        <v>20020</v>
      </c>
      <c r="F149" s="2">
        <v>616</v>
      </c>
      <c r="G149" s="2">
        <v>729</v>
      </c>
      <c r="H149" s="2" t="s">
        <v>200</v>
      </c>
      <c r="I149" s="2">
        <f>VLOOKUP(H149,[1]Customers!$A:$B,2,FALSE)</f>
        <v>502</v>
      </c>
      <c r="J149" s="2">
        <v>45376</v>
      </c>
      <c r="K149" s="2" t="s">
        <v>203</v>
      </c>
      <c r="L149" s="2">
        <v>469.12</v>
      </c>
      <c r="N149" s="3" t="s">
        <v>19</v>
      </c>
      <c r="O149" s="2">
        <v>36432</v>
      </c>
    </row>
    <row r="150" spans="1:15" x14ac:dyDescent="0.35">
      <c r="A150" s="2" t="s">
        <v>204</v>
      </c>
      <c r="B150" s="2">
        <v>75</v>
      </c>
      <c r="C150" s="2" t="s">
        <v>16</v>
      </c>
      <c r="D150" s="2">
        <v>968</v>
      </c>
      <c r="E150" s="2">
        <v>20020</v>
      </c>
      <c r="G150" s="2">
        <v>761</v>
      </c>
      <c r="H150" s="2" t="s">
        <v>205</v>
      </c>
      <c r="I150" s="2">
        <f>VLOOKUP(H150,[1]Customers!$A:$B,2,FALSE)</f>
        <v>3328</v>
      </c>
      <c r="J150" s="2">
        <v>45344</v>
      </c>
      <c r="K150" s="2" t="s">
        <v>206</v>
      </c>
      <c r="M150" s="2">
        <v>48.64</v>
      </c>
      <c r="N150" s="3" t="s">
        <v>19</v>
      </c>
      <c r="O150" s="2">
        <v>36075</v>
      </c>
    </row>
    <row r="151" spans="1:15" x14ac:dyDescent="0.35">
      <c r="A151" s="2" t="s">
        <v>204</v>
      </c>
      <c r="B151" s="2">
        <v>75.5</v>
      </c>
      <c r="C151" s="2" t="s">
        <v>20</v>
      </c>
      <c r="D151" s="2">
        <v>616</v>
      </c>
      <c r="E151" s="2">
        <v>20020</v>
      </c>
      <c r="F151" s="2">
        <v>616</v>
      </c>
      <c r="G151" s="2">
        <v>761</v>
      </c>
      <c r="H151" s="2" t="s">
        <v>205</v>
      </c>
      <c r="I151" s="2">
        <f>VLOOKUP(H151,[1]Customers!$A:$B,2,FALSE)</f>
        <v>3328</v>
      </c>
      <c r="J151" s="2">
        <v>45344</v>
      </c>
      <c r="K151" s="2" t="s">
        <v>206</v>
      </c>
      <c r="L151" s="2">
        <v>48.64</v>
      </c>
      <c r="N151" s="3" t="s">
        <v>19</v>
      </c>
      <c r="O151" s="2">
        <v>36075</v>
      </c>
    </row>
    <row r="152" spans="1:15" ht="14.5" customHeight="1" x14ac:dyDescent="0.35">
      <c r="A152" s="2" t="s">
        <v>207</v>
      </c>
      <c r="B152" s="2">
        <v>76</v>
      </c>
      <c r="C152" s="2" t="s">
        <v>16</v>
      </c>
      <c r="D152" s="2">
        <v>968</v>
      </c>
      <c r="E152" s="2">
        <v>20020</v>
      </c>
      <c r="G152" s="2">
        <v>532</v>
      </c>
      <c r="H152" s="2" t="s">
        <v>208</v>
      </c>
      <c r="I152" s="2">
        <f>VLOOKUP(H152,[1]Customers!$A:$B,2,FALSE)</f>
        <v>506</v>
      </c>
      <c r="J152" s="2">
        <v>45573</v>
      </c>
      <c r="K152" s="2" t="s">
        <v>209</v>
      </c>
      <c r="M152" s="2">
        <v>2907.31</v>
      </c>
      <c r="N152" s="3" t="s">
        <v>19</v>
      </c>
    </row>
    <row r="153" spans="1:15" x14ac:dyDescent="0.35">
      <c r="A153" s="2" t="s">
        <v>207</v>
      </c>
      <c r="B153" s="2">
        <v>76.5</v>
      </c>
      <c r="C153" s="2" t="s">
        <v>20</v>
      </c>
      <c r="D153" s="2">
        <v>616</v>
      </c>
      <c r="E153" s="2">
        <v>20020</v>
      </c>
      <c r="F153" s="2">
        <v>616</v>
      </c>
      <c r="G153" s="2">
        <v>532</v>
      </c>
      <c r="H153" s="2" t="s">
        <v>208</v>
      </c>
      <c r="I153" s="2">
        <f>VLOOKUP(H153,[1]Customers!$A:$B,2,FALSE)</f>
        <v>506</v>
      </c>
      <c r="J153" s="2">
        <v>45573</v>
      </c>
      <c r="K153" s="2" t="s">
        <v>209</v>
      </c>
      <c r="L153" s="2">
        <v>2907.31</v>
      </c>
      <c r="N153" s="3" t="s">
        <v>19</v>
      </c>
    </row>
    <row r="154" spans="1:15" x14ac:dyDescent="0.35">
      <c r="A154" s="2" t="s">
        <v>210</v>
      </c>
      <c r="B154" s="2">
        <v>77</v>
      </c>
      <c r="C154" s="2" t="s">
        <v>16</v>
      </c>
      <c r="D154" s="2">
        <v>968</v>
      </c>
      <c r="E154" s="2">
        <v>20020</v>
      </c>
      <c r="G154" s="2">
        <v>390</v>
      </c>
      <c r="H154" s="2" t="s">
        <v>211</v>
      </c>
      <c r="I154" s="2">
        <f>VLOOKUP(H154,[1]Customers!$A:$B,2,FALSE)</f>
        <v>3568</v>
      </c>
      <c r="J154" s="2">
        <v>45715</v>
      </c>
      <c r="K154" s="2" t="s">
        <v>212</v>
      </c>
      <c r="M154" s="2">
        <v>2818.04</v>
      </c>
      <c r="N154" s="3" t="s">
        <v>19</v>
      </c>
      <c r="O154" s="2" t="s">
        <v>213</v>
      </c>
    </row>
    <row r="155" spans="1:15" x14ac:dyDescent="0.35">
      <c r="A155" s="2" t="s">
        <v>210</v>
      </c>
      <c r="B155" s="2">
        <v>77.5</v>
      </c>
      <c r="C155" s="2" t="s">
        <v>20</v>
      </c>
      <c r="D155" s="2">
        <v>616</v>
      </c>
      <c r="E155" s="2">
        <v>20020</v>
      </c>
      <c r="F155" s="2">
        <v>616</v>
      </c>
      <c r="G155" s="2">
        <v>390</v>
      </c>
      <c r="H155" s="2" t="s">
        <v>211</v>
      </c>
      <c r="I155" s="2">
        <f>VLOOKUP(H155,[1]Customers!$A:$B,2,FALSE)</f>
        <v>3568</v>
      </c>
      <c r="J155" s="2">
        <v>45715</v>
      </c>
      <c r="K155" s="2" t="s">
        <v>212</v>
      </c>
      <c r="L155" s="2">
        <v>2818.04</v>
      </c>
      <c r="N155" s="3" t="s">
        <v>19</v>
      </c>
      <c r="O155" s="2" t="s">
        <v>213</v>
      </c>
    </row>
    <row r="156" spans="1:15" x14ac:dyDescent="0.35">
      <c r="A156" s="2" t="s">
        <v>214</v>
      </c>
      <c r="B156" s="2">
        <v>78</v>
      </c>
      <c r="C156" s="2" t="s">
        <v>16</v>
      </c>
      <c r="D156" s="2">
        <v>968</v>
      </c>
      <c r="E156" s="2">
        <v>20020</v>
      </c>
      <c r="G156" s="2">
        <v>271</v>
      </c>
      <c r="H156" s="2" t="s">
        <v>215</v>
      </c>
      <c r="I156" s="2">
        <f>VLOOKUP(H156,[1]Customers!$A:$B,2,FALSE)</f>
        <v>2441</v>
      </c>
      <c r="J156" s="2">
        <v>45834</v>
      </c>
      <c r="K156" s="2" t="s">
        <v>216</v>
      </c>
      <c r="M156" s="2">
        <v>15346.06</v>
      </c>
      <c r="N156" s="3" t="s">
        <v>19</v>
      </c>
    </row>
    <row r="157" spans="1:15" x14ac:dyDescent="0.35">
      <c r="A157" s="2" t="s">
        <v>214</v>
      </c>
      <c r="B157" s="2">
        <v>78.5</v>
      </c>
      <c r="C157" s="2" t="s">
        <v>20</v>
      </c>
      <c r="D157" s="2">
        <v>616</v>
      </c>
      <c r="E157" s="2">
        <v>20020</v>
      </c>
      <c r="F157" s="2">
        <v>616</v>
      </c>
      <c r="G157" s="2">
        <v>271</v>
      </c>
      <c r="H157" s="2" t="s">
        <v>215</v>
      </c>
      <c r="I157" s="2">
        <f>VLOOKUP(H157,[1]Customers!$A:$B,2,FALSE)</f>
        <v>2441</v>
      </c>
      <c r="J157" s="2">
        <v>45834</v>
      </c>
      <c r="K157" s="2" t="s">
        <v>216</v>
      </c>
      <c r="L157" s="2">
        <v>15346.06</v>
      </c>
      <c r="N157" s="3" t="s">
        <v>19</v>
      </c>
    </row>
    <row r="158" spans="1:15" x14ac:dyDescent="0.35">
      <c r="A158" s="2" t="s">
        <v>217</v>
      </c>
      <c r="B158" s="2">
        <v>79</v>
      </c>
      <c r="C158" s="2" t="s">
        <v>16</v>
      </c>
      <c r="D158" s="2">
        <v>968</v>
      </c>
      <c r="E158" s="2">
        <v>20020</v>
      </c>
      <c r="G158" s="2">
        <v>322</v>
      </c>
      <c r="H158" s="2" t="s">
        <v>215</v>
      </c>
      <c r="I158" s="2">
        <f>VLOOKUP(H158,[1]Customers!$A:$B,2,FALSE)</f>
        <v>2441</v>
      </c>
      <c r="J158" s="2">
        <v>45783</v>
      </c>
      <c r="K158" s="2" t="s">
        <v>216</v>
      </c>
      <c r="M158" s="2">
        <v>18287.919999999998</v>
      </c>
      <c r="N158" s="3" t="s">
        <v>19</v>
      </c>
    </row>
    <row r="159" spans="1:15" x14ac:dyDescent="0.35">
      <c r="A159" s="2" t="s">
        <v>217</v>
      </c>
      <c r="B159" s="2">
        <v>79.5</v>
      </c>
      <c r="C159" s="2" t="s">
        <v>20</v>
      </c>
      <c r="D159" s="2">
        <v>616</v>
      </c>
      <c r="E159" s="2">
        <v>20020</v>
      </c>
      <c r="F159" s="2">
        <v>616</v>
      </c>
      <c r="G159" s="2">
        <v>322</v>
      </c>
      <c r="H159" s="2" t="s">
        <v>215</v>
      </c>
      <c r="I159" s="2">
        <f>VLOOKUP(H159,[1]Customers!$A:$B,2,FALSE)</f>
        <v>2441</v>
      </c>
      <c r="J159" s="2">
        <v>45783</v>
      </c>
      <c r="K159" s="2" t="s">
        <v>216</v>
      </c>
      <c r="L159" s="2">
        <v>18287.919999999998</v>
      </c>
      <c r="N159" s="3" t="s">
        <v>19</v>
      </c>
    </row>
    <row r="160" spans="1:15" x14ac:dyDescent="0.35">
      <c r="A160" s="2" t="s">
        <v>218</v>
      </c>
      <c r="B160" s="2">
        <v>80</v>
      </c>
      <c r="C160" s="2" t="s">
        <v>16</v>
      </c>
      <c r="D160" s="2">
        <v>968</v>
      </c>
      <c r="E160" s="2">
        <v>20020</v>
      </c>
      <c r="G160" s="2">
        <v>442</v>
      </c>
      <c r="H160" s="4" t="s">
        <v>219</v>
      </c>
      <c r="I160" s="2">
        <f>VLOOKUP(H160,[1]Customers!$A:$B,2,FALSE)</f>
        <v>515</v>
      </c>
      <c r="J160" s="2">
        <v>45663</v>
      </c>
      <c r="K160" s="2" t="s">
        <v>220</v>
      </c>
      <c r="M160" s="2">
        <v>1143.47</v>
      </c>
      <c r="N160" s="3" t="s">
        <v>19</v>
      </c>
      <c r="O160" s="2">
        <v>1306</v>
      </c>
    </row>
    <row r="161" spans="1:15" x14ac:dyDescent="0.35">
      <c r="A161" s="2" t="s">
        <v>218</v>
      </c>
      <c r="B161" s="2">
        <v>80.5</v>
      </c>
      <c r="C161" s="2" t="s">
        <v>20</v>
      </c>
      <c r="D161" s="2">
        <v>616</v>
      </c>
      <c r="E161" s="2">
        <v>20020</v>
      </c>
      <c r="F161" s="2">
        <v>616</v>
      </c>
      <c r="G161" s="2">
        <v>442</v>
      </c>
      <c r="H161" s="4" t="s">
        <v>219</v>
      </c>
      <c r="I161" s="2">
        <f>VLOOKUP(H161,[1]Customers!$A:$B,2,FALSE)</f>
        <v>515</v>
      </c>
      <c r="J161" s="2">
        <v>45663</v>
      </c>
      <c r="K161" s="2" t="s">
        <v>220</v>
      </c>
      <c r="L161" s="2">
        <v>1143.47</v>
      </c>
      <c r="N161" s="3" t="s">
        <v>19</v>
      </c>
      <c r="O161" s="2">
        <v>1306</v>
      </c>
    </row>
    <row r="162" spans="1:15" x14ac:dyDescent="0.35">
      <c r="A162" s="2" t="s">
        <v>221</v>
      </c>
      <c r="B162" s="2">
        <v>81</v>
      </c>
      <c r="C162" s="2" t="s">
        <v>16</v>
      </c>
      <c r="D162" s="2">
        <v>968</v>
      </c>
      <c r="E162" s="2">
        <v>20020</v>
      </c>
      <c r="G162" s="2">
        <v>277</v>
      </c>
      <c r="H162" s="2" t="s">
        <v>222</v>
      </c>
      <c r="I162" s="2">
        <f>VLOOKUP(H162,[1]Customers!$A:$B,2,FALSE)</f>
        <v>1708</v>
      </c>
      <c r="J162" s="2">
        <v>45828</v>
      </c>
      <c r="K162" s="2" t="s">
        <v>223</v>
      </c>
      <c r="M162" s="2">
        <v>65354.81</v>
      </c>
      <c r="N162" s="3" t="s">
        <v>19</v>
      </c>
    </row>
    <row r="163" spans="1:15" x14ac:dyDescent="0.35">
      <c r="A163" s="2" t="s">
        <v>221</v>
      </c>
      <c r="B163" s="2">
        <v>81.5</v>
      </c>
      <c r="C163" s="2" t="s">
        <v>20</v>
      </c>
      <c r="D163" s="2">
        <v>616</v>
      </c>
      <c r="E163" s="2">
        <v>20020</v>
      </c>
      <c r="F163" s="2">
        <v>616</v>
      </c>
      <c r="G163" s="2">
        <v>277</v>
      </c>
      <c r="H163" s="2" t="s">
        <v>222</v>
      </c>
      <c r="I163" s="2">
        <f>VLOOKUP(H163,[1]Customers!$A:$B,2,FALSE)</f>
        <v>1708</v>
      </c>
      <c r="J163" s="2">
        <v>45828</v>
      </c>
      <c r="K163" s="2" t="s">
        <v>223</v>
      </c>
      <c r="L163" s="2">
        <v>65354.81</v>
      </c>
      <c r="N163" s="3" t="s">
        <v>19</v>
      </c>
    </row>
    <row r="164" spans="1:15" x14ac:dyDescent="0.35">
      <c r="A164" s="2" t="s">
        <v>224</v>
      </c>
      <c r="B164" s="2">
        <v>82</v>
      </c>
      <c r="C164" s="2" t="s">
        <v>16</v>
      </c>
      <c r="D164" s="2">
        <v>968</v>
      </c>
      <c r="E164" s="2">
        <v>20020</v>
      </c>
      <c r="G164" s="2">
        <v>417</v>
      </c>
      <c r="H164" s="2" t="s">
        <v>225</v>
      </c>
      <c r="I164" s="2">
        <f>VLOOKUP(H164,[1]Customers!$A:$B,2,FALSE)</f>
        <v>3565</v>
      </c>
      <c r="J164" s="2">
        <v>45688</v>
      </c>
      <c r="K164" s="2" t="s">
        <v>226</v>
      </c>
      <c r="M164" s="2">
        <v>168.33</v>
      </c>
      <c r="N164" s="3" t="s">
        <v>19</v>
      </c>
    </row>
    <row r="165" spans="1:15" x14ac:dyDescent="0.35">
      <c r="A165" s="2" t="s">
        <v>224</v>
      </c>
      <c r="B165" s="2">
        <v>82.5</v>
      </c>
      <c r="C165" s="2" t="s">
        <v>20</v>
      </c>
      <c r="D165" s="2">
        <v>616</v>
      </c>
      <c r="E165" s="2">
        <v>20020</v>
      </c>
      <c r="F165" s="2">
        <v>616</v>
      </c>
      <c r="G165" s="2">
        <v>417</v>
      </c>
      <c r="H165" s="2" t="s">
        <v>225</v>
      </c>
      <c r="I165" s="2">
        <f>VLOOKUP(H165,[1]Customers!$A:$B,2,FALSE)</f>
        <v>3565</v>
      </c>
      <c r="J165" s="2">
        <v>45688</v>
      </c>
      <c r="K165" s="2" t="s">
        <v>226</v>
      </c>
      <c r="L165" s="2">
        <v>168.33</v>
      </c>
      <c r="N165" s="3" t="s">
        <v>19</v>
      </c>
    </row>
    <row r="166" spans="1:15" x14ac:dyDescent="0.35">
      <c r="A166" s="2" t="s">
        <v>227</v>
      </c>
      <c r="B166" s="2">
        <v>83</v>
      </c>
      <c r="C166" s="2" t="s">
        <v>16</v>
      </c>
      <c r="D166" s="2">
        <v>968</v>
      </c>
      <c r="E166" s="2">
        <v>20020</v>
      </c>
      <c r="G166" s="2">
        <v>350</v>
      </c>
      <c r="H166" s="2" t="s">
        <v>228</v>
      </c>
      <c r="I166" s="2">
        <f>VLOOKUP(H166,[1]Customers!$A:$B,2,FALSE)</f>
        <v>2329</v>
      </c>
      <c r="J166" s="2">
        <v>45755</v>
      </c>
      <c r="K166" s="2" t="s">
        <v>229</v>
      </c>
      <c r="M166" s="2">
        <v>10909.1</v>
      </c>
      <c r="N166" s="3" t="s">
        <v>19</v>
      </c>
    </row>
    <row r="167" spans="1:15" x14ac:dyDescent="0.35">
      <c r="A167" s="2" t="s">
        <v>227</v>
      </c>
      <c r="B167" s="2">
        <v>83.5</v>
      </c>
      <c r="C167" s="2" t="s">
        <v>20</v>
      </c>
      <c r="D167" s="2">
        <v>616</v>
      </c>
      <c r="E167" s="2">
        <v>20020</v>
      </c>
      <c r="F167" s="2">
        <v>616</v>
      </c>
      <c r="G167" s="2">
        <v>350</v>
      </c>
      <c r="H167" s="2" t="s">
        <v>228</v>
      </c>
      <c r="I167" s="2">
        <f>VLOOKUP(H167,[1]Customers!$A:$B,2,FALSE)</f>
        <v>2329</v>
      </c>
      <c r="J167" s="2">
        <v>45755</v>
      </c>
      <c r="K167" s="2" t="s">
        <v>229</v>
      </c>
      <c r="L167" s="2">
        <v>10909.1</v>
      </c>
      <c r="N167" s="3" t="s">
        <v>19</v>
      </c>
    </row>
    <row r="168" spans="1:15" x14ac:dyDescent="0.35">
      <c r="A168" s="2" t="s">
        <v>230</v>
      </c>
      <c r="B168" s="2">
        <v>84</v>
      </c>
      <c r="C168" s="2" t="s">
        <v>16</v>
      </c>
      <c r="D168" s="2">
        <v>968</v>
      </c>
      <c r="E168" s="2">
        <v>20020</v>
      </c>
      <c r="G168" s="2">
        <v>344</v>
      </c>
      <c r="H168" s="2" t="s">
        <v>231</v>
      </c>
      <c r="I168" s="2">
        <f>VLOOKUP(H168,[1]Customers!$A:$B,2,FALSE)</f>
        <v>524</v>
      </c>
      <c r="J168" s="2">
        <v>45761</v>
      </c>
      <c r="K168" s="2" t="s">
        <v>232</v>
      </c>
      <c r="M168" s="2">
        <v>4113.75</v>
      </c>
      <c r="N168" s="3" t="s">
        <v>19</v>
      </c>
      <c r="O168" s="2">
        <v>940</v>
      </c>
    </row>
    <row r="169" spans="1:15" x14ac:dyDescent="0.35">
      <c r="A169" s="2" t="s">
        <v>230</v>
      </c>
      <c r="B169" s="2">
        <v>84.5</v>
      </c>
      <c r="C169" s="2" t="s">
        <v>20</v>
      </c>
      <c r="D169" s="2">
        <v>616</v>
      </c>
      <c r="E169" s="2">
        <v>20020</v>
      </c>
      <c r="F169" s="2">
        <v>616</v>
      </c>
      <c r="G169" s="2">
        <v>344</v>
      </c>
      <c r="H169" s="2" t="s">
        <v>231</v>
      </c>
      <c r="I169" s="2">
        <f>VLOOKUP(H169,[1]Customers!$A:$B,2,FALSE)</f>
        <v>524</v>
      </c>
      <c r="J169" s="2">
        <v>45761</v>
      </c>
      <c r="K169" s="2" t="s">
        <v>232</v>
      </c>
      <c r="L169" s="2">
        <v>4113.75</v>
      </c>
      <c r="N169" s="3" t="s">
        <v>19</v>
      </c>
      <c r="O169" s="2">
        <v>940</v>
      </c>
    </row>
    <row r="170" spans="1:15" x14ac:dyDescent="0.35">
      <c r="A170" s="2" t="s">
        <v>233</v>
      </c>
      <c r="B170" s="2">
        <v>85</v>
      </c>
      <c r="C170" s="2" t="s">
        <v>16</v>
      </c>
      <c r="D170" s="2">
        <v>968</v>
      </c>
      <c r="E170" s="2">
        <v>20020</v>
      </c>
      <c r="G170" s="2">
        <v>545</v>
      </c>
      <c r="H170" s="2" t="s">
        <v>234</v>
      </c>
      <c r="I170" s="2">
        <f>VLOOKUP(H170,[1]Customers!$A:$B,2,FALSE)</f>
        <v>3330</v>
      </c>
      <c r="J170" s="2">
        <v>45560</v>
      </c>
      <c r="K170" s="2" t="s">
        <v>235</v>
      </c>
      <c r="M170" s="2">
        <v>5434.71</v>
      </c>
      <c r="N170" s="3" t="s">
        <v>19</v>
      </c>
    </row>
    <row r="171" spans="1:15" x14ac:dyDescent="0.35">
      <c r="A171" s="2" t="s">
        <v>233</v>
      </c>
      <c r="B171" s="2">
        <v>85.5</v>
      </c>
      <c r="C171" s="2" t="s">
        <v>20</v>
      </c>
      <c r="D171" s="2">
        <v>616</v>
      </c>
      <c r="E171" s="2">
        <v>20020</v>
      </c>
      <c r="F171" s="2">
        <v>616</v>
      </c>
      <c r="G171" s="2">
        <v>545</v>
      </c>
      <c r="H171" s="2" t="s">
        <v>234</v>
      </c>
      <c r="I171" s="2">
        <f>VLOOKUP(H171,[1]Customers!$A:$B,2,FALSE)</f>
        <v>3330</v>
      </c>
      <c r="J171" s="2">
        <v>45560</v>
      </c>
      <c r="K171" s="2" t="s">
        <v>235</v>
      </c>
      <c r="L171" s="2">
        <v>5434.71</v>
      </c>
      <c r="N171" s="3" t="s">
        <v>19</v>
      </c>
    </row>
    <row r="172" spans="1:15" x14ac:dyDescent="0.35">
      <c r="A172" s="2" t="s">
        <v>236</v>
      </c>
      <c r="B172" s="2">
        <v>86</v>
      </c>
      <c r="C172" s="2" t="s">
        <v>16</v>
      </c>
      <c r="D172" s="2">
        <v>968</v>
      </c>
      <c r="E172" s="2">
        <v>20020</v>
      </c>
      <c r="G172" s="2">
        <v>545</v>
      </c>
      <c r="H172" s="2" t="s">
        <v>234</v>
      </c>
      <c r="I172" s="2">
        <f>VLOOKUP(H172,[1]Customers!$A:$B,2,FALSE)</f>
        <v>3330</v>
      </c>
      <c r="J172" s="2">
        <v>45560</v>
      </c>
      <c r="K172" s="2" t="s">
        <v>235</v>
      </c>
      <c r="M172" s="2">
        <v>35000</v>
      </c>
      <c r="N172" s="3" t="s">
        <v>19</v>
      </c>
      <c r="O172" s="2">
        <v>576</v>
      </c>
    </row>
    <row r="173" spans="1:15" x14ac:dyDescent="0.35">
      <c r="A173" s="2" t="s">
        <v>236</v>
      </c>
      <c r="B173" s="2">
        <v>86.5</v>
      </c>
      <c r="C173" s="2" t="s">
        <v>20</v>
      </c>
      <c r="D173" s="2">
        <v>616</v>
      </c>
      <c r="E173" s="2">
        <v>20020</v>
      </c>
      <c r="F173" s="2">
        <v>616</v>
      </c>
      <c r="G173" s="2">
        <v>545</v>
      </c>
      <c r="H173" s="2" t="s">
        <v>234</v>
      </c>
      <c r="I173" s="2">
        <f>VLOOKUP(H173,[1]Customers!$A:$B,2,FALSE)</f>
        <v>3330</v>
      </c>
      <c r="J173" s="2">
        <v>45560</v>
      </c>
      <c r="K173" s="2" t="s">
        <v>235</v>
      </c>
      <c r="L173" s="2">
        <v>35000</v>
      </c>
      <c r="N173" s="3" t="s">
        <v>19</v>
      </c>
      <c r="O173" s="2">
        <v>576</v>
      </c>
    </row>
    <row r="174" spans="1:15" ht="15" customHeight="1" x14ac:dyDescent="0.35">
      <c r="A174" s="2" t="s">
        <v>237</v>
      </c>
      <c r="B174" s="2">
        <v>87</v>
      </c>
      <c r="C174" s="2" t="s">
        <v>16</v>
      </c>
      <c r="D174" s="2">
        <v>968</v>
      </c>
      <c r="E174" s="2">
        <v>20020</v>
      </c>
      <c r="G174" s="2">
        <v>700</v>
      </c>
      <c r="H174" s="2" t="s">
        <v>234</v>
      </c>
      <c r="I174" s="2">
        <f>VLOOKUP(H174,[1]Customers!$A:$B,2,FALSE)</f>
        <v>3330</v>
      </c>
      <c r="J174" s="2">
        <v>45405</v>
      </c>
      <c r="K174" s="2" t="s">
        <v>235</v>
      </c>
      <c r="M174" s="2">
        <v>88226.4</v>
      </c>
      <c r="N174" s="3" t="s">
        <v>19</v>
      </c>
      <c r="O174" s="2">
        <v>36711</v>
      </c>
    </row>
    <row r="175" spans="1:15" ht="15" customHeight="1" x14ac:dyDescent="0.35">
      <c r="A175" s="2" t="s">
        <v>237</v>
      </c>
      <c r="B175" s="2">
        <v>87.5</v>
      </c>
      <c r="C175" s="2" t="s">
        <v>20</v>
      </c>
      <c r="D175" s="2">
        <v>616</v>
      </c>
      <c r="E175" s="2">
        <v>20020</v>
      </c>
      <c r="F175" s="2">
        <v>616</v>
      </c>
      <c r="G175" s="2">
        <v>700</v>
      </c>
      <c r="H175" s="2" t="s">
        <v>234</v>
      </c>
      <c r="I175" s="2">
        <f>VLOOKUP(H175,[1]Customers!$A:$B,2,FALSE)</f>
        <v>3330</v>
      </c>
      <c r="J175" s="2">
        <v>45405</v>
      </c>
      <c r="K175" s="2" t="s">
        <v>235</v>
      </c>
      <c r="L175" s="2">
        <v>88226.4</v>
      </c>
      <c r="N175" s="3" t="s">
        <v>19</v>
      </c>
      <c r="O175" s="2">
        <v>36711</v>
      </c>
    </row>
    <row r="176" spans="1:15" x14ac:dyDescent="0.35">
      <c r="A176" s="2" t="s">
        <v>238</v>
      </c>
      <c r="B176" s="2">
        <v>88</v>
      </c>
      <c r="C176" s="2" t="s">
        <v>16</v>
      </c>
      <c r="D176" s="2">
        <v>968</v>
      </c>
      <c r="E176" s="2">
        <v>20020</v>
      </c>
      <c r="G176" s="2">
        <v>438</v>
      </c>
      <c r="H176" s="2" t="s">
        <v>239</v>
      </c>
      <c r="I176" s="2">
        <f>VLOOKUP(H176,[1]Customers!$A:$B,2,FALSE)</f>
        <v>3549</v>
      </c>
      <c r="J176" s="2">
        <v>45667</v>
      </c>
      <c r="K176" s="2" t="s">
        <v>240</v>
      </c>
      <c r="M176" s="2">
        <v>8009.75</v>
      </c>
      <c r="N176" s="3" t="s">
        <v>19</v>
      </c>
    </row>
    <row r="177" spans="1:15" x14ac:dyDescent="0.35">
      <c r="A177" s="2" t="s">
        <v>238</v>
      </c>
      <c r="B177" s="2">
        <v>88.5</v>
      </c>
      <c r="C177" s="2" t="s">
        <v>20</v>
      </c>
      <c r="D177" s="2">
        <v>616</v>
      </c>
      <c r="E177" s="2">
        <v>20020</v>
      </c>
      <c r="F177" s="2">
        <v>616</v>
      </c>
      <c r="G177" s="2">
        <v>438</v>
      </c>
      <c r="H177" s="2" t="s">
        <v>239</v>
      </c>
      <c r="I177" s="2">
        <f>VLOOKUP(H177,[1]Customers!$A:$B,2,FALSE)</f>
        <v>3549</v>
      </c>
      <c r="J177" s="2">
        <v>45667</v>
      </c>
      <c r="K177" s="2" t="s">
        <v>240</v>
      </c>
      <c r="L177" s="2">
        <v>8009.75</v>
      </c>
      <c r="N177" s="3" t="s">
        <v>19</v>
      </c>
    </row>
    <row r="178" spans="1:15" x14ac:dyDescent="0.35">
      <c r="A178" s="2" t="s">
        <v>241</v>
      </c>
      <c r="B178" s="2">
        <v>89</v>
      </c>
      <c r="C178" s="2" t="s">
        <v>16</v>
      </c>
      <c r="D178" s="2">
        <v>968</v>
      </c>
      <c r="E178" s="2">
        <v>20020</v>
      </c>
      <c r="G178" s="2">
        <v>278</v>
      </c>
      <c r="H178" s="2" t="s">
        <v>242</v>
      </c>
      <c r="I178" s="2">
        <v>3672</v>
      </c>
      <c r="J178" s="2">
        <v>45827</v>
      </c>
      <c r="K178" s="2" t="s">
        <v>243</v>
      </c>
      <c r="M178" s="2">
        <v>3793.39</v>
      </c>
      <c r="N178" s="3" t="s">
        <v>19</v>
      </c>
    </row>
    <row r="179" spans="1:15" ht="15" customHeight="1" x14ac:dyDescent="0.35">
      <c r="A179" s="2" t="s">
        <v>241</v>
      </c>
      <c r="B179" s="2">
        <v>89.5</v>
      </c>
      <c r="C179" s="2" t="s">
        <v>20</v>
      </c>
      <c r="D179" s="2">
        <v>616</v>
      </c>
      <c r="E179" s="2">
        <v>20020</v>
      </c>
      <c r="F179" s="2">
        <v>616</v>
      </c>
      <c r="G179" s="2">
        <v>278</v>
      </c>
      <c r="H179" s="2" t="s">
        <v>242</v>
      </c>
      <c r="I179" s="2">
        <v>3672</v>
      </c>
      <c r="J179" s="2">
        <v>45827</v>
      </c>
      <c r="K179" s="2" t="s">
        <v>243</v>
      </c>
      <c r="L179" s="2">
        <v>3793.39</v>
      </c>
      <c r="N179" s="3" t="s">
        <v>19</v>
      </c>
    </row>
    <row r="180" spans="1:15" x14ac:dyDescent="0.35">
      <c r="A180" s="2" t="s">
        <v>244</v>
      </c>
      <c r="B180" s="2">
        <v>90</v>
      </c>
      <c r="C180" s="2" t="s">
        <v>16</v>
      </c>
      <c r="D180" s="2">
        <v>968</v>
      </c>
      <c r="E180" s="2">
        <v>20020</v>
      </c>
      <c r="G180" s="2">
        <v>461</v>
      </c>
      <c r="H180" s="2" t="s">
        <v>245</v>
      </c>
      <c r="I180" s="2">
        <f>VLOOKUP(H180,[1]Customers!$A:$B,2,FALSE)</f>
        <v>3333</v>
      </c>
      <c r="J180" s="2">
        <v>45644</v>
      </c>
      <c r="K180" s="2" t="s">
        <v>246</v>
      </c>
      <c r="M180" s="2">
        <v>195447.97</v>
      </c>
      <c r="N180" s="3" t="s">
        <v>19</v>
      </c>
    </row>
    <row r="181" spans="1:15" x14ac:dyDescent="0.35">
      <c r="A181" s="2" t="s">
        <v>244</v>
      </c>
      <c r="B181" s="2">
        <v>90.5</v>
      </c>
      <c r="C181" s="2" t="s">
        <v>20</v>
      </c>
      <c r="D181" s="2">
        <v>616</v>
      </c>
      <c r="E181" s="2">
        <v>20020</v>
      </c>
      <c r="F181" s="2">
        <v>616</v>
      </c>
      <c r="G181" s="2">
        <v>461</v>
      </c>
      <c r="H181" s="2" t="s">
        <v>245</v>
      </c>
      <c r="I181" s="2">
        <f>VLOOKUP(H181,[1]Customers!$A:$B,2,FALSE)</f>
        <v>3333</v>
      </c>
      <c r="J181" s="2">
        <v>45644</v>
      </c>
      <c r="K181" s="2" t="s">
        <v>246</v>
      </c>
      <c r="L181" s="2">
        <v>195447.97</v>
      </c>
      <c r="N181" s="3" t="s">
        <v>19</v>
      </c>
    </row>
    <row r="182" spans="1:15" x14ac:dyDescent="0.35">
      <c r="A182" s="2" t="s">
        <v>247</v>
      </c>
      <c r="B182" s="2">
        <v>91</v>
      </c>
      <c r="C182" s="2" t="s">
        <v>16</v>
      </c>
      <c r="D182" s="2">
        <v>968</v>
      </c>
      <c r="E182" s="2">
        <v>20020</v>
      </c>
      <c r="G182" s="2">
        <v>718</v>
      </c>
      <c r="H182" s="2" t="s">
        <v>248</v>
      </c>
      <c r="I182" s="2">
        <f>VLOOKUP(H182,[1]Customers!$A:$B,2,FALSE)</f>
        <v>3335</v>
      </c>
      <c r="J182" s="2">
        <v>45387</v>
      </c>
      <c r="M182" s="2">
        <v>402351.33</v>
      </c>
      <c r="N182" s="3" t="s">
        <v>19</v>
      </c>
      <c r="O182" s="2">
        <v>35793</v>
      </c>
    </row>
    <row r="183" spans="1:15" x14ac:dyDescent="0.35">
      <c r="A183" s="2" t="s">
        <v>247</v>
      </c>
      <c r="B183" s="2">
        <v>91.5</v>
      </c>
      <c r="C183" s="2" t="s">
        <v>20</v>
      </c>
      <c r="D183" s="2">
        <v>616</v>
      </c>
      <c r="E183" s="2">
        <v>20020</v>
      </c>
      <c r="F183" s="2">
        <v>616</v>
      </c>
      <c r="G183" s="2">
        <v>718</v>
      </c>
      <c r="H183" s="2" t="s">
        <v>248</v>
      </c>
      <c r="I183" s="2">
        <f>VLOOKUP(H183,[1]Customers!$A:$B,2,FALSE)</f>
        <v>3335</v>
      </c>
      <c r="J183" s="2">
        <v>45387</v>
      </c>
      <c r="L183" s="2">
        <v>402351.33</v>
      </c>
      <c r="N183" s="3" t="s">
        <v>19</v>
      </c>
      <c r="O183" s="2">
        <v>35793</v>
      </c>
    </row>
    <row r="184" spans="1:15" x14ac:dyDescent="0.35">
      <c r="A184" s="2" t="s">
        <v>249</v>
      </c>
      <c r="B184" s="2">
        <v>92</v>
      </c>
      <c r="C184" s="2" t="s">
        <v>16</v>
      </c>
      <c r="D184" s="2">
        <v>968</v>
      </c>
      <c r="E184" s="2">
        <v>20020</v>
      </c>
      <c r="G184" s="2">
        <v>778</v>
      </c>
      <c r="H184" s="2" t="s">
        <v>248</v>
      </c>
      <c r="I184" s="2">
        <f>VLOOKUP(H184,[1]Customers!$A:$B,2,FALSE)</f>
        <v>3335</v>
      </c>
      <c r="J184" s="2">
        <v>45327</v>
      </c>
      <c r="K184" s="2" t="s">
        <v>250</v>
      </c>
      <c r="M184" s="2">
        <v>938381.33</v>
      </c>
      <c r="N184" s="3" t="s">
        <v>19</v>
      </c>
      <c r="O184" s="2">
        <v>35793</v>
      </c>
    </row>
    <row r="185" spans="1:15" x14ac:dyDescent="0.35">
      <c r="A185" s="2" t="s">
        <v>249</v>
      </c>
      <c r="B185" s="2">
        <v>92.5</v>
      </c>
      <c r="C185" s="2" t="s">
        <v>20</v>
      </c>
      <c r="D185" s="2">
        <v>616</v>
      </c>
      <c r="E185" s="2">
        <v>20020</v>
      </c>
      <c r="F185" s="2">
        <v>616</v>
      </c>
      <c r="G185" s="2">
        <v>778</v>
      </c>
      <c r="H185" s="2" t="s">
        <v>248</v>
      </c>
      <c r="I185" s="2">
        <f>VLOOKUP(H185,[1]Customers!$A:$B,2,FALSE)</f>
        <v>3335</v>
      </c>
      <c r="J185" s="2">
        <v>45327</v>
      </c>
      <c r="K185" s="2" t="s">
        <v>250</v>
      </c>
      <c r="L185" s="2">
        <v>938381.33</v>
      </c>
      <c r="N185" s="3" t="s">
        <v>19</v>
      </c>
      <c r="O185" s="2">
        <v>35793</v>
      </c>
    </row>
    <row r="186" spans="1:15" x14ac:dyDescent="0.35">
      <c r="A186" s="2" t="s">
        <v>251</v>
      </c>
      <c r="B186" s="2">
        <v>93</v>
      </c>
      <c r="C186" s="2" t="s">
        <v>16</v>
      </c>
      <c r="D186" s="2">
        <v>968</v>
      </c>
      <c r="E186" s="2">
        <v>20020</v>
      </c>
      <c r="G186" s="2">
        <v>306</v>
      </c>
      <c r="H186" s="2" t="s">
        <v>248</v>
      </c>
      <c r="I186" s="2">
        <f>VLOOKUP(H186,[1]Customers!$A:$B,2,FALSE)</f>
        <v>3335</v>
      </c>
      <c r="J186" s="2">
        <v>45799</v>
      </c>
      <c r="K186" s="2" t="s">
        <v>252</v>
      </c>
      <c r="M186" s="2">
        <v>41979</v>
      </c>
      <c r="N186" s="3" t="s">
        <v>19</v>
      </c>
    </row>
    <row r="187" spans="1:15" x14ac:dyDescent="0.35">
      <c r="A187" s="2" t="s">
        <v>251</v>
      </c>
      <c r="B187" s="2">
        <v>93.5</v>
      </c>
      <c r="C187" s="2" t="s">
        <v>20</v>
      </c>
      <c r="D187" s="2">
        <v>616</v>
      </c>
      <c r="E187" s="2">
        <v>20020</v>
      </c>
      <c r="F187" s="2">
        <v>616</v>
      </c>
      <c r="G187" s="2">
        <v>306</v>
      </c>
      <c r="H187" s="2" t="s">
        <v>248</v>
      </c>
      <c r="I187" s="2">
        <f>VLOOKUP(H187,[1]Customers!$A:$B,2,FALSE)</f>
        <v>3335</v>
      </c>
      <c r="J187" s="2">
        <v>45799</v>
      </c>
      <c r="K187" s="2" t="s">
        <v>252</v>
      </c>
      <c r="L187" s="2">
        <v>41979</v>
      </c>
      <c r="N187" s="3" t="s">
        <v>19</v>
      </c>
    </row>
    <row r="188" spans="1:15" x14ac:dyDescent="0.35">
      <c r="A188" s="2" t="s">
        <v>253</v>
      </c>
      <c r="B188" s="2">
        <v>94</v>
      </c>
      <c r="C188" s="2" t="s">
        <v>16</v>
      </c>
      <c r="D188" s="2">
        <v>968</v>
      </c>
      <c r="E188" s="2">
        <v>20020</v>
      </c>
      <c r="G188" s="2">
        <v>305</v>
      </c>
      <c r="H188" s="2" t="s">
        <v>248</v>
      </c>
      <c r="I188" s="2">
        <f>VLOOKUP(H188,[1]Customers!$A:$B,2,FALSE)</f>
        <v>3335</v>
      </c>
      <c r="J188" s="2">
        <v>45800</v>
      </c>
      <c r="K188" s="2" t="s">
        <v>250</v>
      </c>
      <c r="M188" s="2">
        <v>125000</v>
      </c>
      <c r="N188" s="3" t="s">
        <v>19</v>
      </c>
    </row>
    <row r="189" spans="1:15" x14ac:dyDescent="0.35">
      <c r="A189" s="2" t="s">
        <v>253</v>
      </c>
      <c r="B189" s="2">
        <v>94.5</v>
      </c>
      <c r="C189" s="2" t="s">
        <v>20</v>
      </c>
      <c r="D189" s="2">
        <v>616</v>
      </c>
      <c r="E189" s="2">
        <v>20020</v>
      </c>
      <c r="F189" s="2">
        <v>616</v>
      </c>
      <c r="G189" s="2">
        <v>305</v>
      </c>
      <c r="H189" s="2" t="s">
        <v>248</v>
      </c>
      <c r="I189" s="2">
        <f>VLOOKUP(H189,[1]Customers!$A:$B,2,FALSE)</f>
        <v>3335</v>
      </c>
      <c r="J189" s="2">
        <v>45800</v>
      </c>
      <c r="K189" s="2" t="s">
        <v>250</v>
      </c>
      <c r="L189" s="2">
        <v>125000</v>
      </c>
      <c r="N189" s="3" t="s">
        <v>19</v>
      </c>
    </row>
    <row r="190" spans="1:15" x14ac:dyDescent="0.35">
      <c r="A190" s="2" t="s">
        <v>254</v>
      </c>
      <c r="B190" s="2">
        <v>95</v>
      </c>
      <c r="C190" s="2" t="s">
        <v>16</v>
      </c>
      <c r="D190" s="2">
        <v>968</v>
      </c>
      <c r="E190" s="2">
        <v>20020</v>
      </c>
      <c r="G190" s="2">
        <v>495</v>
      </c>
      <c r="H190" s="2" t="s">
        <v>255</v>
      </c>
      <c r="I190" s="2">
        <f>VLOOKUP(H190,[1]Customers!$A:$B,2,FALSE)</f>
        <v>535</v>
      </c>
      <c r="J190" s="2">
        <v>45610</v>
      </c>
      <c r="K190" s="2" t="s">
        <v>256</v>
      </c>
      <c r="M190" s="2">
        <v>0.02</v>
      </c>
      <c r="N190" s="3" t="s">
        <v>19</v>
      </c>
      <c r="O190" s="2">
        <v>271</v>
      </c>
    </row>
    <row r="191" spans="1:15" x14ac:dyDescent="0.35">
      <c r="A191" s="2" t="s">
        <v>254</v>
      </c>
      <c r="B191" s="2">
        <v>95.5</v>
      </c>
      <c r="C191" s="2" t="s">
        <v>20</v>
      </c>
      <c r="D191" s="2">
        <v>616</v>
      </c>
      <c r="E191" s="2">
        <v>20020</v>
      </c>
      <c r="F191" s="2">
        <v>616</v>
      </c>
      <c r="G191" s="2">
        <v>495</v>
      </c>
      <c r="H191" s="2" t="s">
        <v>255</v>
      </c>
      <c r="I191" s="2">
        <f>VLOOKUP(H191,[1]Customers!$A:$B,2,FALSE)</f>
        <v>535</v>
      </c>
      <c r="J191" s="2">
        <v>45610</v>
      </c>
      <c r="K191" s="2" t="s">
        <v>256</v>
      </c>
      <c r="L191" s="2">
        <v>0.02</v>
      </c>
      <c r="N191" s="3" t="s">
        <v>19</v>
      </c>
      <c r="O191" s="2">
        <v>271</v>
      </c>
    </row>
    <row r="192" spans="1:15" x14ac:dyDescent="0.35">
      <c r="A192" s="2" t="s">
        <v>257</v>
      </c>
      <c r="B192" s="2">
        <v>96</v>
      </c>
      <c r="C192" s="2" t="s">
        <v>16</v>
      </c>
      <c r="D192" s="2">
        <v>968</v>
      </c>
      <c r="E192" s="2">
        <v>20020</v>
      </c>
      <c r="G192" s="2">
        <v>309</v>
      </c>
      <c r="H192" s="2" t="s">
        <v>258</v>
      </c>
      <c r="I192" s="2">
        <f>VLOOKUP(H192,[1]Customers!$A:$B,2,FALSE)</f>
        <v>2485</v>
      </c>
      <c r="J192" s="2">
        <v>45796</v>
      </c>
      <c r="K192" s="2" t="s">
        <v>259</v>
      </c>
      <c r="M192" s="2">
        <v>634.16999999999996</v>
      </c>
      <c r="N192" s="3" t="s">
        <v>19</v>
      </c>
    </row>
    <row r="193" spans="1:14" x14ac:dyDescent="0.35">
      <c r="A193" s="2" t="s">
        <v>257</v>
      </c>
      <c r="B193" s="2">
        <v>96.5</v>
      </c>
      <c r="C193" s="2" t="s">
        <v>20</v>
      </c>
      <c r="D193" s="2">
        <v>616</v>
      </c>
      <c r="E193" s="2">
        <v>20020</v>
      </c>
      <c r="F193" s="2">
        <v>616</v>
      </c>
      <c r="G193" s="2">
        <v>309</v>
      </c>
      <c r="H193" s="2" t="s">
        <v>258</v>
      </c>
      <c r="I193" s="2">
        <f>VLOOKUP(H193,[1]Customers!$A:$B,2,FALSE)</f>
        <v>2485</v>
      </c>
      <c r="J193" s="2">
        <v>45796</v>
      </c>
      <c r="K193" s="2" t="s">
        <v>259</v>
      </c>
      <c r="L193" s="2">
        <v>634.16999999999996</v>
      </c>
      <c r="N193" s="3" t="s">
        <v>19</v>
      </c>
    </row>
    <row r="194" spans="1:14" x14ac:dyDescent="0.35">
      <c r="A194" s="2" t="s">
        <v>260</v>
      </c>
      <c r="B194" s="2">
        <v>97</v>
      </c>
      <c r="C194" s="2" t="s">
        <v>16</v>
      </c>
      <c r="D194" s="2">
        <v>968</v>
      </c>
      <c r="E194" s="2">
        <v>20020</v>
      </c>
      <c r="G194" s="2">
        <v>300</v>
      </c>
      <c r="H194" s="2" t="s">
        <v>258</v>
      </c>
      <c r="I194" s="2">
        <f>VLOOKUP(H194,[1]Customers!$A:$B,2,FALSE)</f>
        <v>2485</v>
      </c>
      <c r="J194" s="2">
        <v>45805</v>
      </c>
      <c r="K194" s="2" t="s">
        <v>261</v>
      </c>
      <c r="M194" s="2">
        <v>1660.02</v>
      </c>
      <c r="N194" s="3" t="s">
        <v>19</v>
      </c>
    </row>
    <row r="195" spans="1:14" x14ac:dyDescent="0.35">
      <c r="A195" s="2" t="s">
        <v>260</v>
      </c>
      <c r="B195" s="2">
        <v>97.5</v>
      </c>
      <c r="C195" s="2" t="s">
        <v>20</v>
      </c>
      <c r="D195" s="2">
        <v>616</v>
      </c>
      <c r="E195" s="2">
        <v>20020</v>
      </c>
      <c r="F195" s="2">
        <v>616</v>
      </c>
      <c r="G195" s="2">
        <v>300</v>
      </c>
      <c r="H195" s="2" t="s">
        <v>258</v>
      </c>
      <c r="I195" s="2">
        <f>VLOOKUP(H195,[1]Customers!$A:$B,2,FALSE)</f>
        <v>2485</v>
      </c>
      <c r="J195" s="2">
        <v>45805</v>
      </c>
      <c r="K195" s="2" t="s">
        <v>261</v>
      </c>
      <c r="L195" s="2">
        <v>1660.02</v>
      </c>
      <c r="N195" s="3" t="s">
        <v>19</v>
      </c>
    </row>
    <row r="196" spans="1:14" x14ac:dyDescent="0.35">
      <c r="A196" s="2" t="s">
        <v>262</v>
      </c>
      <c r="B196" s="2">
        <v>98</v>
      </c>
      <c r="C196" s="2" t="s">
        <v>16</v>
      </c>
      <c r="D196" s="2">
        <v>968</v>
      </c>
      <c r="E196" s="2">
        <v>20020</v>
      </c>
      <c r="G196" s="2">
        <v>313</v>
      </c>
      <c r="H196" s="2" t="s">
        <v>263</v>
      </c>
      <c r="I196" s="2">
        <f>VLOOKUP(H196,[1]Customers!$A:$B,2,FALSE)</f>
        <v>2534</v>
      </c>
      <c r="J196" s="2">
        <v>45792</v>
      </c>
      <c r="K196" s="2" t="s">
        <v>264</v>
      </c>
      <c r="M196" s="2">
        <v>59741.26</v>
      </c>
      <c r="N196" s="3" t="s">
        <v>19</v>
      </c>
    </row>
    <row r="197" spans="1:14" x14ac:dyDescent="0.35">
      <c r="A197" s="2" t="s">
        <v>262</v>
      </c>
      <c r="B197" s="2">
        <v>98.5</v>
      </c>
      <c r="C197" s="2" t="s">
        <v>20</v>
      </c>
      <c r="D197" s="2">
        <v>616</v>
      </c>
      <c r="E197" s="2">
        <v>20020</v>
      </c>
      <c r="F197" s="2">
        <v>616</v>
      </c>
      <c r="G197" s="2">
        <v>313</v>
      </c>
      <c r="H197" s="2" t="s">
        <v>263</v>
      </c>
      <c r="I197" s="2">
        <f>VLOOKUP(H197,[1]Customers!$A:$B,2,FALSE)</f>
        <v>2534</v>
      </c>
      <c r="J197" s="2">
        <v>45792</v>
      </c>
      <c r="K197" s="2" t="s">
        <v>264</v>
      </c>
      <c r="L197" s="2">
        <v>59741.26</v>
      </c>
      <c r="N197" s="3" t="s">
        <v>19</v>
      </c>
    </row>
    <row r="198" spans="1:14" x14ac:dyDescent="0.35">
      <c r="A198" s="2" t="s">
        <v>265</v>
      </c>
      <c r="B198" s="2">
        <v>99</v>
      </c>
      <c r="C198" s="2" t="s">
        <v>16</v>
      </c>
      <c r="D198" s="2">
        <v>968</v>
      </c>
      <c r="E198" s="2">
        <v>20020</v>
      </c>
      <c r="G198" s="2">
        <v>305</v>
      </c>
      <c r="H198" s="2" t="s">
        <v>266</v>
      </c>
      <c r="I198" s="2">
        <f>VLOOKUP(H198,[1]Customers!$A:$B,2,FALSE)</f>
        <v>2458</v>
      </c>
      <c r="J198" s="2">
        <v>45800</v>
      </c>
      <c r="K198" s="2" t="s">
        <v>267</v>
      </c>
      <c r="M198" s="2">
        <v>613.85</v>
      </c>
      <c r="N198" s="3" t="s">
        <v>19</v>
      </c>
    </row>
    <row r="199" spans="1:14" x14ac:dyDescent="0.35">
      <c r="A199" s="2" t="s">
        <v>265</v>
      </c>
      <c r="B199" s="2">
        <v>99.5</v>
      </c>
      <c r="C199" s="2" t="s">
        <v>20</v>
      </c>
      <c r="D199" s="2">
        <v>616</v>
      </c>
      <c r="E199" s="2">
        <v>20020</v>
      </c>
      <c r="F199" s="2">
        <v>616</v>
      </c>
      <c r="G199" s="2">
        <v>305</v>
      </c>
      <c r="H199" s="2" t="s">
        <v>266</v>
      </c>
      <c r="I199" s="2">
        <f>VLOOKUP(H199,[1]Customers!$A:$B,2,FALSE)</f>
        <v>2458</v>
      </c>
      <c r="J199" s="2">
        <v>45800</v>
      </c>
      <c r="K199" s="2" t="s">
        <v>267</v>
      </c>
      <c r="L199" s="2">
        <v>613.85</v>
      </c>
      <c r="N199" s="3" t="s">
        <v>19</v>
      </c>
    </row>
    <row r="200" spans="1:14" x14ac:dyDescent="0.35">
      <c r="A200" s="2" t="s">
        <v>268</v>
      </c>
      <c r="B200" s="2">
        <v>100</v>
      </c>
      <c r="C200" s="2" t="s">
        <v>16</v>
      </c>
      <c r="D200" s="2">
        <v>968</v>
      </c>
      <c r="E200" s="2">
        <v>20020</v>
      </c>
      <c r="G200" s="2">
        <v>349</v>
      </c>
      <c r="H200" s="2" t="s">
        <v>269</v>
      </c>
      <c r="I200" s="2">
        <f>VLOOKUP(H200,[1]Customers!$A:$B,2,FALSE)</f>
        <v>2307</v>
      </c>
      <c r="J200" s="2">
        <v>45756</v>
      </c>
      <c r="K200" s="2" t="s">
        <v>270</v>
      </c>
      <c r="M200" s="2">
        <v>4207.1099999999997</v>
      </c>
      <c r="N200" s="3" t="s">
        <v>19</v>
      </c>
    </row>
    <row r="201" spans="1:14" x14ac:dyDescent="0.35">
      <c r="A201" s="2" t="s">
        <v>268</v>
      </c>
      <c r="B201" s="2">
        <v>100.5</v>
      </c>
      <c r="C201" s="2" t="s">
        <v>20</v>
      </c>
      <c r="D201" s="2">
        <v>616</v>
      </c>
      <c r="E201" s="2">
        <v>20020</v>
      </c>
      <c r="F201" s="2">
        <v>616</v>
      </c>
      <c r="G201" s="2">
        <v>349</v>
      </c>
      <c r="H201" s="2" t="s">
        <v>269</v>
      </c>
      <c r="I201" s="2">
        <f>VLOOKUP(H201,[1]Customers!$A:$B,2,FALSE)</f>
        <v>2307</v>
      </c>
      <c r="J201" s="2">
        <v>45756</v>
      </c>
      <c r="K201" s="2" t="s">
        <v>270</v>
      </c>
      <c r="L201" s="2">
        <v>4207.1099999999997</v>
      </c>
      <c r="N201" s="3" t="s">
        <v>19</v>
      </c>
    </row>
    <row r="202" spans="1:14" x14ac:dyDescent="0.35">
      <c r="A202" s="2" t="s">
        <v>271</v>
      </c>
      <c r="B202" s="2">
        <v>101</v>
      </c>
      <c r="C202" s="2" t="s">
        <v>16</v>
      </c>
      <c r="D202" s="2">
        <v>968</v>
      </c>
      <c r="E202" s="2">
        <v>20020</v>
      </c>
      <c r="G202" s="2">
        <v>358</v>
      </c>
      <c r="H202" s="2" t="s">
        <v>269</v>
      </c>
      <c r="I202" s="2">
        <f>VLOOKUP(H202,[1]Customers!$A:$B,2,FALSE)</f>
        <v>2307</v>
      </c>
      <c r="J202" s="2">
        <v>45747</v>
      </c>
      <c r="K202" s="2" t="s">
        <v>272</v>
      </c>
      <c r="M202" s="2">
        <v>3040.26</v>
      </c>
      <c r="N202" s="3" t="s">
        <v>19</v>
      </c>
    </row>
    <row r="203" spans="1:14" x14ac:dyDescent="0.35">
      <c r="A203" s="2" t="s">
        <v>271</v>
      </c>
      <c r="B203" s="2">
        <v>101.5</v>
      </c>
      <c r="C203" s="2" t="s">
        <v>20</v>
      </c>
      <c r="D203" s="2">
        <v>616</v>
      </c>
      <c r="E203" s="2">
        <v>20020</v>
      </c>
      <c r="F203" s="2">
        <v>616</v>
      </c>
      <c r="G203" s="2">
        <v>358</v>
      </c>
      <c r="H203" s="2" t="s">
        <v>269</v>
      </c>
      <c r="I203" s="2">
        <f>VLOOKUP(H203,[1]Customers!$A:$B,2,FALSE)</f>
        <v>2307</v>
      </c>
      <c r="J203" s="2">
        <v>45747</v>
      </c>
      <c r="K203" s="2" t="s">
        <v>272</v>
      </c>
      <c r="L203" s="2">
        <v>3040.26</v>
      </c>
      <c r="N203" s="3" t="s">
        <v>19</v>
      </c>
    </row>
    <row r="204" spans="1:14" x14ac:dyDescent="0.35">
      <c r="A204" s="2" t="s">
        <v>273</v>
      </c>
      <c r="B204" s="2">
        <v>102</v>
      </c>
      <c r="C204" s="2" t="s">
        <v>16</v>
      </c>
      <c r="D204" s="2">
        <v>968</v>
      </c>
      <c r="E204" s="2">
        <v>20020</v>
      </c>
      <c r="G204" s="2">
        <v>314</v>
      </c>
      <c r="H204" s="2" t="s">
        <v>269</v>
      </c>
      <c r="I204" s="2">
        <f>VLOOKUP(H204,[1]Customers!$A:$B,2,FALSE)</f>
        <v>2307</v>
      </c>
      <c r="J204" s="2">
        <v>45791</v>
      </c>
      <c r="K204" s="2" t="s">
        <v>274</v>
      </c>
      <c r="M204" s="2">
        <v>1228.7</v>
      </c>
      <c r="N204" s="3" t="s">
        <v>19</v>
      </c>
    </row>
    <row r="205" spans="1:14" x14ac:dyDescent="0.35">
      <c r="A205" s="2" t="s">
        <v>273</v>
      </c>
      <c r="B205" s="2">
        <v>102.5</v>
      </c>
      <c r="C205" s="2" t="s">
        <v>20</v>
      </c>
      <c r="D205" s="2">
        <v>616</v>
      </c>
      <c r="E205" s="2">
        <v>20020</v>
      </c>
      <c r="F205" s="2">
        <v>616</v>
      </c>
      <c r="G205" s="2">
        <v>314</v>
      </c>
      <c r="H205" s="2" t="s">
        <v>269</v>
      </c>
      <c r="I205" s="2">
        <f>VLOOKUP(H205,[1]Customers!$A:$B,2,FALSE)</f>
        <v>2307</v>
      </c>
      <c r="J205" s="2">
        <v>45791</v>
      </c>
      <c r="K205" s="2" t="s">
        <v>274</v>
      </c>
      <c r="L205" s="2">
        <v>1228.7</v>
      </c>
      <c r="N205" s="3" t="s">
        <v>19</v>
      </c>
    </row>
    <row r="206" spans="1:14" x14ac:dyDescent="0.35">
      <c r="A206" s="2" t="s">
        <v>275</v>
      </c>
      <c r="B206" s="2">
        <v>103</v>
      </c>
      <c r="C206" s="2" t="s">
        <v>16</v>
      </c>
      <c r="D206" s="2">
        <v>968</v>
      </c>
      <c r="E206" s="2">
        <v>20020</v>
      </c>
      <c r="G206" s="2">
        <v>375</v>
      </c>
      <c r="H206" s="2" t="s">
        <v>276</v>
      </c>
      <c r="I206" s="2">
        <f>VLOOKUP(H206,[1]Customers!$A:$B,2,FALSE)</f>
        <v>2172</v>
      </c>
      <c r="J206" s="2">
        <v>45730</v>
      </c>
      <c r="K206" s="2" t="s">
        <v>277</v>
      </c>
      <c r="M206" s="2">
        <v>12532.78</v>
      </c>
      <c r="N206" s="3" t="s">
        <v>19</v>
      </c>
    </row>
    <row r="207" spans="1:14" x14ac:dyDescent="0.35">
      <c r="A207" s="2" t="s">
        <v>275</v>
      </c>
      <c r="B207" s="2">
        <v>103.5</v>
      </c>
      <c r="C207" s="2" t="s">
        <v>20</v>
      </c>
      <c r="D207" s="2">
        <v>616</v>
      </c>
      <c r="E207" s="2">
        <v>20020</v>
      </c>
      <c r="F207" s="2">
        <v>616</v>
      </c>
      <c r="G207" s="2">
        <v>375</v>
      </c>
      <c r="H207" s="2" t="s">
        <v>276</v>
      </c>
      <c r="I207" s="2">
        <f>VLOOKUP(H207,[1]Customers!$A:$B,2,FALSE)</f>
        <v>2172</v>
      </c>
      <c r="J207" s="2">
        <v>45730</v>
      </c>
      <c r="K207" s="2" t="s">
        <v>277</v>
      </c>
      <c r="L207" s="2">
        <v>12532.78</v>
      </c>
      <c r="N207" s="3" t="s">
        <v>19</v>
      </c>
    </row>
    <row r="208" spans="1:14" ht="15" customHeight="1" x14ac:dyDescent="0.35">
      <c r="A208" s="2" t="s">
        <v>278</v>
      </c>
      <c r="B208" s="2">
        <v>104</v>
      </c>
      <c r="C208" s="2" t="s">
        <v>16</v>
      </c>
      <c r="D208" s="2">
        <v>968</v>
      </c>
      <c r="E208" s="2">
        <v>20020</v>
      </c>
      <c r="G208" s="2">
        <v>466</v>
      </c>
      <c r="H208" s="4" t="s">
        <v>279</v>
      </c>
      <c r="I208" s="2">
        <f>VLOOKUP(H208,[1]Customers!$A:$B,2,FALSE)</f>
        <v>540</v>
      </c>
      <c r="J208" s="2">
        <v>45639</v>
      </c>
      <c r="K208" s="2" t="s">
        <v>280</v>
      </c>
      <c r="M208" s="2">
        <v>2540</v>
      </c>
      <c r="N208" s="3" t="s">
        <v>19</v>
      </c>
    </row>
    <row r="209" spans="1:15" x14ac:dyDescent="0.35">
      <c r="A209" s="2" t="s">
        <v>278</v>
      </c>
      <c r="B209" s="2">
        <v>104.5</v>
      </c>
      <c r="C209" s="2" t="s">
        <v>20</v>
      </c>
      <c r="D209" s="2">
        <v>616</v>
      </c>
      <c r="E209" s="2">
        <v>20020</v>
      </c>
      <c r="F209" s="2">
        <v>616</v>
      </c>
      <c r="G209" s="2">
        <v>466</v>
      </c>
      <c r="H209" s="4" t="s">
        <v>279</v>
      </c>
      <c r="I209" s="2">
        <f>VLOOKUP(H209,[1]Customers!$A:$B,2,FALSE)</f>
        <v>540</v>
      </c>
      <c r="J209" s="2">
        <v>45639</v>
      </c>
      <c r="K209" s="2" t="s">
        <v>280</v>
      </c>
      <c r="L209" s="2">
        <v>2540</v>
      </c>
      <c r="N209" s="3" t="s">
        <v>19</v>
      </c>
    </row>
    <row r="210" spans="1:15" x14ac:dyDescent="0.35">
      <c r="A210" s="2" t="s">
        <v>281</v>
      </c>
      <c r="B210" s="2">
        <v>105</v>
      </c>
      <c r="C210" s="2" t="s">
        <v>16</v>
      </c>
      <c r="D210" s="2">
        <v>968</v>
      </c>
      <c r="E210" s="2">
        <v>20020</v>
      </c>
      <c r="G210" s="2">
        <v>531</v>
      </c>
      <c r="H210" s="2" t="s">
        <v>282</v>
      </c>
      <c r="I210" s="2">
        <f>VLOOKUP(H210,[1]Customers!$A:$B,2,FALSE)</f>
        <v>541</v>
      </c>
      <c r="J210" s="2">
        <v>45574</v>
      </c>
      <c r="K210" s="2" t="s">
        <v>283</v>
      </c>
      <c r="M210" s="2">
        <v>0.02</v>
      </c>
      <c r="N210" s="3" t="s">
        <v>19</v>
      </c>
      <c r="O210" s="2">
        <v>728</v>
      </c>
    </row>
    <row r="211" spans="1:15" x14ac:dyDescent="0.35">
      <c r="A211" s="2" t="s">
        <v>281</v>
      </c>
      <c r="B211" s="2">
        <v>105.5</v>
      </c>
      <c r="C211" s="2" t="s">
        <v>20</v>
      </c>
      <c r="D211" s="2">
        <v>616</v>
      </c>
      <c r="E211" s="2">
        <v>20020</v>
      </c>
      <c r="F211" s="2">
        <v>616</v>
      </c>
      <c r="G211" s="2">
        <v>531</v>
      </c>
      <c r="H211" s="2" t="s">
        <v>282</v>
      </c>
      <c r="I211" s="2">
        <f>VLOOKUP(H211,[1]Customers!$A:$B,2,FALSE)</f>
        <v>541</v>
      </c>
      <c r="J211" s="2">
        <v>45574</v>
      </c>
      <c r="K211" s="2" t="s">
        <v>283</v>
      </c>
      <c r="L211" s="2">
        <v>0.02</v>
      </c>
      <c r="N211" s="3" t="s">
        <v>19</v>
      </c>
      <c r="O211" s="2">
        <v>728</v>
      </c>
    </row>
    <row r="212" spans="1:15" x14ac:dyDescent="0.35">
      <c r="A212" s="2" t="s">
        <v>284</v>
      </c>
      <c r="B212" s="2">
        <v>106</v>
      </c>
      <c r="C212" s="2" t="s">
        <v>16</v>
      </c>
      <c r="D212" s="2">
        <v>968</v>
      </c>
      <c r="E212" s="2">
        <v>20020</v>
      </c>
      <c r="G212" s="2">
        <v>608</v>
      </c>
      <c r="H212" s="2" t="s">
        <v>285</v>
      </c>
      <c r="I212" s="2">
        <f>VLOOKUP(H212,[1]Customers!$A:$B,2,FALSE)</f>
        <v>544</v>
      </c>
      <c r="J212" s="2">
        <v>45497</v>
      </c>
      <c r="K212" s="2" t="s">
        <v>286</v>
      </c>
      <c r="M212" s="2">
        <v>11353.32</v>
      </c>
      <c r="N212" s="3" t="s">
        <v>19</v>
      </c>
    </row>
    <row r="213" spans="1:15" x14ac:dyDescent="0.35">
      <c r="A213" s="2" t="s">
        <v>284</v>
      </c>
      <c r="B213" s="2">
        <v>106.5</v>
      </c>
      <c r="C213" s="2" t="s">
        <v>20</v>
      </c>
      <c r="D213" s="2">
        <v>616</v>
      </c>
      <c r="E213" s="2">
        <v>20020</v>
      </c>
      <c r="F213" s="2">
        <v>616</v>
      </c>
      <c r="G213" s="2">
        <v>608</v>
      </c>
      <c r="H213" s="2" t="s">
        <v>285</v>
      </c>
      <c r="I213" s="2">
        <f>VLOOKUP(H213,[1]Customers!$A:$B,2,FALSE)</f>
        <v>544</v>
      </c>
      <c r="J213" s="2">
        <v>45497</v>
      </c>
      <c r="K213" s="2" t="s">
        <v>286</v>
      </c>
      <c r="L213" s="2">
        <v>11353.32</v>
      </c>
      <c r="N213" s="3" t="s">
        <v>19</v>
      </c>
    </row>
    <row r="214" spans="1:15" x14ac:dyDescent="0.35">
      <c r="A214" s="2" t="s">
        <v>287</v>
      </c>
      <c r="B214" s="2">
        <v>107</v>
      </c>
      <c r="C214" s="2" t="s">
        <v>16</v>
      </c>
      <c r="D214" s="2">
        <v>968</v>
      </c>
      <c r="E214" s="2">
        <v>20020</v>
      </c>
      <c r="G214" s="2">
        <v>557</v>
      </c>
      <c r="H214" s="2" t="s">
        <v>288</v>
      </c>
      <c r="I214" s="2">
        <f>VLOOKUP(H214,[1]Customers!$A:$B,2,FALSE)</f>
        <v>546</v>
      </c>
      <c r="J214" s="2">
        <v>45548</v>
      </c>
      <c r="M214" s="2">
        <v>1882.74</v>
      </c>
      <c r="N214" s="3" t="s">
        <v>19</v>
      </c>
    </row>
    <row r="215" spans="1:15" x14ac:dyDescent="0.35">
      <c r="A215" s="2" t="s">
        <v>287</v>
      </c>
      <c r="B215" s="2">
        <v>107.5</v>
      </c>
      <c r="C215" s="2" t="s">
        <v>20</v>
      </c>
      <c r="D215" s="2">
        <v>616</v>
      </c>
      <c r="E215" s="2">
        <v>20020</v>
      </c>
      <c r="F215" s="2">
        <v>616</v>
      </c>
      <c r="G215" s="2">
        <v>557</v>
      </c>
      <c r="H215" s="2" t="s">
        <v>288</v>
      </c>
      <c r="I215" s="2">
        <f>VLOOKUP(H215,[1]Customers!$A:$B,2,FALSE)</f>
        <v>546</v>
      </c>
      <c r="J215" s="2">
        <v>45548</v>
      </c>
      <c r="L215" s="2">
        <v>1882.74</v>
      </c>
      <c r="N215" s="3" t="s">
        <v>19</v>
      </c>
    </row>
    <row r="216" spans="1:15" x14ac:dyDescent="0.35">
      <c r="A216" s="2" t="s">
        <v>289</v>
      </c>
      <c r="B216" s="2">
        <v>108</v>
      </c>
      <c r="C216" s="2" t="s">
        <v>16</v>
      </c>
      <c r="D216" s="2">
        <v>968</v>
      </c>
      <c r="E216" s="2">
        <v>20020</v>
      </c>
      <c r="G216" s="2">
        <v>593</v>
      </c>
      <c r="H216" s="2" t="s">
        <v>288</v>
      </c>
      <c r="I216" s="2">
        <f>VLOOKUP(H216,[1]Customers!$A:$B,2,FALSE)</f>
        <v>546</v>
      </c>
      <c r="J216" s="2">
        <v>45512</v>
      </c>
      <c r="K216" s="2" t="s">
        <v>290</v>
      </c>
      <c r="M216" s="2">
        <v>860</v>
      </c>
      <c r="N216" s="3" t="s">
        <v>19</v>
      </c>
    </row>
    <row r="217" spans="1:15" x14ac:dyDescent="0.35">
      <c r="A217" s="2" t="s">
        <v>289</v>
      </c>
      <c r="B217" s="2">
        <v>108.5</v>
      </c>
      <c r="C217" s="2" t="s">
        <v>20</v>
      </c>
      <c r="D217" s="2">
        <v>616</v>
      </c>
      <c r="E217" s="2">
        <v>20020</v>
      </c>
      <c r="F217" s="2">
        <v>616</v>
      </c>
      <c r="G217" s="2">
        <v>593</v>
      </c>
      <c r="H217" s="2" t="s">
        <v>288</v>
      </c>
      <c r="I217" s="2">
        <f>VLOOKUP(H217,[1]Customers!$A:$B,2,FALSE)</f>
        <v>546</v>
      </c>
      <c r="J217" s="2">
        <v>45512</v>
      </c>
      <c r="K217" s="2" t="s">
        <v>290</v>
      </c>
      <c r="L217" s="2">
        <v>860</v>
      </c>
      <c r="N217" s="3" t="s">
        <v>19</v>
      </c>
    </row>
    <row r="218" spans="1:15" x14ac:dyDescent="0.35">
      <c r="A218" s="2" t="s">
        <v>291</v>
      </c>
      <c r="B218" s="2">
        <v>109</v>
      </c>
      <c r="C218" s="2" t="s">
        <v>16</v>
      </c>
      <c r="D218" s="2">
        <v>968</v>
      </c>
      <c r="E218" s="2">
        <v>20020</v>
      </c>
      <c r="G218" s="2">
        <v>301</v>
      </c>
      <c r="H218" s="2" t="s">
        <v>288</v>
      </c>
      <c r="I218" s="2">
        <f>VLOOKUP(H218,[1]Customers!$A:$B,2,FALSE)</f>
        <v>546</v>
      </c>
      <c r="J218" s="2">
        <v>45804</v>
      </c>
      <c r="K218" s="2" t="s">
        <v>292</v>
      </c>
      <c r="M218" s="2">
        <v>866.05</v>
      </c>
      <c r="N218" s="3" t="s">
        <v>19</v>
      </c>
    </row>
    <row r="219" spans="1:15" x14ac:dyDescent="0.35">
      <c r="A219" s="2" t="s">
        <v>291</v>
      </c>
      <c r="B219" s="2">
        <v>109.5</v>
      </c>
      <c r="C219" s="2" t="s">
        <v>20</v>
      </c>
      <c r="D219" s="2">
        <v>616</v>
      </c>
      <c r="E219" s="2">
        <v>20020</v>
      </c>
      <c r="F219" s="2">
        <v>616</v>
      </c>
      <c r="G219" s="2">
        <v>301</v>
      </c>
      <c r="H219" s="2" t="s">
        <v>288</v>
      </c>
      <c r="I219" s="2">
        <f>VLOOKUP(H219,[1]Customers!$A:$B,2,FALSE)</f>
        <v>546</v>
      </c>
      <c r="J219" s="2">
        <v>45804</v>
      </c>
      <c r="K219" s="2" t="s">
        <v>292</v>
      </c>
      <c r="L219" s="2">
        <v>866.05</v>
      </c>
      <c r="N219" s="3" t="s">
        <v>19</v>
      </c>
    </row>
    <row r="220" spans="1:15" x14ac:dyDescent="0.35">
      <c r="A220" s="2" t="s">
        <v>293</v>
      </c>
      <c r="B220" s="2">
        <v>110</v>
      </c>
      <c r="C220" s="2" t="s">
        <v>16</v>
      </c>
      <c r="D220" s="2">
        <v>968</v>
      </c>
      <c r="E220" s="2">
        <v>20020</v>
      </c>
      <c r="G220" s="2">
        <v>431</v>
      </c>
      <c r="H220" s="2" t="s">
        <v>288</v>
      </c>
      <c r="I220" s="2">
        <f>VLOOKUP(H220,[1]Customers!$A:$B,2,FALSE)</f>
        <v>546</v>
      </c>
      <c r="J220" s="2">
        <v>45674</v>
      </c>
      <c r="K220" s="2" t="s">
        <v>294</v>
      </c>
      <c r="M220" s="2">
        <v>27069.17</v>
      </c>
      <c r="N220" s="3" t="s">
        <v>19</v>
      </c>
    </row>
    <row r="221" spans="1:15" x14ac:dyDescent="0.35">
      <c r="A221" s="2" t="s">
        <v>293</v>
      </c>
      <c r="B221" s="2">
        <v>110.5</v>
      </c>
      <c r="C221" s="2" t="s">
        <v>20</v>
      </c>
      <c r="D221" s="2">
        <v>616</v>
      </c>
      <c r="E221" s="2">
        <v>20020</v>
      </c>
      <c r="F221" s="2">
        <v>616</v>
      </c>
      <c r="G221" s="2">
        <v>431</v>
      </c>
      <c r="H221" s="2" t="s">
        <v>288</v>
      </c>
      <c r="I221" s="2">
        <f>VLOOKUP(H221,[1]Customers!$A:$B,2,FALSE)</f>
        <v>546</v>
      </c>
      <c r="J221" s="2">
        <v>45674</v>
      </c>
      <c r="K221" s="2" t="s">
        <v>294</v>
      </c>
      <c r="L221" s="2">
        <v>27069.17</v>
      </c>
      <c r="N221" s="3" t="s">
        <v>19</v>
      </c>
    </row>
    <row r="222" spans="1:15" x14ac:dyDescent="0.35">
      <c r="A222" s="2" t="s">
        <v>295</v>
      </c>
      <c r="B222" s="2">
        <v>111</v>
      </c>
      <c r="C222" s="2" t="s">
        <v>16</v>
      </c>
      <c r="D222" s="2">
        <v>968</v>
      </c>
      <c r="E222" s="2">
        <v>20020</v>
      </c>
      <c r="G222" s="2">
        <v>586</v>
      </c>
      <c r="H222" s="2" t="s">
        <v>288</v>
      </c>
      <c r="I222" s="2">
        <f>VLOOKUP(H222,[1]Customers!$A:$B,2,FALSE)</f>
        <v>546</v>
      </c>
      <c r="J222" s="2">
        <v>45519</v>
      </c>
      <c r="M222" s="2">
        <v>149785.67000000001</v>
      </c>
      <c r="N222" s="3" t="s">
        <v>19</v>
      </c>
    </row>
    <row r="223" spans="1:15" x14ac:dyDescent="0.35">
      <c r="A223" s="2" t="s">
        <v>295</v>
      </c>
      <c r="B223" s="2">
        <v>111.5</v>
      </c>
      <c r="C223" s="2" t="s">
        <v>20</v>
      </c>
      <c r="D223" s="2">
        <v>616</v>
      </c>
      <c r="E223" s="2">
        <v>20020</v>
      </c>
      <c r="F223" s="2">
        <v>616</v>
      </c>
      <c r="G223" s="2">
        <v>586</v>
      </c>
      <c r="H223" s="2" t="s">
        <v>288</v>
      </c>
      <c r="I223" s="2">
        <f>VLOOKUP(H223,[1]Customers!$A:$B,2,FALSE)</f>
        <v>546</v>
      </c>
      <c r="J223" s="2">
        <v>45519</v>
      </c>
      <c r="L223" s="2">
        <v>149785.67000000001</v>
      </c>
      <c r="N223" s="3" t="s">
        <v>19</v>
      </c>
    </row>
    <row r="224" spans="1:15" x14ac:dyDescent="0.35">
      <c r="A224" s="2" t="s">
        <v>296</v>
      </c>
      <c r="B224" s="2">
        <v>112</v>
      </c>
      <c r="C224" s="2" t="s">
        <v>16</v>
      </c>
      <c r="D224" s="2">
        <v>968</v>
      </c>
      <c r="E224" s="2">
        <v>20020</v>
      </c>
      <c r="G224" s="2">
        <v>293</v>
      </c>
      <c r="H224" s="2" t="s">
        <v>288</v>
      </c>
      <c r="I224" s="2">
        <f>VLOOKUP(H224,[1]Customers!$A:$B,2,FALSE)</f>
        <v>546</v>
      </c>
      <c r="J224" s="2">
        <v>45812</v>
      </c>
      <c r="K224" s="2" t="s">
        <v>297</v>
      </c>
      <c r="M224" s="2">
        <v>152.46</v>
      </c>
      <c r="N224" s="3" t="s">
        <v>19</v>
      </c>
      <c r="O224" s="2">
        <v>318</v>
      </c>
    </row>
    <row r="225" spans="1:15" x14ac:dyDescent="0.35">
      <c r="A225" s="2" t="s">
        <v>296</v>
      </c>
      <c r="B225" s="2">
        <v>112.5</v>
      </c>
      <c r="C225" s="2" t="s">
        <v>20</v>
      </c>
      <c r="D225" s="2">
        <v>616</v>
      </c>
      <c r="E225" s="2">
        <v>20020</v>
      </c>
      <c r="F225" s="2">
        <v>616</v>
      </c>
      <c r="G225" s="2">
        <v>293</v>
      </c>
      <c r="H225" s="2" t="s">
        <v>288</v>
      </c>
      <c r="I225" s="2">
        <f>VLOOKUP(H225,[1]Customers!$A:$B,2,FALSE)</f>
        <v>546</v>
      </c>
      <c r="J225" s="2">
        <v>45812</v>
      </c>
      <c r="K225" s="2" t="s">
        <v>297</v>
      </c>
      <c r="L225" s="2">
        <v>152.46</v>
      </c>
      <c r="N225" s="3" t="s">
        <v>19</v>
      </c>
      <c r="O225" s="2">
        <v>318</v>
      </c>
    </row>
    <row r="226" spans="1:15" x14ac:dyDescent="0.35">
      <c r="A226" s="2" t="s">
        <v>298</v>
      </c>
      <c r="B226" s="2">
        <v>113</v>
      </c>
      <c r="C226" s="2" t="s">
        <v>16</v>
      </c>
      <c r="D226" s="2">
        <v>968</v>
      </c>
      <c r="E226" s="2">
        <v>20020</v>
      </c>
      <c r="G226" s="2">
        <v>554</v>
      </c>
      <c r="H226" s="2" t="s">
        <v>288</v>
      </c>
      <c r="I226" s="2">
        <f>VLOOKUP(H226,[1]Customers!$A:$B,2,FALSE)</f>
        <v>546</v>
      </c>
      <c r="J226" s="2">
        <v>45551</v>
      </c>
      <c r="K226" s="2" t="s">
        <v>299</v>
      </c>
      <c r="M226" s="2">
        <v>37321.21</v>
      </c>
      <c r="N226" s="3" t="s">
        <v>19</v>
      </c>
    </row>
    <row r="227" spans="1:15" x14ac:dyDescent="0.35">
      <c r="A227" s="2" t="s">
        <v>298</v>
      </c>
      <c r="B227" s="2">
        <v>113.5</v>
      </c>
      <c r="C227" s="2" t="s">
        <v>20</v>
      </c>
      <c r="D227" s="2">
        <v>616</v>
      </c>
      <c r="E227" s="2">
        <v>20020</v>
      </c>
      <c r="F227" s="2">
        <v>616</v>
      </c>
      <c r="G227" s="2">
        <v>554</v>
      </c>
      <c r="H227" s="2" t="s">
        <v>288</v>
      </c>
      <c r="I227" s="2">
        <f>VLOOKUP(H227,[1]Customers!$A:$B,2,FALSE)</f>
        <v>546</v>
      </c>
      <c r="J227" s="2">
        <v>45551</v>
      </c>
      <c r="K227" s="2" t="s">
        <v>299</v>
      </c>
      <c r="L227" s="2">
        <v>37321.21</v>
      </c>
      <c r="N227" s="3" t="s">
        <v>19</v>
      </c>
    </row>
    <row r="228" spans="1:15" x14ac:dyDescent="0.35">
      <c r="A228" s="2" t="s">
        <v>300</v>
      </c>
      <c r="B228" s="2">
        <v>114</v>
      </c>
      <c r="C228" s="2" t="s">
        <v>16</v>
      </c>
      <c r="D228" s="2">
        <v>968</v>
      </c>
      <c r="E228" s="2">
        <v>20020</v>
      </c>
      <c r="G228" s="2">
        <v>355</v>
      </c>
      <c r="H228" s="2" t="s">
        <v>301</v>
      </c>
      <c r="I228" s="2">
        <f>VLOOKUP(H228,[1]Customers!$A:$B,2,FALSE)</f>
        <v>1553</v>
      </c>
      <c r="J228" s="2">
        <v>45750</v>
      </c>
      <c r="K228" s="2" t="s">
        <v>302</v>
      </c>
      <c r="M228" s="2">
        <v>6016.5</v>
      </c>
      <c r="N228" s="3" t="s">
        <v>19</v>
      </c>
    </row>
    <row r="229" spans="1:15" x14ac:dyDescent="0.35">
      <c r="A229" s="2" t="s">
        <v>300</v>
      </c>
      <c r="B229" s="2">
        <v>114.5</v>
      </c>
      <c r="C229" s="2" t="s">
        <v>20</v>
      </c>
      <c r="D229" s="2">
        <v>616</v>
      </c>
      <c r="E229" s="2">
        <v>20020</v>
      </c>
      <c r="F229" s="2">
        <v>616</v>
      </c>
      <c r="G229" s="2">
        <v>355</v>
      </c>
      <c r="H229" s="2" t="s">
        <v>301</v>
      </c>
      <c r="I229" s="2">
        <f>VLOOKUP(H229,[1]Customers!$A:$B,2,FALSE)</f>
        <v>1553</v>
      </c>
      <c r="J229" s="2">
        <v>45750</v>
      </c>
      <c r="K229" s="2" t="s">
        <v>302</v>
      </c>
      <c r="L229" s="2">
        <v>6016.5</v>
      </c>
      <c r="N229" s="3" t="s">
        <v>19</v>
      </c>
    </row>
    <row r="230" spans="1:15" x14ac:dyDescent="0.35">
      <c r="A230" s="2" t="s">
        <v>303</v>
      </c>
      <c r="B230" s="2">
        <v>115</v>
      </c>
      <c r="C230" s="2" t="s">
        <v>16</v>
      </c>
      <c r="D230" s="2">
        <v>968</v>
      </c>
      <c r="E230" s="2">
        <v>20020</v>
      </c>
      <c r="G230" s="2">
        <v>267</v>
      </c>
      <c r="H230" s="2" t="s">
        <v>301</v>
      </c>
      <c r="I230" s="2">
        <f>VLOOKUP(H230,[1]Customers!$A:$B,2,FALSE)</f>
        <v>1553</v>
      </c>
      <c r="J230" s="2">
        <v>45838</v>
      </c>
      <c r="K230" s="2" t="s">
        <v>304</v>
      </c>
      <c r="M230" s="2">
        <v>45745.59</v>
      </c>
      <c r="N230" s="3" t="s">
        <v>19</v>
      </c>
    </row>
    <row r="231" spans="1:15" x14ac:dyDescent="0.35">
      <c r="A231" s="2" t="s">
        <v>303</v>
      </c>
      <c r="B231" s="2">
        <v>115.5</v>
      </c>
      <c r="C231" s="2" t="s">
        <v>20</v>
      </c>
      <c r="D231" s="2">
        <v>616</v>
      </c>
      <c r="E231" s="2">
        <v>20020</v>
      </c>
      <c r="F231" s="2">
        <v>616</v>
      </c>
      <c r="G231" s="2">
        <v>267</v>
      </c>
      <c r="H231" s="2" t="s">
        <v>301</v>
      </c>
      <c r="I231" s="2">
        <f>VLOOKUP(H231,[1]Customers!$A:$B,2,FALSE)</f>
        <v>1553</v>
      </c>
      <c r="J231" s="2">
        <v>45838</v>
      </c>
      <c r="K231" s="2" t="s">
        <v>304</v>
      </c>
      <c r="L231" s="2">
        <v>45745.59</v>
      </c>
      <c r="N231" s="3" t="s">
        <v>19</v>
      </c>
    </row>
    <row r="232" spans="1:15" x14ac:dyDescent="0.35">
      <c r="A232" s="2" t="s">
        <v>305</v>
      </c>
      <c r="B232" s="2">
        <v>116</v>
      </c>
      <c r="C232" s="2" t="s">
        <v>16</v>
      </c>
      <c r="D232" s="2">
        <v>968</v>
      </c>
      <c r="E232" s="2">
        <v>20020</v>
      </c>
      <c r="G232" s="2">
        <v>369</v>
      </c>
      <c r="H232" s="2" t="s">
        <v>306</v>
      </c>
      <c r="I232" s="2">
        <f>VLOOKUP(H232,[1]Customers!$A:$B,2,FALSE)</f>
        <v>2193</v>
      </c>
      <c r="J232" s="2">
        <v>45736</v>
      </c>
      <c r="K232" s="2" t="s">
        <v>307</v>
      </c>
      <c r="M232" s="2">
        <v>661.94</v>
      </c>
      <c r="N232" s="3" t="s">
        <v>19</v>
      </c>
    </row>
    <row r="233" spans="1:15" x14ac:dyDescent="0.35">
      <c r="A233" s="2" t="s">
        <v>305</v>
      </c>
      <c r="B233" s="2">
        <v>116.5</v>
      </c>
      <c r="C233" s="2" t="s">
        <v>20</v>
      </c>
      <c r="D233" s="2">
        <v>616</v>
      </c>
      <c r="E233" s="2">
        <v>20020</v>
      </c>
      <c r="F233" s="2">
        <v>616</v>
      </c>
      <c r="G233" s="2">
        <v>369</v>
      </c>
      <c r="H233" s="2" t="s">
        <v>306</v>
      </c>
      <c r="I233" s="2">
        <f>VLOOKUP(H233,[1]Customers!$A:$B,2,FALSE)</f>
        <v>2193</v>
      </c>
      <c r="J233" s="2">
        <v>45736</v>
      </c>
      <c r="K233" s="2" t="s">
        <v>307</v>
      </c>
      <c r="L233" s="2">
        <v>661.94</v>
      </c>
      <c r="N233" s="3" t="s">
        <v>19</v>
      </c>
    </row>
    <row r="234" spans="1:15" x14ac:dyDescent="0.35">
      <c r="A234" s="2" t="s">
        <v>308</v>
      </c>
      <c r="B234" s="2">
        <v>117</v>
      </c>
      <c r="C234" s="2" t="s">
        <v>16</v>
      </c>
      <c r="D234" s="2">
        <v>968</v>
      </c>
      <c r="E234" s="2">
        <v>20020</v>
      </c>
      <c r="G234" s="2">
        <v>316</v>
      </c>
      <c r="H234" s="2" t="s">
        <v>309</v>
      </c>
      <c r="I234" s="2">
        <f>VLOOKUP(H234,[1]Customers!$A:$B,2,FALSE)</f>
        <v>2417</v>
      </c>
      <c r="J234" s="2">
        <v>45789</v>
      </c>
      <c r="K234" s="2" t="s">
        <v>310</v>
      </c>
      <c r="M234" s="2">
        <v>0.01</v>
      </c>
      <c r="N234" s="3" t="s">
        <v>19</v>
      </c>
      <c r="O234" s="2">
        <v>782</v>
      </c>
    </row>
    <row r="235" spans="1:15" x14ac:dyDescent="0.35">
      <c r="A235" s="2" t="s">
        <v>308</v>
      </c>
      <c r="B235" s="2">
        <v>117.5</v>
      </c>
      <c r="C235" s="2" t="s">
        <v>20</v>
      </c>
      <c r="D235" s="2">
        <v>616</v>
      </c>
      <c r="E235" s="2">
        <v>20020</v>
      </c>
      <c r="F235" s="2">
        <v>616</v>
      </c>
      <c r="G235" s="2">
        <v>316</v>
      </c>
      <c r="H235" s="2" t="s">
        <v>309</v>
      </c>
      <c r="I235" s="2">
        <f>VLOOKUP(H235,[1]Customers!$A:$B,2,FALSE)</f>
        <v>2417</v>
      </c>
      <c r="J235" s="2">
        <v>45789</v>
      </c>
      <c r="K235" s="2" t="s">
        <v>310</v>
      </c>
      <c r="L235" s="2">
        <v>0.01</v>
      </c>
      <c r="N235" s="3" t="s">
        <v>19</v>
      </c>
      <c r="O235" s="2">
        <v>782</v>
      </c>
    </row>
    <row r="236" spans="1:15" x14ac:dyDescent="0.35">
      <c r="A236" s="2" t="s">
        <v>311</v>
      </c>
      <c r="B236" s="2">
        <v>118</v>
      </c>
      <c r="C236" s="2" t="s">
        <v>16</v>
      </c>
      <c r="D236" s="2">
        <v>968</v>
      </c>
      <c r="E236" s="2">
        <v>20020</v>
      </c>
      <c r="G236" s="2">
        <v>1366</v>
      </c>
      <c r="H236" s="2" t="s">
        <v>312</v>
      </c>
      <c r="I236" s="2">
        <f>VLOOKUP(H236,[1]Customers!$A:$B,2,FALSE)</f>
        <v>3569</v>
      </c>
      <c r="J236" s="2">
        <v>44739</v>
      </c>
      <c r="K236" s="2" t="s">
        <v>313</v>
      </c>
      <c r="M236" s="2">
        <v>4326.62</v>
      </c>
      <c r="N236" s="3" t="s">
        <v>19</v>
      </c>
    </row>
    <row r="237" spans="1:15" x14ac:dyDescent="0.35">
      <c r="A237" s="2" t="s">
        <v>311</v>
      </c>
      <c r="B237" s="2">
        <v>118.5</v>
      </c>
      <c r="C237" s="2" t="s">
        <v>20</v>
      </c>
      <c r="D237" s="2">
        <v>616</v>
      </c>
      <c r="E237" s="2">
        <v>20020</v>
      </c>
      <c r="F237" s="2">
        <v>616</v>
      </c>
      <c r="G237" s="2">
        <v>1366</v>
      </c>
      <c r="H237" s="2" t="s">
        <v>312</v>
      </c>
      <c r="I237" s="2">
        <f>VLOOKUP(H237,[1]Customers!$A:$B,2,FALSE)</f>
        <v>3569</v>
      </c>
      <c r="J237" s="2">
        <v>44739</v>
      </c>
      <c r="K237" s="2" t="s">
        <v>313</v>
      </c>
      <c r="L237" s="2">
        <v>4326.62</v>
      </c>
      <c r="N237" s="3" t="s">
        <v>19</v>
      </c>
    </row>
    <row r="238" spans="1:15" x14ac:dyDescent="0.35">
      <c r="A238" s="2" t="s">
        <v>314</v>
      </c>
      <c r="B238" s="2">
        <v>119</v>
      </c>
      <c r="C238" s="2" t="s">
        <v>16</v>
      </c>
      <c r="D238" s="2">
        <v>968</v>
      </c>
      <c r="E238" s="2">
        <v>20020</v>
      </c>
      <c r="G238" s="2">
        <v>364</v>
      </c>
      <c r="H238" s="2" t="s">
        <v>315</v>
      </c>
      <c r="I238" s="2">
        <f>VLOOKUP(H238,[1]Customers!$A:$B,2,FALSE)</f>
        <v>2761</v>
      </c>
      <c r="J238" s="2">
        <v>45741</v>
      </c>
      <c r="K238" s="2" t="s">
        <v>316</v>
      </c>
      <c r="M238" s="2">
        <v>101344</v>
      </c>
      <c r="N238" s="3" t="s">
        <v>19</v>
      </c>
    </row>
    <row r="239" spans="1:15" x14ac:dyDescent="0.35">
      <c r="A239" s="2" t="s">
        <v>314</v>
      </c>
      <c r="B239" s="2">
        <v>119.5</v>
      </c>
      <c r="C239" s="2" t="s">
        <v>20</v>
      </c>
      <c r="D239" s="2">
        <v>616</v>
      </c>
      <c r="E239" s="2">
        <v>20020</v>
      </c>
      <c r="F239" s="2">
        <v>616</v>
      </c>
      <c r="G239" s="2">
        <v>364</v>
      </c>
      <c r="H239" s="2" t="s">
        <v>315</v>
      </c>
      <c r="I239" s="2">
        <f>VLOOKUP(H239,[1]Customers!$A:$B,2,FALSE)</f>
        <v>2761</v>
      </c>
      <c r="J239" s="2">
        <v>45741</v>
      </c>
      <c r="K239" s="2" t="s">
        <v>316</v>
      </c>
      <c r="L239" s="2">
        <v>101344</v>
      </c>
      <c r="N239" s="3" t="s">
        <v>19</v>
      </c>
    </row>
    <row r="240" spans="1:15" x14ac:dyDescent="0.35">
      <c r="A240" s="2" t="s">
        <v>317</v>
      </c>
      <c r="B240" s="2">
        <v>120</v>
      </c>
      <c r="C240" s="2" t="s">
        <v>16</v>
      </c>
      <c r="D240" s="2">
        <v>968</v>
      </c>
      <c r="E240" s="2">
        <v>20020</v>
      </c>
      <c r="G240" s="2">
        <v>918</v>
      </c>
      <c r="H240" s="2" t="s">
        <v>315</v>
      </c>
      <c r="I240" s="2">
        <f>VLOOKUP(H240,[1]Customers!$A:$B,2,FALSE)</f>
        <v>2761</v>
      </c>
      <c r="J240" s="2">
        <v>45187</v>
      </c>
      <c r="K240" s="2" t="s">
        <v>316</v>
      </c>
      <c r="M240" s="2">
        <v>200000</v>
      </c>
      <c r="N240" s="3" t="s">
        <v>19</v>
      </c>
    </row>
    <row r="241" spans="1:15" x14ac:dyDescent="0.35">
      <c r="A241" s="2" t="s">
        <v>317</v>
      </c>
      <c r="B241" s="2">
        <v>120.5</v>
      </c>
      <c r="C241" s="2" t="s">
        <v>20</v>
      </c>
      <c r="D241" s="2">
        <v>616</v>
      </c>
      <c r="E241" s="2">
        <v>20020</v>
      </c>
      <c r="F241" s="2">
        <v>616</v>
      </c>
      <c r="G241" s="2">
        <v>918</v>
      </c>
      <c r="H241" s="2" t="s">
        <v>315</v>
      </c>
      <c r="I241" s="2">
        <f>VLOOKUP(H241,[1]Customers!$A:$B,2,FALSE)</f>
        <v>2761</v>
      </c>
      <c r="J241" s="2">
        <v>45187</v>
      </c>
      <c r="K241" s="2" t="s">
        <v>316</v>
      </c>
      <c r="L241" s="2">
        <v>200000</v>
      </c>
      <c r="N241" s="3" t="s">
        <v>19</v>
      </c>
    </row>
    <row r="242" spans="1:15" ht="15" customHeight="1" x14ac:dyDescent="0.35">
      <c r="A242" s="2" t="s">
        <v>318</v>
      </c>
      <c r="B242" s="2">
        <v>121</v>
      </c>
      <c r="C242" s="2" t="s">
        <v>16</v>
      </c>
      <c r="D242" s="2">
        <v>968</v>
      </c>
      <c r="E242" s="2">
        <v>20020</v>
      </c>
      <c r="G242" s="2">
        <v>340</v>
      </c>
      <c r="H242" s="2" t="s">
        <v>315</v>
      </c>
      <c r="I242" s="2">
        <f>VLOOKUP(H242,[1]Customers!$A:$B,2,FALSE)</f>
        <v>2761</v>
      </c>
      <c r="J242" s="2">
        <v>45765</v>
      </c>
      <c r="K242" s="2" t="s">
        <v>316</v>
      </c>
      <c r="M242" s="2">
        <v>129031</v>
      </c>
      <c r="N242" s="3" t="s">
        <v>19</v>
      </c>
    </row>
    <row r="243" spans="1:15" x14ac:dyDescent="0.35">
      <c r="A243" s="2" t="s">
        <v>318</v>
      </c>
      <c r="B243" s="2">
        <v>121.5</v>
      </c>
      <c r="C243" s="2" t="s">
        <v>20</v>
      </c>
      <c r="D243" s="2">
        <v>616</v>
      </c>
      <c r="E243" s="2">
        <v>20020</v>
      </c>
      <c r="F243" s="2">
        <v>616</v>
      </c>
      <c r="G243" s="2">
        <v>340</v>
      </c>
      <c r="H243" s="2" t="s">
        <v>315</v>
      </c>
      <c r="I243" s="2">
        <f>VLOOKUP(H243,[1]Customers!$A:$B,2,FALSE)</f>
        <v>2761</v>
      </c>
      <c r="J243" s="2">
        <v>45765</v>
      </c>
      <c r="K243" s="2" t="s">
        <v>316</v>
      </c>
      <c r="L243" s="2">
        <v>129031</v>
      </c>
      <c r="N243" s="3" t="s">
        <v>19</v>
      </c>
    </row>
    <row r="244" spans="1:15" x14ac:dyDescent="0.35">
      <c r="A244" s="2" t="s">
        <v>319</v>
      </c>
      <c r="B244" s="2">
        <v>122</v>
      </c>
      <c r="C244" s="2" t="s">
        <v>16</v>
      </c>
      <c r="D244" s="2">
        <v>968</v>
      </c>
      <c r="E244" s="2">
        <v>20020</v>
      </c>
      <c r="G244" s="2">
        <v>349</v>
      </c>
      <c r="H244" s="2" t="s">
        <v>320</v>
      </c>
      <c r="I244" s="2">
        <f>VLOOKUP(H244,[1]Customers!$A:$B,2,FALSE)</f>
        <v>2048</v>
      </c>
      <c r="J244" s="2">
        <v>45756</v>
      </c>
      <c r="K244" s="2" t="s">
        <v>321</v>
      </c>
      <c r="M244" s="2">
        <v>4310.3500000000004</v>
      </c>
      <c r="N244" s="3" t="s">
        <v>19</v>
      </c>
    </row>
    <row r="245" spans="1:15" x14ac:dyDescent="0.35">
      <c r="A245" s="2" t="s">
        <v>319</v>
      </c>
      <c r="B245" s="2">
        <v>122.5</v>
      </c>
      <c r="C245" s="2" t="s">
        <v>20</v>
      </c>
      <c r="D245" s="2">
        <v>616</v>
      </c>
      <c r="E245" s="2">
        <v>20020</v>
      </c>
      <c r="F245" s="2">
        <v>616</v>
      </c>
      <c r="G245" s="2">
        <v>349</v>
      </c>
      <c r="H245" s="2" t="s">
        <v>320</v>
      </c>
      <c r="I245" s="2">
        <f>VLOOKUP(H245,[1]Customers!$A:$B,2,FALSE)</f>
        <v>2048</v>
      </c>
      <c r="J245" s="2">
        <v>45756</v>
      </c>
      <c r="K245" s="2" t="s">
        <v>321</v>
      </c>
      <c r="L245" s="2">
        <v>4310.3500000000004</v>
      </c>
      <c r="N245" s="3" t="s">
        <v>19</v>
      </c>
    </row>
    <row r="246" spans="1:15" x14ac:dyDescent="0.35">
      <c r="A246" s="2" t="s">
        <v>322</v>
      </c>
      <c r="B246" s="2">
        <v>123</v>
      </c>
      <c r="C246" s="2" t="s">
        <v>16</v>
      </c>
      <c r="D246" s="2">
        <v>968</v>
      </c>
      <c r="E246" s="2">
        <v>20020</v>
      </c>
      <c r="G246" s="2">
        <v>393</v>
      </c>
      <c r="H246" s="2" t="s">
        <v>323</v>
      </c>
      <c r="I246" s="2">
        <f>VLOOKUP(H246,[1]Customers!$A:$B,2,FALSE)</f>
        <v>1933</v>
      </c>
      <c r="J246" s="2">
        <v>45712</v>
      </c>
      <c r="K246" s="2" t="s">
        <v>324</v>
      </c>
      <c r="M246" s="2">
        <v>3483.22</v>
      </c>
      <c r="N246" s="3" t="s">
        <v>19</v>
      </c>
      <c r="O246" s="2" t="s">
        <v>325</v>
      </c>
    </row>
    <row r="247" spans="1:15" x14ac:dyDescent="0.35">
      <c r="A247" s="2" t="s">
        <v>322</v>
      </c>
      <c r="B247" s="2">
        <v>123.5</v>
      </c>
      <c r="C247" s="2" t="s">
        <v>20</v>
      </c>
      <c r="D247" s="2">
        <v>616</v>
      </c>
      <c r="E247" s="2">
        <v>20020</v>
      </c>
      <c r="F247" s="2">
        <v>616</v>
      </c>
      <c r="G247" s="2">
        <v>393</v>
      </c>
      <c r="H247" s="2" t="s">
        <v>323</v>
      </c>
      <c r="I247" s="2">
        <f>VLOOKUP(H247,[1]Customers!$A:$B,2,FALSE)</f>
        <v>1933</v>
      </c>
      <c r="J247" s="2">
        <v>45712</v>
      </c>
      <c r="K247" s="2" t="s">
        <v>324</v>
      </c>
      <c r="L247" s="2">
        <v>3483.22</v>
      </c>
      <c r="N247" s="3" t="s">
        <v>19</v>
      </c>
      <c r="O247" s="2" t="s">
        <v>325</v>
      </c>
    </row>
    <row r="248" spans="1:15" x14ac:dyDescent="0.35">
      <c r="A248" s="2" t="s">
        <v>326</v>
      </c>
      <c r="B248" s="2">
        <v>124</v>
      </c>
      <c r="C248" s="2" t="s">
        <v>16</v>
      </c>
      <c r="D248" s="2">
        <v>968</v>
      </c>
      <c r="E248" s="2">
        <v>20020</v>
      </c>
      <c r="G248" s="2">
        <v>417</v>
      </c>
      <c r="H248" s="2" t="s">
        <v>327</v>
      </c>
      <c r="I248" s="2">
        <f>VLOOKUP(H248,[1]Customers!$A:$B,2,FALSE)</f>
        <v>3338</v>
      </c>
      <c r="J248" s="2">
        <v>45688</v>
      </c>
      <c r="K248" s="2" t="s">
        <v>328</v>
      </c>
      <c r="M248" s="2">
        <v>151011.07999999999</v>
      </c>
      <c r="N248" s="3" t="s">
        <v>19</v>
      </c>
    </row>
    <row r="249" spans="1:15" x14ac:dyDescent="0.35">
      <c r="A249" s="2" t="s">
        <v>326</v>
      </c>
      <c r="B249" s="2">
        <v>124.5</v>
      </c>
      <c r="C249" s="2" t="s">
        <v>20</v>
      </c>
      <c r="D249" s="2">
        <v>616</v>
      </c>
      <c r="E249" s="2">
        <v>20020</v>
      </c>
      <c r="F249" s="2">
        <v>616</v>
      </c>
      <c r="G249" s="2">
        <v>417</v>
      </c>
      <c r="H249" s="2" t="s">
        <v>327</v>
      </c>
      <c r="I249" s="2">
        <f>VLOOKUP(H249,[1]Customers!$A:$B,2,FALSE)</f>
        <v>3338</v>
      </c>
      <c r="J249" s="2">
        <v>45688</v>
      </c>
      <c r="K249" s="2" t="s">
        <v>328</v>
      </c>
      <c r="L249" s="2">
        <v>151011.07999999999</v>
      </c>
      <c r="N249" s="3" t="s">
        <v>19</v>
      </c>
    </row>
    <row r="250" spans="1:15" x14ac:dyDescent="0.35">
      <c r="A250" s="2" t="s">
        <v>329</v>
      </c>
      <c r="B250" s="2">
        <v>125</v>
      </c>
      <c r="C250" s="2" t="s">
        <v>16</v>
      </c>
      <c r="D250" s="2">
        <v>968</v>
      </c>
      <c r="E250" s="2">
        <v>20020</v>
      </c>
      <c r="G250" s="2">
        <v>887</v>
      </c>
      <c r="H250" s="2" t="s">
        <v>330</v>
      </c>
      <c r="I250" s="2">
        <f>VLOOKUP(H250,[1]Customers!$A:$B,2,FALSE)</f>
        <v>3339</v>
      </c>
      <c r="J250" s="2">
        <v>45218</v>
      </c>
      <c r="K250" s="2" t="s">
        <v>331</v>
      </c>
      <c r="M250" s="2">
        <v>7576.62</v>
      </c>
      <c r="N250" s="3" t="s">
        <v>19</v>
      </c>
    </row>
    <row r="251" spans="1:15" x14ac:dyDescent="0.35">
      <c r="A251" s="2" t="s">
        <v>329</v>
      </c>
      <c r="B251" s="2">
        <v>125.5</v>
      </c>
      <c r="C251" s="2" t="s">
        <v>20</v>
      </c>
      <c r="D251" s="2">
        <v>616</v>
      </c>
      <c r="E251" s="2">
        <v>20020</v>
      </c>
      <c r="F251" s="2">
        <v>616</v>
      </c>
      <c r="G251" s="2">
        <v>887</v>
      </c>
      <c r="H251" s="2" t="s">
        <v>330</v>
      </c>
      <c r="I251" s="2">
        <f>VLOOKUP(H251,[1]Customers!$A:$B,2,FALSE)</f>
        <v>3339</v>
      </c>
      <c r="J251" s="2">
        <v>45218</v>
      </c>
      <c r="K251" s="2" t="s">
        <v>331</v>
      </c>
      <c r="L251" s="2">
        <v>7576.62</v>
      </c>
      <c r="N251" s="3" t="s">
        <v>19</v>
      </c>
    </row>
    <row r="252" spans="1:15" x14ac:dyDescent="0.35">
      <c r="A252" s="2" t="s">
        <v>332</v>
      </c>
      <c r="B252" s="2">
        <v>126</v>
      </c>
      <c r="C252" s="2" t="s">
        <v>16</v>
      </c>
      <c r="D252" s="2">
        <v>968</v>
      </c>
      <c r="E252" s="2">
        <v>20020</v>
      </c>
      <c r="G252" s="2">
        <v>887</v>
      </c>
      <c r="H252" s="2" t="s">
        <v>330</v>
      </c>
      <c r="I252" s="2">
        <f>VLOOKUP(H252,[1]Customers!$A:$B,2,FALSE)</f>
        <v>3339</v>
      </c>
      <c r="J252" s="2">
        <v>45218</v>
      </c>
      <c r="K252" s="2" t="s">
        <v>333</v>
      </c>
      <c r="M252" s="2">
        <v>4376.6899999999996</v>
      </c>
      <c r="N252" s="3" t="s">
        <v>19</v>
      </c>
    </row>
    <row r="253" spans="1:15" x14ac:dyDescent="0.35">
      <c r="A253" s="2" t="s">
        <v>332</v>
      </c>
      <c r="B253" s="2">
        <v>126.5</v>
      </c>
      <c r="C253" s="2" t="s">
        <v>20</v>
      </c>
      <c r="D253" s="2">
        <v>616</v>
      </c>
      <c r="E253" s="2">
        <v>20020</v>
      </c>
      <c r="F253" s="2">
        <v>616</v>
      </c>
      <c r="G253" s="2">
        <v>887</v>
      </c>
      <c r="H253" s="2" t="s">
        <v>330</v>
      </c>
      <c r="I253" s="2">
        <f>VLOOKUP(H253,[1]Customers!$A:$B,2,FALSE)</f>
        <v>3339</v>
      </c>
      <c r="J253" s="2">
        <v>45218</v>
      </c>
      <c r="K253" s="2" t="s">
        <v>333</v>
      </c>
      <c r="L253" s="2">
        <v>4376.6899999999996</v>
      </c>
      <c r="N253" s="3" t="s">
        <v>19</v>
      </c>
    </row>
    <row r="254" spans="1:15" x14ac:dyDescent="0.35">
      <c r="A254" s="2" t="s">
        <v>334</v>
      </c>
      <c r="B254" s="2">
        <v>127</v>
      </c>
      <c r="C254" s="2" t="s">
        <v>16</v>
      </c>
      <c r="D254" s="2">
        <v>968</v>
      </c>
      <c r="E254" s="2">
        <v>20020</v>
      </c>
      <c r="G254" s="2">
        <v>1033</v>
      </c>
      <c r="H254" s="2" t="s">
        <v>330</v>
      </c>
      <c r="I254" s="2">
        <f>VLOOKUP(H254,[1]Customers!$A:$B,2,FALSE)</f>
        <v>3339</v>
      </c>
      <c r="J254" s="2">
        <v>45072</v>
      </c>
      <c r="K254" s="2" t="s">
        <v>335</v>
      </c>
      <c r="M254" s="2">
        <v>1157.3</v>
      </c>
      <c r="N254" s="3" t="s">
        <v>19</v>
      </c>
    </row>
    <row r="255" spans="1:15" x14ac:dyDescent="0.35">
      <c r="A255" s="2" t="s">
        <v>334</v>
      </c>
      <c r="B255" s="2">
        <v>127.5</v>
      </c>
      <c r="C255" s="2" t="s">
        <v>20</v>
      </c>
      <c r="D255" s="2">
        <v>616</v>
      </c>
      <c r="E255" s="2">
        <v>20020</v>
      </c>
      <c r="F255" s="2">
        <v>616</v>
      </c>
      <c r="G255" s="2">
        <v>1033</v>
      </c>
      <c r="H255" s="2" t="s">
        <v>330</v>
      </c>
      <c r="I255" s="2">
        <f>VLOOKUP(H255,[1]Customers!$A:$B,2,FALSE)</f>
        <v>3339</v>
      </c>
      <c r="J255" s="2">
        <v>45072</v>
      </c>
      <c r="K255" s="2" t="s">
        <v>335</v>
      </c>
      <c r="L255" s="2">
        <v>1157.3</v>
      </c>
      <c r="N255" s="3" t="s">
        <v>19</v>
      </c>
    </row>
    <row r="256" spans="1:15" x14ac:dyDescent="0.35">
      <c r="A256" s="2" t="s">
        <v>336</v>
      </c>
      <c r="B256" s="2">
        <v>128</v>
      </c>
      <c r="C256" s="2" t="s">
        <v>16</v>
      </c>
      <c r="D256" s="2">
        <v>968</v>
      </c>
      <c r="E256" s="2">
        <v>20020</v>
      </c>
      <c r="G256" s="2">
        <v>788</v>
      </c>
      <c r="H256" s="2" t="s">
        <v>337</v>
      </c>
      <c r="I256" s="2">
        <f>VLOOKUP(H256,[1]Customers!$A:$B,2,FALSE)</f>
        <v>2520</v>
      </c>
      <c r="J256" s="2">
        <v>45317</v>
      </c>
      <c r="K256" s="2" t="s">
        <v>338</v>
      </c>
      <c r="M256" s="2">
        <v>1538.28</v>
      </c>
      <c r="N256" s="3" t="s">
        <v>19</v>
      </c>
    </row>
    <row r="257" spans="1:15" x14ac:dyDescent="0.35">
      <c r="A257" s="2" t="s">
        <v>336</v>
      </c>
      <c r="B257" s="2">
        <v>128.5</v>
      </c>
      <c r="C257" s="2" t="s">
        <v>20</v>
      </c>
      <c r="D257" s="2">
        <v>616</v>
      </c>
      <c r="E257" s="2">
        <v>20020</v>
      </c>
      <c r="F257" s="2">
        <v>616</v>
      </c>
      <c r="G257" s="2">
        <v>788</v>
      </c>
      <c r="H257" s="2" t="s">
        <v>337</v>
      </c>
      <c r="I257" s="2">
        <f>VLOOKUP(H257,[1]Customers!$A:$B,2,FALSE)</f>
        <v>2520</v>
      </c>
      <c r="J257" s="2">
        <v>45317</v>
      </c>
      <c r="K257" s="2" t="s">
        <v>338</v>
      </c>
      <c r="L257" s="2">
        <v>1538.28</v>
      </c>
      <c r="N257" s="3" t="s">
        <v>19</v>
      </c>
    </row>
    <row r="258" spans="1:15" x14ac:dyDescent="0.35">
      <c r="A258" s="2" t="s">
        <v>339</v>
      </c>
      <c r="B258" s="2">
        <v>129</v>
      </c>
      <c r="C258" s="2" t="s">
        <v>16</v>
      </c>
      <c r="D258" s="2">
        <v>968</v>
      </c>
      <c r="E258" s="2">
        <v>20020</v>
      </c>
      <c r="G258" s="2">
        <v>788</v>
      </c>
      <c r="H258" s="2" t="s">
        <v>337</v>
      </c>
      <c r="I258" s="2">
        <f>VLOOKUP(H258,[1]Customers!$A:$B,2,FALSE)</f>
        <v>2520</v>
      </c>
      <c r="J258" s="2">
        <v>45317</v>
      </c>
      <c r="K258" s="2" t="s">
        <v>340</v>
      </c>
      <c r="M258" s="2">
        <v>0.01</v>
      </c>
      <c r="N258" s="3" t="s">
        <v>19</v>
      </c>
    </row>
    <row r="259" spans="1:15" x14ac:dyDescent="0.35">
      <c r="A259" s="2" t="s">
        <v>339</v>
      </c>
      <c r="B259" s="2">
        <v>129.5</v>
      </c>
      <c r="C259" s="2" t="s">
        <v>20</v>
      </c>
      <c r="D259" s="2">
        <v>616</v>
      </c>
      <c r="E259" s="2">
        <v>20020</v>
      </c>
      <c r="F259" s="2">
        <v>616</v>
      </c>
      <c r="G259" s="2">
        <v>788</v>
      </c>
      <c r="H259" s="2" t="s">
        <v>337</v>
      </c>
      <c r="I259" s="2">
        <f>VLOOKUP(H259,[1]Customers!$A:$B,2,FALSE)</f>
        <v>2520</v>
      </c>
      <c r="J259" s="2">
        <v>45317</v>
      </c>
      <c r="K259" s="2" t="s">
        <v>340</v>
      </c>
      <c r="L259" s="2">
        <v>0.01</v>
      </c>
      <c r="N259" s="3" t="s">
        <v>19</v>
      </c>
    </row>
    <row r="260" spans="1:15" x14ac:dyDescent="0.35">
      <c r="A260" s="2" t="s">
        <v>341</v>
      </c>
      <c r="B260" s="2">
        <v>130</v>
      </c>
      <c r="C260" s="2" t="s">
        <v>16</v>
      </c>
      <c r="D260" s="2">
        <v>968</v>
      </c>
      <c r="E260" s="2">
        <v>20020</v>
      </c>
      <c r="G260" s="2">
        <v>788</v>
      </c>
      <c r="H260" s="2" t="s">
        <v>337</v>
      </c>
      <c r="I260" s="2">
        <f>VLOOKUP(H260,[1]Customers!$A:$B,2,FALSE)</f>
        <v>2520</v>
      </c>
      <c r="J260" s="2">
        <v>45317</v>
      </c>
      <c r="K260" s="2" t="s">
        <v>342</v>
      </c>
      <c r="M260" s="2">
        <v>41.35</v>
      </c>
      <c r="N260" s="3" t="s">
        <v>19</v>
      </c>
    </row>
    <row r="261" spans="1:15" x14ac:dyDescent="0.35">
      <c r="A261" s="2" t="s">
        <v>341</v>
      </c>
      <c r="B261" s="2">
        <v>130.5</v>
      </c>
      <c r="C261" s="2" t="s">
        <v>20</v>
      </c>
      <c r="D261" s="2">
        <v>616</v>
      </c>
      <c r="E261" s="2">
        <v>20020</v>
      </c>
      <c r="F261" s="2">
        <v>616</v>
      </c>
      <c r="G261" s="2">
        <v>788</v>
      </c>
      <c r="H261" s="2" t="s">
        <v>337</v>
      </c>
      <c r="I261" s="2">
        <f>VLOOKUP(H261,[1]Customers!$A:$B,2,FALSE)</f>
        <v>2520</v>
      </c>
      <c r="J261" s="2">
        <v>45317</v>
      </c>
      <c r="K261" s="2" t="s">
        <v>342</v>
      </c>
      <c r="L261" s="2">
        <v>41.35</v>
      </c>
      <c r="N261" s="3" t="s">
        <v>19</v>
      </c>
    </row>
    <row r="262" spans="1:15" x14ac:dyDescent="0.35">
      <c r="A262" s="2" t="s">
        <v>343</v>
      </c>
      <c r="B262" s="2">
        <v>131</v>
      </c>
      <c r="C262" s="2" t="s">
        <v>16</v>
      </c>
      <c r="D262" s="2">
        <v>968</v>
      </c>
      <c r="E262" s="2">
        <v>20020</v>
      </c>
      <c r="G262" s="2">
        <v>526</v>
      </c>
      <c r="H262" s="2" t="s">
        <v>344</v>
      </c>
      <c r="I262" s="2">
        <f>VLOOKUP(H262,[1]Customers!$A:$B,2,FALSE)</f>
        <v>2710</v>
      </c>
      <c r="J262" s="2">
        <v>45579</v>
      </c>
      <c r="K262" s="2" t="s">
        <v>345</v>
      </c>
      <c r="M262" s="2">
        <v>14299.76</v>
      </c>
      <c r="N262" s="3" t="s">
        <v>19</v>
      </c>
    </row>
    <row r="263" spans="1:15" x14ac:dyDescent="0.35">
      <c r="A263" s="2" t="s">
        <v>343</v>
      </c>
      <c r="B263" s="2">
        <v>131.5</v>
      </c>
      <c r="C263" s="2" t="s">
        <v>20</v>
      </c>
      <c r="D263" s="2">
        <v>616</v>
      </c>
      <c r="E263" s="2">
        <v>20020</v>
      </c>
      <c r="F263" s="2">
        <v>616</v>
      </c>
      <c r="G263" s="2">
        <v>526</v>
      </c>
      <c r="H263" s="2" t="s">
        <v>344</v>
      </c>
      <c r="I263" s="2">
        <f>VLOOKUP(H263,[1]Customers!$A:$B,2,FALSE)</f>
        <v>2710</v>
      </c>
      <c r="J263" s="2">
        <v>45579</v>
      </c>
      <c r="K263" s="2" t="s">
        <v>345</v>
      </c>
      <c r="L263" s="2">
        <v>14299.76</v>
      </c>
      <c r="N263" s="3" t="s">
        <v>19</v>
      </c>
    </row>
    <row r="264" spans="1:15" x14ac:dyDescent="0.35">
      <c r="A264" s="2" t="s">
        <v>346</v>
      </c>
      <c r="B264" s="2">
        <v>132</v>
      </c>
      <c r="C264" s="2" t="s">
        <v>16</v>
      </c>
      <c r="D264" s="2">
        <v>968</v>
      </c>
      <c r="E264" s="2">
        <v>20020</v>
      </c>
      <c r="G264" s="2">
        <v>526</v>
      </c>
      <c r="H264" s="2" t="s">
        <v>344</v>
      </c>
      <c r="I264" s="2">
        <f>VLOOKUP(H264,[1]Customers!$A:$B,2,FALSE)</f>
        <v>2710</v>
      </c>
      <c r="J264" s="2">
        <v>45579</v>
      </c>
      <c r="K264" s="2" t="s">
        <v>347</v>
      </c>
      <c r="M264" s="2">
        <v>15079.76</v>
      </c>
      <c r="N264" s="3" t="s">
        <v>19</v>
      </c>
    </row>
    <row r="265" spans="1:15" x14ac:dyDescent="0.35">
      <c r="A265" s="2" t="s">
        <v>346</v>
      </c>
      <c r="B265" s="2">
        <v>132.5</v>
      </c>
      <c r="C265" s="2" t="s">
        <v>20</v>
      </c>
      <c r="D265" s="2">
        <v>616</v>
      </c>
      <c r="E265" s="2">
        <v>20020</v>
      </c>
      <c r="F265" s="2">
        <v>616</v>
      </c>
      <c r="G265" s="2">
        <v>526</v>
      </c>
      <c r="H265" s="2" t="s">
        <v>344</v>
      </c>
      <c r="I265" s="2">
        <f>VLOOKUP(H265,[1]Customers!$A:$B,2,FALSE)</f>
        <v>2710</v>
      </c>
      <c r="J265" s="2">
        <v>45579</v>
      </c>
      <c r="K265" s="2" t="s">
        <v>347</v>
      </c>
      <c r="L265" s="2">
        <v>15079.76</v>
      </c>
      <c r="N265" s="3" t="s">
        <v>19</v>
      </c>
    </row>
    <row r="266" spans="1:15" x14ac:dyDescent="0.35">
      <c r="A266" s="2" t="s">
        <v>348</v>
      </c>
      <c r="B266" s="2">
        <v>133</v>
      </c>
      <c r="C266" s="2" t="s">
        <v>16</v>
      </c>
      <c r="D266" s="2">
        <v>968</v>
      </c>
      <c r="E266" s="2">
        <v>20020</v>
      </c>
      <c r="G266" s="2">
        <v>421</v>
      </c>
      <c r="H266" s="2" t="s">
        <v>349</v>
      </c>
      <c r="I266" s="2">
        <f>VLOOKUP(H266,[1]Customers!$A:$B,2,FALSE)</f>
        <v>2593</v>
      </c>
      <c r="J266" s="2">
        <v>45684</v>
      </c>
      <c r="K266" s="2" t="s">
        <v>350</v>
      </c>
      <c r="M266" s="2">
        <v>64.22</v>
      </c>
      <c r="N266" s="3" t="s">
        <v>19</v>
      </c>
      <c r="O266" s="2">
        <v>571</v>
      </c>
    </row>
    <row r="267" spans="1:15" x14ac:dyDescent="0.35">
      <c r="A267" s="2" t="s">
        <v>348</v>
      </c>
      <c r="B267" s="2">
        <v>133.5</v>
      </c>
      <c r="C267" s="2" t="s">
        <v>20</v>
      </c>
      <c r="D267" s="2">
        <v>616</v>
      </c>
      <c r="E267" s="2">
        <v>20020</v>
      </c>
      <c r="F267" s="2">
        <v>616</v>
      </c>
      <c r="G267" s="2">
        <v>421</v>
      </c>
      <c r="H267" s="2" t="s">
        <v>349</v>
      </c>
      <c r="I267" s="2">
        <f>VLOOKUP(H267,[1]Customers!$A:$B,2,FALSE)</f>
        <v>2593</v>
      </c>
      <c r="J267" s="2">
        <v>45684</v>
      </c>
      <c r="K267" s="2" t="s">
        <v>350</v>
      </c>
      <c r="L267" s="2">
        <v>64.22</v>
      </c>
      <c r="N267" s="3" t="s">
        <v>19</v>
      </c>
      <c r="O267" s="2">
        <v>571</v>
      </c>
    </row>
    <row r="268" spans="1:15" x14ac:dyDescent="0.35">
      <c r="A268" s="2" t="s">
        <v>351</v>
      </c>
      <c r="B268" s="2">
        <v>134</v>
      </c>
      <c r="C268" s="2" t="s">
        <v>16</v>
      </c>
      <c r="D268" s="2">
        <v>968</v>
      </c>
      <c r="E268" s="2">
        <v>20020</v>
      </c>
      <c r="G268" s="2">
        <v>306</v>
      </c>
      <c r="H268" s="2" t="s">
        <v>352</v>
      </c>
      <c r="I268" s="2">
        <f>VLOOKUP(H268,[1]Customers!$A:$B,2,FALSE)</f>
        <v>2519</v>
      </c>
      <c r="J268" s="2">
        <v>45799</v>
      </c>
      <c r="K268" s="2" t="s">
        <v>353</v>
      </c>
      <c r="M268" s="2">
        <v>13522.46</v>
      </c>
      <c r="N268" s="3" t="s">
        <v>19</v>
      </c>
    </row>
    <row r="269" spans="1:15" x14ac:dyDescent="0.35">
      <c r="A269" s="2" t="s">
        <v>351</v>
      </c>
      <c r="B269" s="2">
        <v>134.5</v>
      </c>
      <c r="C269" s="2" t="s">
        <v>20</v>
      </c>
      <c r="D269" s="2">
        <v>616</v>
      </c>
      <c r="E269" s="2">
        <v>20020</v>
      </c>
      <c r="F269" s="2">
        <v>616</v>
      </c>
      <c r="G269" s="2">
        <v>306</v>
      </c>
      <c r="H269" s="2" t="s">
        <v>352</v>
      </c>
      <c r="I269" s="2">
        <f>VLOOKUP(H269,[1]Customers!$A:$B,2,FALSE)</f>
        <v>2519</v>
      </c>
      <c r="J269" s="2">
        <v>45799</v>
      </c>
      <c r="K269" s="2" t="s">
        <v>353</v>
      </c>
      <c r="L269" s="2">
        <v>13522.46</v>
      </c>
      <c r="N269" s="3" t="s">
        <v>19</v>
      </c>
    </row>
    <row r="270" spans="1:15" x14ac:dyDescent="0.35">
      <c r="A270" s="2" t="s">
        <v>354</v>
      </c>
      <c r="B270" s="2">
        <v>135</v>
      </c>
      <c r="C270" s="2" t="s">
        <v>16</v>
      </c>
      <c r="D270" s="2">
        <v>968</v>
      </c>
      <c r="E270" s="2">
        <v>20020</v>
      </c>
      <c r="G270" s="2">
        <v>467</v>
      </c>
      <c r="H270" s="2" t="s">
        <v>352</v>
      </c>
      <c r="I270" s="2">
        <f>VLOOKUP(H270,[1]Customers!$A:$B,2,FALSE)</f>
        <v>2519</v>
      </c>
      <c r="J270" s="2">
        <v>45638</v>
      </c>
      <c r="K270" s="2" t="s">
        <v>355</v>
      </c>
      <c r="M270" s="2">
        <v>13522.46</v>
      </c>
      <c r="N270" s="3" t="s">
        <v>19</v>
      </c>
    </row>
    <row r="271" spans="1:15" x14ac:dyDescent="0.35">
      <c r="A271" s="2" t="s">
        <v>354</v>
      </c>
      <c r="B271" s="2">
        <v>135.5</v>
      </c>
      <c r="C271" s="2" t="s">
        <v>20</v>
      </c>
      <c r="D271" s="2">
        <v>616</v>
      </c>
      <c r="E271" s="2">
        <v>20020</v>
      </c>
      <c r="F271" s="2">
        <v>616</v>
      </c>
      <c r="G271" s="2">
        <v>467</v>
      </c>
      <c r="H271" s="2" t="s">
        <v>352</v>
      </c>
      <c r="I271" s="2">
        <f>VLOOKUP(H271,[1]Customers!$A:$B,2,FALSE)</f>
        <v>2519</v>
      </c>
      <c r="J271" s="2">
        <v>45638</v>
      </c>
      <c r="K271" s="2" t="s">
        <v>355</v>
      </c>
      <c r="L271" s="2">
        <v>13522.46</v>
      </c>
      <c r="N271" s="3" t="s">
        <v>19</v>
      </c>
    </row>
    <row r="272" spans="1:15" x14ac:dyDescent="0.35">
      <c r="A272" s="2" t="s">
        <v>356</v>
      </c>
      <c r="B272" s="2">
        <v>136</v>
      </c>
      <c r="C272" s="2" t="s">
        <v>16</v>
      </c>
      <c r="D272" s="2">
        <v>968</v>
      </c>
      <c r="E272" s="2">
        <v>20020</v>
      </c>
      <c r="G272" s="2">
        <v>403</v>
      </c>
      <c r="H272" s="2" t="s">
        <v>357</v>
      </c>
      <c r="I272" s="2">
        <f>VLOOKUP(H272,[1]Customers!$A:$B,2,FALSE)</f>
        <v>2623</v>
      </c>
      <c r="J272" s="2">
        <v>45702</v>
      </c>
      <c r="K272" s="2" t="s">
        <v>358</v>
      </c>
      <c r="M272" s="2">
        <v>8770</v>
      </c>
      <c r="N272" s="3" t="s">
        <v>19</v>
      </c>
    </row>
    <row r="273" spans="1:14" x14ac:dyDescent="0.35">
      <c r="A273" s="2" t="s">
        <v>356</v>
      </c>
      <c r="B273" s="2">
        <v>136.5</v>
      </c>
      <c r="C273" s="2" t="s">
        <v>20</v>
      </c>
      <c r="D273" s="2">
        <v>616</v>
      </c>
      <c r="E273" s="2">
        <v>20020</v>
      </c>
      <c r="F273" s="2">
        <v>616</v>
      </c>
      <c r="G273" s="2">
        <v>403</v>
      </c>
      <c r="H273" s="2" t="s">
        <v>357</v>
      </c>
      <c r="I273" s="2">
        <f>VLOOKUP(H273,[1]Customers!$A:$B,2,FALSE)</f>
        <v>2623</v>
      </c>
      <c r="J273" s="2">
        <v>45702</v>
      </c>
      <c r="K273" s="2" t="s">
        <v>358</v>
      </c>
      <c r="L273" s="2">
        <v>8770</v>
      </c>
      <c r="N273" s="3" t="s">
        <v>19</v>
      </c>
    </row>
    <row r="274" spans="1:14" x14ac:dyDescent="0.35">
      <c r="A274" s="2" t="s">
        <v>359</v>
      </c>
      <c r="B274" s="2">
        <v>137</v>
      </c>
      <c r="C274" s="2" t="s">
        <v>16</v>
      </c>
      <c r="D274" s="2">
        <v>968</v>
      </c>
      <c r="E274" s="2">
        <v>20020</v>
      </c>
      <c r="G274" s="2">
        <v>370</v>
      </c>
      <c r="H274" s="2" t="s">
        <v>360</v>
      </c>
      <c r="I274" s="2">
        <f>VLOOKUP(H274,[1]Customers!$A:$B,2,FALSE)</f>
        <v>557</v>
      </c>
      <c r="J274" s="2">
        <v>45735</v>
      </c>
      <c r="K274" s="2" t="s">
        <v>361</v>
      </c>
      <c r="M274" s="2">
        <v>39367.06</v>
      </c>
      <c r="N274" s="3" t="s">
        <v>19</v>
      </c>
    </row>
    <row r="275" spans="1:14" x14ac:dyDescent="0.35">
      <c r="A275" s="2" t="s">
        <v>359</v>
      </c>
      <c r="B275" s="2">
        <v>137.5</v>
      </c>
      <c r="C275" s="2" t="s">
        <v>20</v>
      </c>
      <c r="D275" s="2">
        <v>616</v>
      </c>
      <c r="E275" s="2">
        <v>20020</v>
      </c>
      <c r="F275" s="2">
        <v>616</v>
      </c>
      <c r="G275" s="2">
        <v>370</v>
      </c>
      <c r="H275" s="2" t="s">
        <v>360</v>
      </c>
      <c r="I275" s="2">
        <f>VLOOKUP(H275,[1]Customers!$A:$B,2,FALSE)</f>
        <v>557</v>
      </c>
      <c r="J275" s="2">
        <v>45735</v>
      </c>
      <c r="K275" s="2" t="s">
        <v>361</v>
      </c>
      <c r="L275" s="2">
        <v>39367.06</v>
      </c>
      <c r="N275" s="3" t="s">
        <v>19</v>
      </c>
    </row>
    <row r="276" spans="1:14" x14ac:dyDescent="0.35">
      <c r="A276" s="2" t="s">
        <v>362</v>
      </c>
      <c r="B276" s="2">
        <v>138</v>
      </c>
      <c r="C276" s="2" t="s">
        <v>16</v>
      </c>
      <c r="D276" s="2">
        <v>968</v>
      </c>
      <c r="E276" s="2">
        <v>20020</v>
      </c>
      <c r="G276" s="2">
        <v>368</v>
      </c>
      <c r="H276" s="2" t="s">
        <v>360</v>
      </c>
      <c r="I276" s="2">
        <f>VLOOKUP(H276,[1]Customers!$A:$B,2,FALSE)</f>
        <v>557</v>
      </c>
      <c r="J276" s="2">
        <v>45737</v>
      </c>
      <c r="K276" s="2" t="s">
        <v>363</v>
      </c>
      <c r="M276" s="2">
        <v>28186.49</v>
      </c>
      <c r="N276" s="3" t="s">
        <v>19</v>
      </c>
    </row>
    <row r="277" spans="1:14" x14ac:dyDescent="0.35">
      <c r="A277" s="2" t="s">
        <v>362</v>
      </c>
      <c r="B277" s="2">
        <v>138.5</v>
      </c>
      <c r="C277" s="2" t="s">
        <v>20</v>
      </c>
      <c r="D277" s="2">
        <v>616</v>
      </c>
      <c r="E277" s="2">
        <v>20020</v>
      </c>
      <c r="F277" s="2">
        <v>616</v>
      </c>
      <c r="G277" s="2">
        <v>368</v>
      </c>
      <c r="H277" s="2" t="s">
        <v>360</v>
      </c>
      <c r="I277" s="2">
        <f>VLOOKUP(H277,[1]Customers!$A:$B,2,FALSE)</f>
        <v>557</v>
      </c>
      <c r="J277" s="2">
        <v>45737</v>
      </c>
      <c r="K277" s="2" t="s">
        <v>363</v>
      </c>
      <c r="L277" s="2">
        <v>28186.49</v>
      </c>
      <c r="N277" s="3" t="s">
        <v>19</v>
      </c>
    </row>
    <row r="278" spans="1:14" x14ac:dyDescent="0.35">
      <c r="A278" s="2" t="s">
        <v>364</v>
      </c>
      <c r="B278" s="2">
        <v>139</v>
      </c>
      <c r="C278" s="2" t="s">
        <v>16</v>
      </c>
      <c r="D278" s="2">
        <v>968</v>
      </c>
      <c r="E278" s="2">
        <v>20020</v>
      </c>
      <c r="G278" s="2">
        <v>313</v>
      </c>
      <c r="H278" s="2" t="s">
        <v>365</v>
      </c>
      <c r="I278" s="2">
        <f>VLOOKUP(H278,[1]Customers!$A:$B,2,FALSE)</f>
        <v>3343</v>
      </c>
      <c r="J278" s="2">
        <v>45792</v>
      </c>
      <c r="K278" s="2" t="s">
        <v>366</v>
      </c>
      <c r="M278" s="2">
        <v>2220.64</v>
      </c>
      <c r="N278" s="3" t="s">
        <v>19</v>
      </c>
    </row>
    <row r="279" spans="1:14" ht="15" customHeight="1" x14ac:dyDescent="0.35">
      <c r="A279" s="2" t="s">
        <v>364</v>
      </c>
      <c r="B279" s="2">
        <v>139.5</v>
      </c>
      <c r="C279" s="2" t="s">
        <v>20</v>
      </c>
      <c r="D279" s="2">
        <v>616</v>
      </c>
      <c r="E279" s="2">
        <v>20020</v>
      </c>
      <c r="F279" s="2">
        <v>616</v>
      </c>
      <c r="G279" s="2">
        <v>313</v>
      </c>
      <c r="H279" s="2" t="s">
        <v>365</v>
      </c>
      <c r="I279" s="2">
        <f>VLOOKUP(H279,[1]Customers!$A:$B,2,FALSE)</f>
        <v>3343</v>
      </c>
      <c r="J279" s="2">
        <v>45792</v>
      </c>
      <c r="K279" s="2" t="s">
        <v>366</v>
      </c>
      <c r="L279" s="2">
        <v>2220.64</v>
      </c>
      <c r="N279" s="3" t="s">
        <v>19</v>
      </c>
    </row>
    <row r="280" spans="1:14" x14ac:dyDescent="0.35">
      <c r="A280" s="2" t="s">
        <v>367</v>
      </c>
      <c r="B280" s="2">
        <v>140</v>
      </c>
      <c r="C280" s="2" t="s">
        <v>16</v>
      </c>
      <c r="D280" s="2">
        <v>968</v>
      </c>
      <c r="E280" s="2">
        <v>20020</v>
      </c>
      <c r="G280" s="2">
        <v>385</v>
      </c>
      <c r="H280" s="2" t="s">
        <v>368</v>
      </c>
      <c r="I280" s="2">
        <f>VLOOKUP(H280,[1]Customers!$A:$B,2,FALSE)</f>
        <v>2159</v>
      </c>
      <c r="J280" s="2">
        <v>45720</v>
      </c>
      <c r="K280" s="2" t="s">
        <v>369</v>
      </c>
      <c r="M280" s="2">
        <v>222.94</v>
      </c>
      <c r="N280" s="3" t="s">
        <v>19</v>
      </c>
    </row>
    <row r="281" spans="1:14" x14ac:dyDescent="0.35">
      <c r="A281" s="2" t="s">
        <v>367</v>
      </c>
      <c r="B281" s="2">
        <v>140.5</v>
      </c>
      <c r="C281" s="2" t="s">
        <v>20</v>
      </c>
      <c r="D281" s="2">
        <v>616</v>
      </c>
      <c r="E281" s="2">
        <v>20020</v>
      </c>
      <c r="F281" s="2">
        <v>616</v>
      </c>
      <c r="G281" s="2">
        <v>385</v>
      </c>
      <c r="H281" s="2" t="s">
        <v>368</v>
      </c>
      <c r="I281" s="2">
        <f>VLOOKUP(H281,[1]Customers!$A:$B,2,FALSE)</f>
        <v>2159</v>
      </c>
      <c r="J281" s="2">
        <v>45720</v>
      </c>
      <c r="K281" s="2" t="s">
        <v>369</v>
      </c>
      <c r="L281" s="2">
        <v>222.94</v>
      </c>
      <c r="N281" s="3" t="s">
        <v>19</v>
      </c>
    </row>
    <row r="282" spans="1:14" x14ac:dyDescent="0.35">
      <c r="A282" s="2" t="s">
        <v>370</v>
      </c>
      <c r="B282" s="2">
        <v>141</v>
      </c>
      <c r="C282" s="2" t="s">
        <v>16</v>
      </c>
      <c r="D282" s="2">
        <v>968</v>
      </c>
      <c r="E282" s="2">
        <v>20020</v>
      </c>
      <c r="G282" s="2">
        <v>370</v>
      </c>
      <c r="H282" s="2" t="s">
        <v>371</v>
      </c>
      <c r="I282" s="2">
        <f>VLOOKUP(H282,[1]Customers!$A:$B,2,FALSE)</f>
        <v>2186</v>
      </c>
      <c r="J282" s="2">
        <v>45735</v>
      </c>
      <c r="K282" s="2" t="s">
        <v>372</v>
      </c>
      <c r="M282" s="2">
        <v>253.16</v>
      </c>
      <c r="N282" s="3" t="s">
        <v>19</v>
      </c>
    </row>
    <row r="283" spans="1:14" x14ac:dyDescent="0.35">
      <c r="A283" s="2" t="s">
        <v>370</v>
      </c>
      <c r="B283" s="2">
        <v>141.5</v>
      </c>
      <c r="C283" s="2" t="s">
        <v>20</v>
      </c>
      <c r="D283" s="2">
        <v>616</v>
      </c>
      <c r="E283" s="2">
        <v>20020</v>
      </c>
      <c r="F283" s="2">
        <v>616</v>
      </c>
      <c r="G283" s="2">
        <v>370</v>
      </c>
      <c r="H283" s="2" t="s">
        <v>371</v>
      </c>
      <c r="I283" s="2">
        <f>VLOOKUP(H283,[1]Customers!$A:$B,2,FALSE)</f>
        <v>2186</v>
      </c>
      <c r="J283" s="2">
        <v>45735</v>
      </c>
      <c r="K283" s="2" t="s">
        <v>372</v>
      </c>
      <c r="L283" s="2">
        <v>253.16</v>
      </c>
      <c r="N283" s="3" t="s">
        <v>19</v>
      </c>
    </row>
    <row r="284" spans="1:14" x14ac:dyDescent="0.35">
      <c r="A284" s="2" t="s">
        <v>373</v>
      </c>
      <c r="B284" s="2">
        <v>142</v>
      </c>
      <c r="C284" s="2" t="s">
        <v>16</v>
      </c>
      <c r="D284" s="2">
        <v>968</v>
      </c>
      <c r="E284" s="2">
        <v>20020</v>
      </c>
      <c r="G284" s="2">
        <v>501</v>
      </c>
      <c r="H284" s="2" t="s">
        <v>374</v>
      </c>
      <c r="I284" s="2">
        <f>VLOOKUP(H284,[1]Customers!$A:$B,2,FALSE)</f>
        <v>3526</v>
      </c>
      <c r="J284" s="2">
        <v>45604</v>
      </c>
      <c r="K284" s="2" t="s">
        <v>375</v>
      </c>
      <c r="M284" s="2">
        <v>290230.64</v>
      </c>
      <c r="N284" s="3" t="s">
        <v>19</v>
      </c>
    </row>
    <row r="285" spans="1:14" x14ac:dyDescent="0.35">
      <c r="A285" s="2" t="s">
        <v>373</v>
      </c>
      <c r="B285" s="2">
        <v>142.5</v>
      </c>
      <c r="C285" s="2" t="s">
        <v>20</v>
      </c>
      <c r="D285" s="2">
        <v>616</v>
      </c>
      <c r="E285" s="2">
        <v>20020</v>
      </c>
      <c r="F285" s="2">
        <v>616</v>
      </c>
      <c r="G285" s="2">
        <v>501</v>
      </c>
      <c r="H285" s="2" t="s">
        <v>374</v>
      </c>
      <c r="I285" s="2">
        <f>VLOOKUP(H285,[1]Customers!$A:$B,2,FALSE)</f>
        <v>3526</v>
      </c>
      <c r="J285" s="2">
        <v>45604</v>
      </c>
      <c r="K285" s="2" t="s">
        <v>375</v>
      </c>
      <c r="L285" s="2">
        <v>290230.64</v>
      </c>
      <c r="N285" s="3" t="s">
        <v>19</v>
      </c>
    </row>
    <row r="286" spans="1:14" x14ac:dyDescent="0.35">
      <c r="A286" s="2" t="s">
        <v>376</v>
      </c>
      <c r="B286" s="2">
        <v>143</v>
      </c>
      <c r="C286" s="2" t="s">
        <v>16</v>
      </c>
      <c r="D286" s="2">
        <v>968</v>
      </c>
      <c r="E286" s="2">
        <v>20020</v>
      </c>
      <c r="G286" s="2">
        <v>357</v>
      </c>
      <c r="H286" s="2" t="s">
        <v>374</v>
      </c>
      <c r="I286" s="2">
        <f>VLOOKUP(H286,[1]Customers!$A:$B,2,FALSE)</f>
        <v>3526</v>
      </c>
      <c r="J286" s="2">
        <v>45748</v>
      </c>
      <c r="K286" s="2" t="s">
        <v>375</v>
      </c>
      <c r="M286" s="2">
        <v>556178.42000000004</v>
      </c>
      <c r="N286" s="3" t="s">
        <v>19</v>
      </c>
    </row>
    <row r="287" spans="1:14" x14ac:dyDescent="0.35">
      <c r="A287" s="2" t="s">
        <v>376</v>
      </c>
      <c r="B287" s="2">
        <v>143.5</v>
      </c>
      <c r="C287" s="2" t="s">
        <v>20</v>
      </c>
      <c r="D287" s="2">
        <v>616</v>
      </c>
      <c r="E287" s="2">
        <v>20020</v>
      </c>
      <c r="F287" s="2">
        <v>616</v>
      </c>
      <c r="G287" s="2">
        <v>357</v>
      </c>
      <c r="H287" s="2" t="s">
        <v>374</v>
      </c>
      <c r="I287" s="2">
        <f>VLOOKUP(H287,[1]Customers!$A:$B,2,FALSE)</f>
        <v>3526</v>
      </c>
      <c r="J287" s="2">
        <v>45748</v>
      </c>
      <c r="K287" s="2" t="s">
        <v>375</v>
      </c>
      <c r="L287" s="2">
        <v>556178.42000000004</v>
      </c>
      <c r="N287" s="3" t="s">
        <v>19</v>
      </c>
    </row>
    <row r="288" spans="1:14" x14ac:dyDescent="0.35">
      <c r="A288" s="2" t="s">
        <v>377</v>
      </c>
      <c r="B288" s="2">
        <v>144</v>
      </c>
      <c r="C288" s="2" t="s">
        <v>16</v>
      </c>
      <c r="D288" s="2">
        <v>968</v>
      </c>
      <c r="E288" s="2">
        <v>20020</v>
      </c>
      <c r="G288" s="2">
        <v>600</v>
      </c>
      <c r="H288" s="2" t="s">
        <v>378</v>
      </c>
      <c r="I288" s="2">
        <f>VLOOKUP(H288,[1]Customers!$A:$B,2,FALSE)</f>
        <v>3346</v>
      </c>
      <c r="J288" s="2">
        <v>45505</v>
      </c>
      <c r="K288" s="2" t="s">
        <v>379</v>
      </c>
      <c r="M288" s="2">
        <v>26673.09</v>
      </c>
      <c r="N288" s="3" t="s">
        <v>19</v>
      </c>
    </row>
    <row r="289" spans="1:14" x14ac:dyDescent="0.35">
      <c r="A289" s="2" t="s">
        <v>377</v>
      </c>
      <c r="B289" s="2">
        <v>144.5</v>
      </c>
      <c r="C289" s="2" t="s">
        <v>20</v>
      </c>
      <c r="D289" s="2">
        <v>616</v>
      </c>
      <c r="E289" s="2">
        <v>20020</v>
      </c>
      <c r="F289" s="2">
        <v>616</v>
      </c>
      <c r="G289" s="2">
        <v>600</v>
      </c>
      <c r="H289" s="2" t="s">
        <v>378</v>
      </c>
      <c r="I289" s="2">
        <f>VLOOKUP(H289,[1]Customers!$A:$B,2,FALSE)</f>
        <v>3346</v>
      </c>
      <c r="J289" s="2">
        <v>45505</v>
      </c>
      <c r="K289" s="2" t="s">
        <v>379</v>
      </c>
      <c r="L289" s="2">
        <v>26673.09</v>
      </c>
      <c r="N289" s="3" t="s">
        <v>19</v>
      </c>
    </row>
    <row r="290" spans="1:14" x14ac:dyDescent="0.35">
      <c r="A290" s="2" t="s">
        <v>380</v>
      </c>
      <c r="B290" s="2">
        <v>145</v>
      </c>
      <c r="C290" s="2" t="s">
        <v>16</v>
      </c>
      <c r="D290" s="2">
        <v>968</v>
      </c>
      <c r="E290" s="2">
        <v>20020</v>
      </c>
      <c r="G290" s="2">
        <v>512</v>
      </c>
      <c r="H290" s="2" t="s">
        <v>381</v>
      </c>
      <c r="I290" s="2">
        <f>VLOOKUP(H290,[1]Customers!$A:$B,2,FALSE)</f>
        <v>2348</v>
      </c>
      <c r="J290" s="2">
        <v>45593</v>
      </c>
      <c r="K290" s="2" t="s">
        <v>382</v>
      </c>
      <c r="M290" s="2">
        <v>1296.94</v>
      </c>
      <c r="N290" s="3" t="s">
        <v>19</v>
      </c>
    </row>
    <row r="291" spans="1:14" x14ac:dyDescent="0.35">
      <c r="A291" s="2" t="s">
        <v>380</v>
      </c>
      <c r="B291" s="2">
        <v>145.5</v>
      </c>
      <c r="C291" s="2" t="s">
        <v>20</v>
      </c>
      <c r="D291" s="2">
        <v>616</v>
      </c>
      <c r="E291" s="2">
        <v>20020</v>
      </c>
      <c r="F291" s="2">
        <v>616</v>
      </c>
      <c r="G291" s="2">
        <v>512</v>
      </c>
      <c r="H291" s="2" t="s">
        <v>381</v>
      </c>
      <c r="I291" s="2">
        <f>VLOOKUP(H291,[1]Customers!$A:$B,2,FALSE)</f>
        <v>2348</v>
      </c>
      <c r="J291" s="2">
        <v>45593</v>
      </c>
      <c r="K291" s="2" t="s">
        <v>382</v>
      </c>
      <c r="L291" s="2">
        <v>1296.94</v>
      </c>
      <c r="N291" s="3" t="s">
        <v>19</v>
      </c>
    </row>
    <row r="292" spans="1:14" x14ac:dyDescent="0.35">
      <c r="A292" s="2" t="s">
        <v>383</v>
      </c>
      <c r="B292" s="2">
        <v>146</v>
      </c>
      <c r="C292" s="2" t="s">
        <v>16</v>
      </c>
      <c r="D292" s="2">
        <v>968</v>
      </c>
      <c r="E292" s="2">
        <v>20020</v>
      </c>
      <c r="G292" s="2">
        <v>603</v>
      </c>
      <c r="H292" s="2" t="s">
        <v>381</v>
      </c>
      <c r="I292" s="2">
        <f>VLOOKUP(H292,[1]Customers!$A:$B,2,FALSE)</f>
        <v>2348</v>
      </c>
      <c r="J292" s="2">
        <v>45502</v>
      </c>
      <c r="K292" s="2" t="s">
        <v>384</v>
      </c>
      <c r="M292" s="2">
        <v>0.01</v>
      </c>
      <c r="N292" s="3" t="s">
        <v>19</v>
      </c>
    </row>
    <row r="293" spans="1:14" ht="15" customHeight="1" x14ac:dyDescent="0.35">
      <c r="A293" s="2" t="s">
        <v>383</v>
      </c>
      <c r="B293" s="2">
        <v>146.5</v>
      </c>
      <c r="C293" s="2" t="s">
        <v>20</v>
      </c>
      <c r="D293" s="2">
        <v>616</v>
      </c>
      <c r="E293" s="2">
        <v>20020</v>
      </c>
      <c r="F293" s="2">
        <v>616</v>
      </c>
      <c r="G293" s="2">
        <v>603</v>
      </c>
      <c r="H293" s="2" t="s">
        <v>381</v>
      </c>
      <c r="I293" s="2">
        <f>VLOOKUP(H293,[1]Customers!$A:$B,2,FALSE)</f>
        <v>2348</v>
      </c>
      <c r="J293" s="2">
        <v>45502</v>
      </c>
      <c r="K293" s="2" t="s">
        <v>384</v>
      </c>
      <c r="L293" s="2">
        <v>0.01</v>
      </c>
      <c r="N293" s="3" t="s">
        <v>19</v>
      </c>
    </row>
    <row r="294" spans="1:14" x14ac:dyDescent="0.35">
      <c r="A294" s="2" t="s">
        <v>385</v>
      </c>
      <c r="B294" s="2">
        <v>147</v>
      </c>
      <c r="C294" s="2" t="s">
        <v>16</v>
      </c>
      <c r="D294" s="2">
        <v>968</v>
      </c>
      <c r="E294" s="2">
        <v>20020</v>
      </c>
      <c r="G294" s="2">
        <v>629</v>
      </c>
      <c r="H294" s="2" t="s">
        <v>381</v>
      </c>
      <c r="I294" s="2">
        <f>VLOOKUP(H294,[1]Customers!$A:$B,2,FALSE)</f>
        <v>2348</v>
      </c>
      <c r="J294" s="2">
        <v>45476</v>
      </c>
      <c r="M294" s="2">
        <v>0</v>
      </c>
      <c r="N294" s="3" t="s">
        <v>19</v>
      </c>
    </row>
    <row r="295" spans="1:14" x14ac:dyDescent="0.35">
      <c r="A295" s="2" t="s">
        <v>385</v>
      </c>
      <c r="B295" s="2">
        <v>147.5</v>
      </c>
      <c r="C295" s="2" t="s">
        <v>20</v>
      </c>
      <c r="D295" s="2">
        <v>616</v>
      </c>
      <c r="E295" s="2">
        <v>20020</v>
      </c>
      <c r="F295" s="2">
        <v>616</v>
      </c>
      <c r="G295" s="2">
        <v>629</v>
      </c>
      <c r="H295" s="2" t="s">
        <v>381</v>
      </c>
      <c r="I295" s="2">
        <f>VLOOKUP(H295,[1]Customers!$A:$B,2,FALSE)</f>
        <v>2348</v>
      </c>
      <c r="J295" s="2">
        <v>45476</v>
      </c>
      <c r="L295" s="2">
        <v>0</v>
      </c>
      <c r="N295" s="3" t="s">
        <v>19</v>
      </c>
    </row>
    <row r="296" spans="1:14" x14ac:dyDescent="0.35">
      <c r="A296" s="2" t="s">
        <v>386</v>
      </c>
      <c r="B296" s="2">
        <v>148</v>
      </c>
      <c r="C296" s="2" t="s">
        <v>16</v>
      </c>
      <c r="D296" s="2">
        <v>968</v>
      </c>
      <c r="E296" s="2">
        <v>20020</v>
      </c>
      <c r="G296" s="2">
        <v>344</v>
      </c>
      <c r="H296" s="2" t="s">
        <v>381</v>
      </c>
      <c r="I296" s="2">
        <f>VLOOKUP(H296,[1]Customers!$A:$B,2,FALSE)</f>
        <v>2348</v>
      </c>
      <c r="J296" s="2">
        <v>45761</v>
      </c>
      <c r="K296" s="2" t="s">
        <v>387</v>
      </c>
      <c r="M296" s="2">
        <v>528.62</v>
      </c>
      <c r="N296" s="3" t="s">
        <v>19</v>
      </c>
    </row>
    <row r="297" spans="1:14" x14ac:dyDescent="0.35">
      <c r="A297" s="2" t="s">
        <v>386</v>
      </c>
      <c r="B297" s="2">
        <v>148.5</v>
      </c>
      <c r="C297" s="2" t="s">
        <v>20</v>
      </c>
      <c r="D297" s="2">
        <v>616</v>
      </c>
      <c r="E297" s="2">
        <v>20020</v>
      </c>
      <c r="F297" s="2">
        <v>616</v>
      </c>
      <c r="G297" s="2">
        <v>344</v>
      </c>
      <c r="H297" s="2" t="s">
        <v>381</v>
      </c>
      <c r="I297" s="2">
        <f>VLOOKUP(H297,[1]Customers!$A:$B,2,FALSE)</f>
        <v>2348</v>
      </c>
      <c r="J297" s="2">
        <v>45761</v>
      </c>
      <c r="K297" s="2" t="s">
        <v>387</v>
      </c>
      <c r="L297" s="2">
        <v>528.62</v>
      </c>
      <c r="N297" s="3" t="s">
        <v>19</v>
      </c>
    </row>
    <row r="298" spans="1:14" x14ac:dyDescent="0.35">
      <c r="A298" s="2" t="s">
        <v>388</v>
      </c>
      <c r="B298" s="2">
        <v>149</v>
      </c>
      <c r="C298" s="2" t="s">
        <v>16</v>
      </c>
      <c r="D298" s="2">
        <v>968</v>
      </c>
      <c r="E298" s="2">
        <v>20020</v>
      </c>
      <c r="G298" s="2">
        <v>288</v>
      </c>
      <c r="H298" s="2" t="s">
        <v>389</v>
      </c>
      <c r="I298" s="2">
        <f>VLOOKUP(H298,[1]Customers!$A:$B,2,FALSE)</f>
        <v>2302</v>
      </c>
      <c r="J298" s="2">
        <v>45817</v>
      </c>
      <c r="K298" s="2" t="s">
        <v>390</v>
      </c>
      <c r="M298" s="2">
        <v>500000</v>
      </c>
      <c r="N298" s="3" t="s">
        <v>19</v>
      </c>
    </row>
    <row r="299" spans="1:14" x14ac:dyDescent="0.35">
      <c r="A299" s="2" t="s">
        <v>388</v>
      </c>
      <c r="B299" s="2">
        <v>149.5</v>
      </c>
      <c r="C299" s="2" t="s">
        <v>20</v>
      </c>
      <c r="D299" s="2">
        <v>616</v>
      </c>
      <c r="E299" s="2">
        <v>20020</v>
      </c>
      <c r="F299" s="2">
        <v>616</v>
      </c>
      <c r="G299" s="2">
        <v>288</v>
      </c>
      <c r="H299" s="2" t="s">
        <v>389</v>
      </c>
      <c r="I299" s="2">
        <f>VLOOKUP(H299,[1]Customers!$A:$B,2,FALSE)</f>
        <v>2302</v>
      </c>
      <c r="J299" s="2">
        <v>45817</v>
      </c>
      <c r="K299" s="2" t="s">
        <v>390</v>
      </c>
      <c r="L299" s="2">
        <v>500000</v>
      </c>
      <c r="N299" s="3" t="s">
        <v>19</v>
      </c>
    </row>
    <row r="300" spans="1:14" x14ac:dyDescent="0.35">
      <c r="A300" s="2" t="s">
        <v>391</v>
      </c>
      <c r="B300" s="2">
        <v>150</v>
      </c>
      <c r="C300" s="2" t="s">
        <v>16</v>
      </c>
      <c r="D300" s="2">
        <v>968</v>
      </c>
      <c r="E300" s="2">
        <v>20020</v>
      </c>
      <c r="G300" s="2">
        <v>350</v>
      </c>
      <c r="H300" s="2" t="s">
        <v>392</v>
      </c>
      <c r="I300" s="2">
        <f>VLOOKUP(H300,[1]Customers!$A:$B,2,FALSE)</f>
        <v>2330</v>
      </c>
      <c r="J300" s="2">
        <v>45755</v>
      </c>
      <c r="K300" s="2" t="s">
        <v>393</v>
      </c>
      <c r="M300" s="2">
        <v>8183.25</v>
      </c>
      <c r="N300" s="3" t="s">
        <v>19</v>
      </c>
    </row>
    <row r="301" spans="1:14" x14ac:dyDescent="0.35">
      <c r="A301" s="2" t="s">
        <v>391</v>
      </c>
      <c r="B301" s="2">
        <v>150.5</v>
      </c>
      <c r="C301" s="2" t="s">
        <v>20</v>
      </c>
      <c r="D301" s="2">
        <v>616</v>
      </c>
      <c r="E301" s="2">
        <v>20020</v>
      </c>
      <c r="F301" s="2">
        <v>616</v>
      </c>
      <c r="G301" s="2">
        <v>350</v>
      </c>
      <c r="H301" s="2" t="s">
        <v>392</v>
      </c>
      <c r="I301" s="2">
        <f>VLOOKUP(H301,[1]Customers!$A:$B,2,FALSE)</f>
        <v>2330</v>
      </c>
      <c r="J301" s="2">
        <v>45755</v>
      </c>
      <c r="K301" s="2" t="s">
        <v>393</v>
      </c>
      <c r="L301" s="2">
        <v>8183.25</v>
      </c>
      <c r="N301" s="3" t="s">
        <v>19</v>
      </c>
    </row>
    <row r="302" spans="1:14" x14ac:dyDescent="0.35">
      <c r="A302" s="2" t="s">
        <v>394</v>
      </c>
      <c r="B302" s="2">
        <v>151</v>
      </c>
      <c r="C302" s="2" t="s">
        <v>16</v>
      </c>
      <c r="D302" s="2">
        <v>968</v>
      </c>
      <c r="E302" s="2">
        <v>20020</v>
      </c>
      <c r="G302" s="2">
        <v>292</v>
      </c>
      <c r="H302" s="2" t="s">
        <v>392</v>
      </c>
      <c r="I302" s="2">
        <f>VLOOKUP(H302,[1]Customers!$A:$B,2,FALSE)</f>
        <v>2330</v>
      </c>
      <c r="J302" s="2">
        <v>45813</v>
      </c>
      <c r="K302" s="2" t="s">
        <v>395</v>
      </c>
      <c r="M302" s="2">
        <v>1529.19</v>
      </c>
      <c r="N302" s="3" t="s">
        <v>19</v>
      </c>
    </row>
    <row r="303" spans="1:14" x14ac:dyDescent="0.35">
      <c r="A303" s="2" t="s">
        <v>394</v>
      </c>
      <c r="B303" s="2">
        <v>151.5</v>
      </c>
      <c r="C303" s="2" t="s">
        <v>20</v>
      </c>
      <c r="D303" s="2">
        <v>616</v>
      </c>
      <c r="E303" s="2">
        <v>20020</v>
      </c>
      <c r="F303" s="2">
        <v>616</v>
      </c>
      <c r="G303" s="2">
        <v>292</v>
      </c>
      <c r="H303" s="2" t="s">
        <v>392</v>
      </c>
      <c r="I303" s="2">
        <f>VLOOKUP(H303,[1]Customers!$A:$B,2,FALSE)</f>
        <v>2330</v>
      </c>
      <c r="J303" s="2">
        <v>45813</v>
      </c>
      <c r="K303" s="2" t="s">
        <v>395</v>
      </c>
      <c r="L303" s="2">
        <v>1529.19</v>
      </c>
      <c r="N303" s="3" t="s">
        <v>19</v>
      </c>
    </row>
    <row r="304" spans="1:14" x14ac:dyDescent="0.35">
      <c r="A304" s="2" t="s">
        <v>396</v>
      </c>
      <c r="B304" s="2">
        <v>152</v>
      </c>
      <c r="C304" s="2" t="s">
        <v>16</v>
      </c>
      <c r="D304" s="2">
        <v>968</v>
      </c>
      <c r="E304" s="2">
        <v>20020</v>
      </c>
      <c r="G304" s="2">
        <v>477</v>
      </c>
      <c r="H304" s="2" t="s">
        <v>397</v>
      </c>
      <c r="I304" s="2">
        <f>VLOOKUP(H304,[1]Customers!$A:$B,2,FALSE)</f>
        <v>3562</v>
      </c>
      <c r="J304" s="2">
        <v>45628</v>
      </c>
      <c r="K304" s="2" t="s">
        <v>398</v>
      </c>
      <c r="M304" s="2">
        <v>250</v>
      </c>
      <c r="N304" s="3" t="s">
        <v>19</v>
      </c>
    </row>
    <row r="305" spans="1:15" x14ac:dyDescent="0.35">
      <c r="A305" s="2" t="s">
        <v>396</v>
      </c>
      <c r="B305" s="2">
        <v>152.5</v>
      </c>
      <c r="C305" s="2" t="s">
        <v>20</v>
      </c>
      <c r="D305" s="2">
        <v>616</v>
      </c>
      <c r="E305" s="2">
        <v>20020</v>
      </c>
      <c r="F305" s="2">
        <v>616</v>
      </c>
      <c r="G305" s="2">
        <v>477</v>
      </c>
      <c r="H305" s="2" t="s">
        <v>397</v>
      </c>
      <c r="I305" s="2">
        <f>VLOOKUP(H305,[1]Customers!$A:$B,2,FALSE)</f>
        <v>3562</v>
      </c>
      <c r="J305" s="2">
        <v>45628</v>
      </c>
      <c r="K305" s="2" t="s">
        <v>398</v>
      </c>
      <c r="L305" s="2">
        <v>250</v>
      </c>
      <c r="N305" s="3" t="s">
        <v>19</v>
      </c>
    </row>
    <row r="306" spans="1:15" x14ac:dyDescent="0.35">
      <c r="A306" s="2" t="s">
        <v>399</v>
      </c>
      <c r="B306" s="2">
        <v>153</v>
      </c>
      <c r="C306" s="2" t="s">
        <v>16</v>
      </c>
      <c r="D306" s="2">
        <v>968</v>
      </c>
      <c r="E306" s="2">
        <v>20020</v>
      </c>
      <c r="G306" s="2">
        <v>336</v>
      </c>
      <c r="H306" s="2" t="s">
        <v>400</v>
      </c>
      <c r="I306" s="2">
        <f>VLOOKUP(H306,[1]Customers!$A:$B,2,FALSE)</f>
        <v>2347</v>
      </c>
      <c r="J306" s="2">
        <v>45769</v>
      </c>
      <c r="K306" s="2" t="s">
        <v>401</v>
      </c>
      <c r="M306" s="2">
        <v>38311.33</v>
      </c>
      <c r="N306" s="3" t="s">
        <v>19</v>
      </c>
    </row>
    <row r="307" spans="1:15" x14ac:dyDescent="0.35">
      <c r="A307" s="2" t="s">
        <v>399</v>
      </c>
      <c r="B307" s="2">
        <v>153.5</v>
      </c>
      <c r="C307" s="2" t="s">
        <v>20</v>
      </c>
      <c r="D307" s="2">
        <v>616</v>
      </c>
      <c r="E307" s="2">
        <v>20020</v>
      </c>
      <c r="F307" s="2">
        <v>616</v>
      </c>
      <c r="G307" s="2">
        <v>336</v>
      </c>
      <c r="H307" s="2" t="s">
        <v>400</v>
      </c>
      <c r="I307" s="2">
        <f>VLOOKUP(H307,[1]Customers!$A:$B,2,FALSE)</f>
        <v>2347</v>
      </c>
      <c r="J307" s="2">
        <v>45769</v>
      </c>
      <c r="K307" s="2" t="s">
        <v>401</v>
      </c>
      <c r="L307" s="2">
        <v>38311.33</v>
      </c>
      <c r="N307" s="3" t="s">
        <v>19</v>
      </c>
    </row>
    <row r="308" spans="1:15" x14ac:dyDescent="0.35">
      <c r="A308" s="2" t="s">
        <v>402</v>
      </c>
      <c r="B308" s="2">
        <v>154</v>
      </c>
      <c r="C308" s="2" t="s">
        <v>16</v>
      </c>
      <c r="D308" s="2">
        <v>968</v>
      </c>
      <c r="E308" s="2">
        <v>20020</v>
      </c>
      <c r="G308" s="2">
        <v>673</v>
      </c>
      <c r="H308" s="2" t="s">
        <v>403</v>
      </c>
      <c r="I308" s="2">
        <f>VLOOKUP(H308,[1]Customers!$A:$B,2,FALSE)</f>
        <v>567</v>
      </c>
      <c r="J308" s="2">
        <v>45432</v>
      </c>
      <c r="K308" s="2" t="s">
        <v>404</v>
      </c>
      <c r="M308" s="2">
        <v>8037.57</v>
      </c>
      <c r="N308" s="3" t="s">
        <v>19</v>
      </c>
      <c r="O308" s="2">
        <v>36849</v>
      </c>
    </row>
    <row r="309" spans="1:15" x14ac:dyDescent="0.35">
      <c r="A309" s="2" t="s">
        <v>402</v>
      </c>
      <c r="B309" s="2">
        <v>154.5</v>
      </c>
      <c r="C309" s="2" t="s">
        <v>20</v>
      </c>
      <c r="D309" s="2">
        <v>616</v>
      </c>
      <c r="E309" s="2">
        <v>20020</v>
      </c>
      <c r="F309" s="2">
        <v>616</v>
      </c>
      <c r="G309" s="2">
        <v>673</v>
      </c>
      <c r="H309" s="2" t="s">
        <v>403</v>
      </c>
      <c r="I309" s="2">
        <f>VLOOKUP(H309,[1]Customers!$A:$B,2,FALSE)</f>
        <v>567</v>
      </c>
      <c r="J309" s="2">
        <v>45432</v>
      </c>
      <c r="K309" s="2" t="s">
        <v>404</v>
      </c>
      <c r="L309" s="2">
        <v>8037.57</v>
      </c>
      <c r="N309" s="3" t="s">
        <v>19</v>
      </c>
      <c r="O309" s="2">
        <v>36849</v>
      </c>
    </row>
    <row r="310" spans="1:15" x14ac:dyDescent="0.35">
      <c r="A310" s="2" t="s">
        <v>405</v>
      </c>
      <c r="B310" s="2">
        <v>155</v>
      </c>
      <c r="C310" s="2" t="s">
        <v>16</v>
      </c>
      <c r="D310" s="2">
        <v>968</v>
      </c>
      <c r="E310" s="2">
        <v>20020</v>
      </c>
      <c r="G310" s="2">
        <v>589</v>
      </c>
      <c r="H310" s="2" t="s">
        <v>403</v>
      </c>
      <c r="I310" s="2">
        <f>VLOOKUP(H310,[1]Customers!$A:$B,2,FALSE)</f>
        <v>567</v>
      </c>
      <c r="J310" s="2">
        <v>45516</v>
      </c>
      <c r="K310" s="2" t="s">
        <v>404</v>
      </c>
      <c r="M310" s="2">
        <v>5045.7700000000004</v>
      </c>
      <c r="N310" s="3" t="s">
        <v>19</v>
      </c>
    </row>
    <row r="311" spans="1:15" ht="15" customHeight="1" x14ac:dyDescent="0.35">
      <c r="A311" s="2" t="s">
        <v>405</v>
      </c>
      <c r="B311" s="2">
        <v>155.5</v>
      </c>
      <c r="C311" s="2" t="s">
        <v>20</v>
      </c>
      <c r="D311" s="2">
        <v>616</v>
      </c>
      <c r="E311" s="2">
        <v>20020</v>
      </c>
      <c r="F311" s="2">
        <v>616</v>
      </c>
      <c r="G311" s="2">
        <v>589</v>
      </c>
      <c r="H311" s="2" t="s">
        <v>403</v>
      </c>
      <c r="I311" s="2">
        <f>VLOOKUP(H311,[1]Customers!$A:$B,2,FALSE)</f>
        <v>567</v>
      </c>
      <c r="J311" s="2">
        <v>45516</v>
      </c>
      <c r="K311" s="2" t="s">
        <v>404</v>
      </c>
      <c r="L311" s="2">
        <v>5045.7700000000004</v>
      </c>
      <c r="N311" s="3" t="s">
        <v>19</v>
      </c>
    </row>
    <row r="312" spans="1:15" ht="15" customHeight="1" x14ac:dyDescent="0.35">
      <c r="A312" s="2" t="s">
        <v>406</v>
      </c>
      <c r="B312" s="2">
        <v>156</v>
      </c>
      <c r="C312" s="2" t="s">
        <v>16</v>
      </c>
      <c r="D312" s="2">
        <v>968</v>
      </c>
      <c r="E312" s="2">
        <v>20020</v>
      </c>
      <c r="G312" s="2">
        <v>799</v>
      </c>
      <c r="H312" s="2" t="s">
        <v>403</v>
      </c>
      <c r="I312" s="2">
        <f>VLOOKUP(H312,[1]Customers!$A:$B,2,FALSE)</f>
        <v>567</v>
      </c>
      <c r="J312" s="2">
        <v>45306</v>
      </c>
      <c r="K312" s="2" t="s">
        <v>407</v>
      </c>
      <c r="M312" s="2">
        <v>711.91</v>
      </c>
      <c r="N312" s="3" t="s">
        <v>19</v>
      </c>
    </row>
    <row r="313" spans="1:15" ht="15" customHeight="1" x14ac:dyDescent="0.35">
      <c r="A313" s="2" t="s">
        <v>406</v>
      </c>
      <c r="B313" s="2">
        <v>156.5</v>
      </c>
      <c r="C313" s="2" t="s">
        <v>20</v>
      </c>
      <c r="D313" s="2">
        <v>616</v>
      </c>
      <c r="E313" s="2">
        <v>20020</v>
      </c>
      <c r="F313" s="2">
        <v>616</v>
      </c>
      <c r="G313" s="2">
        <v>799</v>
      </c>
      <c r="H313" s="2" t="s">
        <v>403</v>
      </c>
      <c r="I313" s="2">
        <f>VLOOKUP(H313,[1]Customers!$A:$B,2,FALSE)</f>
        <v>567</v>
      </c>
      <c r="J313" s="2">
        <v>45306</v>
      </c>
      <c r="K313" s="2" t="s">
        <v>407</v>
      </c>
      <c r="L313" s="2">
        <v>711.91</v>
      </c>
      <c r="N313" s="3" t="s">
        <v>19</v>
      </c>
    </row>
    <row r="314" spans="1:15" x14ac:dyDescent="0.35">
      <c r="A314" s="2" t="s">
        <v>408</v>
      </c>
      <c r="B314" s="2">
        <v>157</v>
      </c>
      <c r="C314" s="2" t="s">
        <v>16</v>
      </c>
      <c r="D314" s="2">
        <v>968</v>
      </c>
      <c r="E314" s="2">
        <v>20020</v>
      </c>
      <c r="G314" s="2">
        <v>748</v>
      </c>
      <c r="H314" s="2" t="s">
        <v>403</v>
      </c>
      <c r="I314" s="2">
        <f>VLOOKUP(H314,[1]Customers!$A:$B,2,FALSE)</f>
        <v>567</v>
      </c>
      <c r="J314" s="2">
        <v>45357</v>
      </c>
      <c r="K314" s="2" t="s">
        <v>409</v>
      </c>
      <c r="M314" s="2">
        <v>425.64</v>
      </c>
      <c r="N314" s="3" t="s">
        <v>19</v>
      </c>
      <c r="O314" s="2">
        <v>36261</v>
      </c>
    </row>
    <row r="315" spans="1:15" x14ac:dyDescent="0.35">
      <c r="A315" s="2" t="s">
        <v>408</v>
      </c>
      <c r="B315" s="2">
        <v>157.5</v>
      </c>
      <c r="C315" s="2" t="s">
        <v>20</v>
      </c>
      <c r="D315" s="2">
        <v>616</v>
      </c>
      <c r="E315" s="2">
        <v>20020</v>
      </c>
      <c r="F315" s="2">
        <v>616</v>
      </c>
      <c r="G315" s="2">
        <v>748</v>
      </c>
      <c r="H315" s="2" t="s">
        <v>403</v>
      </c>
      <c r="I315" s="2">
        <f>VLOOKUP(H315,[1]Customers!$A:$B,2,FALSE)</f>
        <v>567</v>
      </c>
      <c r="J315" s="2">
        <v>45357</v>
      </c>
      <c r="K315" s="2" t="s">
        <v>409</v>
      </c>
      <c r="L315" s="2">
        <v>425.64</v>
      </c>
      <c r="N315" s="3" t="s">
        <v>19</v>
      </c>
      <c r="O315" s="2">
        <v>36261</v>
      </c>
    </row>
    <row r="316" spans="1:15" x14ac:dyDescent="0.35">
      <c r="A316" s="2" t="s">
        <v>410</v>
      </c>
      <c r="B316" s="2">
        <v>158</v>
      </c>
      <c r="C316" s="2" t="s">
        <v>16</v>
      </c>
      <c r="D316" s="2">
        <v>968</v>
      </c>
      <c r="E316" s="2">
        <v>20020</v>
      </c>
      <c r="G316" s="2">
        <v>510</v>
      </c>
      <c r="H316" s="4" t="s">
        <v>411</v>
      </c>
      <c r="I316" s="2">
        <f>VLOOKUP(H316,[1]Customers!$A:$B,2,FALSE)</f>
        <v>1555</v>
      </c>
      <c r="J316" s="2">
        <v>45595</v>
      </c>
      <c r="K316" s="2" t="s">
        <v>412</v>
      </c>
      <c r="M316" s="2">
        <v>10702.4</v>
      </c>
      <c r="N316" s="3" t="s">
        <v>19</v>
      </c>
      <c r="O316" s="2">
        <v>5885</v>
      </c>
    </row>
    <row r="317" spans="1:15" x14ac:dyDescent="0.35">
      <c r="A317" s="2" t="s">
        <v>410</v>
      </c>
      <c r="B317" s="2">
        <v>158.5</v>
      </c>
      <c r="C317" s="2" t="s">
        <v>20</v>
      </c>
      <c r="D317" s="2">
        <v>616</v>
      </c>
      <c r="E317" s="2">
        <v>20020</v>
      </c>
      <c r="F317" s="2">
        <v>616</v>
      </c>
      <c r="G317" s="2">
        <v>510</v>
      </c>
      <c r="H317" s="4" t="s">
        <v>411</v>
      </c>
      <c r="I317" s="2">
        <f>VLOOKUP(H317,[1]Customers!$A:$B,2,FALSE)</f>
        <v>1555</v>
      </c>
      <c r="J317" s="2">
        <v>45595</v>
      </c>
      <c r="K317" s="2" t="s">
        <v>412</v>
      </c>
      <c r="L317" s="2">
        <v>10702.4</v>
      </c>
      <c r="N317" s="3" t="s">
        <v>19</v>
      </c>
      <c r="O317" s="2">
        <v>5885</v>
      </c>
    </row>
    <row r="318" spans="1:15" x14ac:dyDescent="0.35">
      <c r="A318" s="2" t="s">
        <v>413</v>
      </c>
      <c r="B318" s="2">
        <v>159</v>
      </c>
      <c r="C318" s="2" t="s">
        <v>16</v>
      </c>
      <c r="D318" s="2">
        <v>968</v>
      </c>
      <c r="E318" s="2">
        <v>20020</v>
      </c>
      <c r="G318" s="2">
        <v>462</v>
      </c>
      <c r="H318" s="2" t="s">
        <v>414</v>
      </c>
      <c r="I318" s="2">
        <f>VLOOKUP(H318,[1]Customers!$A:$B,2,FALSE)</f>
        <v>3413</v>
      </c>
      <c r="J318" s="2">
        <v>45643</v>
      </c>
      <c r="K318" s="2" t="s">
        <v>415</v>
      </c>
      <c r="M318" s="2">
        <v>1523.93</v>
      </c>
      <c r="N318" s="3" t="s">
        <v>19</v>
      </c>
    </row>
    <row r="319" spans="1:15" x14ac:dyDescent="0.35">
      <c r="A319" s="2" t="s">
        <v>413</v>
      </c>
      <c r="B319" s="2">
        <v>159.5</v>
      </c>
      <c r="C319" s="2" t="s">
        <v>20</v>
      </c>
      <c r="D319" s="2">
        <v>616</v>
      </c>
      <c r="E319" s="2">
        <v>20020</v>
      </c>
      <c r="F319" s="2">
        <v>616</v>
      </c>
      <c r="G319" s="2">
        <v>462</v>
      </c>
      <c r="H319" s="2" t="s">
        <v>414</v>
      </c>
      <c r="I319" s="2">
        <f>VLOOKUP(H319,[1]Customers!$A:$B,2,FALSE)</f>
        <v>3413</v>
      </c>
      <c r="J319" s="2">
        <v>45643</v>
      </c>
      <c r="K319" s="2" t="s">
        <v>415</v>
      </c>
      <c r="L319" s="2">
        <v>1523.93</v>
      </c>
      <c r="N319" s="3" t="s">
        <v>19</v>
      </c>
    </row>
    <row r="320" spans="1:15" x14ac:dyDescent="0.35">
      <c r="A320" s="2" t="s">
        <v>416</v>
      </c>
      <c r="B320" s="2">
        <v>160</v>
      </c>
      <c r="C320" s="2" t="s">
        <v>16</v>
      </c>
      <c r="D320" s="2">
        <v>968</v>
      </c>
      <c r="E320" s="2">
        <v>20020</v>
      </c>
      <c r="G320" s="2">
        <v>536</v>
      </c>
      <c r="H320" s="4" t="s">
        <v>417</v>
      </c>
      <c r="I320" s="2">
        <f>VLOOKUP(H320,[1]Customers!$A:$B,2,FALSE)</f>
        <v>569</v>
      </c>
      <c r="J320" s="2">
        <v>45569</v>
      </c>
      <c r="K320" s="2" t="s">
        <v>418</v>
      </c>
      <c r="M320" s="2">
        <v>9000</v>
      </c>
      <c r="N320" s="3" t="s">
        <v>19</v>
      </c>
    </row>
    <row r="321" spans="1:14" x14ac:dyDescent="0.35">
      <c r="A321" s="2" t="s">
        <v>416</v>
      </c>
      <c r="B321" s="2">
        <v>160.5</v>
      </c>
      <c r="C321" s="2" t="s">
        <v>20</v>
      </c>
      <c r="D321" s="2">
        <v>616</v>
      </c>
      <c r="E321" s="2">
        <v>20020</v>
      </c>
      <c r="F321" s="2">
        <v>616</v>
      </c>
      <c r="G321" s="2">
        <v>536</v>
      </c>
      <c r="H321" s="4" t="s">
        <v>417</v>
      </c>
      <c r="I321" s="2">
        <f>VLOOKUP(H321,[1]Customers!$A:$B,2,FALSE)</f>
        <v>569</v>
      </c>
      <c r="J321" s="2">
        <v>45569</v>
      </c>
      <c r="K321" s="2" t="s">
        <v>418</v>
      </c>
      <c r="L321" s="2">
        <v>9000</v>
      </c>
      <c r="N321" s="3" t="s">
        <v>19</v>
      </c>
    </row>
    <row r="322" spans="1:14" x14ac:dyDescent="0.35">
      <c r="A322" s="2" t="s">
        <v>419</v>
      </c>
      <c r="B322" s="2">
        <v>161</v>
      </c>
      <c r="C322" s="2" t="s">
        <v>16</v>
      </c>
      <c r="D322" s="2">
        <v>968</v>
      </c>
      <c r="E322" s="2">
        <v>20020</v>
      </c>
      <c r="G322" s="2">
        <v>371</v>
      </c>
      <c r="H322" s="2" t="s">
        <v>420</v>
      </c>
      <c r="I322" s="2">
        <f>VLOOKUP(H322,[1]Customers!$A:$B,2,FALSE)</f>
        <v>2191</v>
      </c>
      <c r="J322" s="2">
        <v>45734</v>
      </c>
      <c r="K322" s="2" t="s">
        <v>421</v>
      </c>
      <c r="M322" s="2">
        <v>5335.05</v>
      </c>
      <c r="N322" s="3" t="s">
        <v>19</v>
      </c>
    </row>
    <row r="323" spans="1:14" x14ac:dyDescent="0.35">
      <c r="A323" s="2" t="s">
        <v>419</v>
      </c>
      <c r="B323" s="2">
        <v>161.5</v>
      </c>
      <c r="C323" s="2" t="s">
        <v>20</v>
      </c>
      <c r="D323" s="2">
        <v>616</v>
      </c>
      <c r="E323" s="2">
        <v>20020</v>
      </c>
      <c r="F323" s="2">
        <v>616</v>
      </c>
      <c r="G323" s="2">
        <v>371</v>
      </c>
      <c r="H323" s="2" t="s">
        <v>420</v>
      </c>
      <c r="I323" s="2">
        <f>VLOOKUP(H323,[1]Customers!$A:$B,2,FALSE)</f>
        <v>2191</v>
      </c>
      <c r="J323" s="2">
        <v>45734</v>
      </c>
      <c r="K323" s="2" t="s">
        <v>421</v>
      </c>
      <c r="L323" s="2">
        <v>5335.05</v>
      </c>
      <c r="N323" s="3" t="s">
        <v>19</v>
      </c>
    </row>
    <row r="324" spans="1:14" x14ac:dyDescent="0.35">
      <c r="A324" s="2" t="s">
        <v>422</v>
      </c>
      <c r="B324" s="2">
        <v>162</v>
      </c>
      <c r="C324" s="2" t="s">
        <v>16</v>
      </c>
      <c r="D324" s="2">
        <v>968</v>
      </c>
      <c r="E324" s="2">
        <v>20020</v>
      </c>
      <c r="G324" s="2">
        <v>319</v>
      </c>
      <c r="H324" s="2" t="s">
        <v>420</v>
      </c>
      <c r="I324" s="2">
        <f>VLOOKUP(H324,[1]Customers!$A:$B,2,FALSE)</f>
        <v>2191</v>
      </c>
      <c r="J324" s="2">
        <v>45786</v>
      </c>
      <c r="K324" s="2" t="s">
        <v>421</v>
      </c>
      <c r="M324" s="2">
        <v>555.95000000000005</v>
      </c>
      <c r="N324" s="3" t="s">
        <v>19</v>
      </c>
    </row>
    <row r="325" spans="1:14" x14ac:dyDescent="0.35">
      <c r="A325" s="2" t="s">
        <v>422</v>
      </c>
      <c r="B325" s="2">
        <v>162.5</v>
      </c>
      <c r="C325" s="2" t="s">
        <v>20</v>
      </c>
      <c r="D325" s="2">
        <v>616</v>
      </c>
      <c r="E325" s="2">
        <v>20020</v>
      </c>
      <c r="F325" s="2">
        <v>616</v>
      </c>
      <c r="G325" s="2">
        <v>319</v>
      </c>
      <c r="H325" s="2" t="s">
        <v>420</v>
      </c>
      <c r="I325" s="2">
        <f>VLOOKUP(H325,[1]Customers!$A:$B,2,FALSE)</f>
        <v>2191</v>
      </c>
      <c r="J325" s="2">
        <v>45786</v>
      </c>
      <c r="K325" s="2" t="s">
        <v>421</v>
      </c>
      <c r="L325" s="2">
        <v>555.95000000000005</v>
      </c>
      <c r="N325" s="3" t="s">
        <v>19</v>
      </c>
    </row>
    <row r="326" spans="1:14" x14ac:dyDescent="0.35">
      <c r="A326" s="2" t="s">
        <v>423</v>
      </c>
      <c r="B326" s="2">
        <v>163</v>
      </c>
      <c r="C326" s="2" t="s">
        <v>16</v>
      </c>
      <c r="D326" s="2">
        <v>968</v>
      </c>
      <c r="E326" s="2">
        <v>20020</v>
      </c>
      <c r="G326" s="2">
        <v>279</v>
      </c>
      <c r="H326" s="2" t="s">
        <v>420</v>
      </c>
      <c r="I326" s="2">
        <f>VLOOKUP(H326,[1]Customers!$A:$B,2,FALSE)</f>
        <v>2191</v>
      </c>
      <c r="J326" s="2">
        <v>45826</v>
      </c>
      <c r="K326" s="2" t="s">
        <v>424</v>
      </c>
      <c r="M326" s="2">
        <v>1998.38</v>
      </c>
      <c r="N326" s="3" t="s">
        <v>19</v>
      </c>
    </row>
    <row r="327" spans="1:14" x14ac:dyDescent="0.35">
      <c r="A327" s="2" t="s">
        <v>423</v>
      </c>
      <c r="B327" s="2">
        <v>163.5</v>
      </c>
      <c r="C327" s="2" t="s">
        <v>20</v>
      </c>
      <c r="D327" s="2">
        <v>616</v>
      </c>
      <c r="E327" s="2">
        <v>20020</v>
      </c>
      <c r="F327" s="2">
        <v>616</v>
      </c>
      <c r="G327" s="2">
        <v>279</v>
      </c>
      <c r="H327" s="2" t="s">
        <v>420</v>
      </c>
      <c r="I327" s="2">
        <f>VLOOKUP(H327,[1]Customers!$A:$B,2,FALSE)</f>
        <v>2191</v>
      </c>
      <c r="J327" s="2">
        <v>45826</v>
      </c>
      <c r="K327" s="2" t="s">
        <v>424</v>
      </c>
      <c r="L327" s="2">
        <v>1998.38</v>
      </c>
      <c r="N327" s="3" t="s">
        <v>19</v>
      </c>
    </row>
    <row r="328" spans="1:14" x14ac:dyDescent="0.35">
      <c r="A328" s="2" t="s">
        <v>425</v>
      </c>
      <c r="B328" s="2">
        <v>164</v>
      </c>
      <c r="C328" s="2" t="s">
        <v>16</v>
      </c>
      <c r="D328" s="2">
        <v>968</v>
      </c>
      <c r="E328" s="2">
        <v>20020</v>
      </c>
      <c r="G328" s="2">
        <v>720</v>
      </c>
      <c r="H328" s="2" t="s">
        <v>426</v>
      </c>
      <c r="I328" s="2">
        <f>VLOOKUP(H328,[1]Customers!$A:$B,2,FALSE)</f>
        <v>3351</v>
      </c>
      <c r="J328" s="2">
        <v>45385</v>
      </c>
      <c r="K328" s="2" t="s">
        <v>427</v>
      </c>
      <c r="M328" s="2">
        <v>142697.44</v>
      </c>
      <c r="N328" s="3" t="s">
        <v>19</v>
      </c>
    </row>
    <row r="329" spans="1:14" ht="15" customHeight="1" x14ac:dyDescent="0.35">
      <c r="A329" s="2" t="s">
        <v>425</v>
      </c>
      <c r="B329" s="2">
        <v>164.5</v>
      </c>
      <c r="C329" s="2" t="s">
        <v>20</v>
      </c>
      <c r="D329" s="2">
        <v>616</v>
      </c>
      <c r="E329" s="2">
        <v>20020</v>
      </c>
      <c r="F329" s="2">
        <v>616</v>
      </c>
      <c r="G329" s="2">
        <v>720</v>
      </c>
      <c r="H329" s="2" t="s">
        <v>426</v>
      </c>
      <c r="I329" s="2">
        <f>VLOOKUP(H329,[1]Customers!$A:$B,2,FALSE)</f>
        <v>3351</v>
      </c>
      <c r="J329" s="2">
        <v>45385</v>
      </c>
      <c r="K329" s="2" t="s">
        <v>427</v>
      </c>
      <c r="L329" s="2">
        <v>142697.44</v>
      </c>
      <c r="N329" s="3" t="s">
        <v>19</v>
      </c>
    </row>
    <row r="330" spans="1:14" ht="14.5" customHeight="1" x14ac:dyDescent="0.35">
      <c r="A330" s="2" t="s">
        <v>428</v>
      </c>
      <c r="B330" s="2">
        <v>165</v>
      </c>
      <c r="C330" s="2" t="s">
        <v>16</v>
      </c>
      <c r="D330" s="2">
        <v>968</v>
      </c>
      <c r="E330" s="2">
        <v>20020</v>
      </c>
      <c r="G330" s="2">
        <v>446</v>
      </c>
      <c r="H330" s="2" t="s">
        <v>429</v>
      </c>
      <c r="I330" s="2">
        <f>VLOOKUP(H330,[1]Customers!$A:$B,2,FALSE)</f>
        <v>2616</v>
      </c>
      <c r="J330" s="2">
        <v>45659</v>
      </c>
      <c r="K330" s="2" t="s">
        <v>430</v>
      </c>
      <c r="M330" s="2">
        <v>93.11</v>
      </c>
      <c r="N330" s="3" t="s">
        <v>19</v>
      </c>
    </row>
    <row r="331" spans="1:14" ht="15" customHeight="1" x14ac:dyDescent="0.35">
      <c r="A331" s="2" t="s">
        <v>428</v>
      </c>
      <c r="B331" s="2">
        <v>165.5</v>
      </c>
      <c r="C331" s="2" t="s">
        <v>20</v>
      </c>
      <c r="D331" s="2">
        <v>616</v>
      </c>
      <c r="E331" s="2">
        <v>20020</v>
      </c>
      <c r="F331" s="2">
        <v>616</v>
      </c>
      <c r="G331" s="2">
        <v>446</v>
      </c>
      <c r="H331" s="2" t="s">
        <v>429</v>
      </c>
      <c r="I331" s="2">
        <f>VLOOKUP(H331,[1]Customers!$A:$B,2,FALSE)</f>
        <v>2616</v>
      </c>
      <c r="J331" s="2">
        <v>45659</v>
      </c>
      <c r="K331" s="2" t="s">
        <v>430</v>
      </c>
      <c r="L331" s="2">
        <v>93.11</v>
      </c>
      <c r="N331" s="3" t="s">
        <v>19</v>
      </c>
    </row>
    <row r="332" spans="1:14" ht="15" customHeight="1" x14ac:dyDescent="0.35">
      <c r="A332" s="2" t="s">
        <v>431</v>
      </c>
      <c r="B332" s="2">
        <v>166</v>
      </c>
      <c r="C332" s="2" t="s">
        <v>16</v>
      </c>
      <c r="D332" s="2">
        <v>968</v>
      </c>
      <c r="E332" s="2">
        <v>20020</v>
      </c>
      <c r="G332" s="2">
        <v>358</v>
      </c>
      <c r="H332" s="2" t="s">
        <v>432</v>
      </c>
      <c r="I332" s="2">
        <f>VLOOKUP(H332,[1]Customers!$A:$B,2,FALSE)</f>
        <v>2300</v>
      </c>
      <c r="J332" s="2">
        <v>45747</v>
      </c>
      <c r="K332" s="2" t="s">
        <v>433</v>
      </c>
      <c r="M332" s="2">
        <v>0.06</v>
      </c>
      <c r="N332" s="3" t="s">
        <v>19</v>
      </c>
    </row>
    <row r="333" spans="1:14" x14ac:dyDescent="0.35">
      <c r="A333" s="2" t="s">
        <v>431</v>
      </c>
      <c r="B333" s="2">
        <v>166.5</v>
      </c>
      <c r="C333" s="2" t="s">
        <v>20</v>
      </c>
      <c r="D333" s="2">
        <v>616</v>
      </c>
      <c r="E333" s="2">
        <v>20020</v>
      </c>
      <c r="F333" s="2">
        <v>616</v>
      </c>
      <c r="G333" s="2">
        <v>358</v>
      </c>
      <c r="H333" s="2" t="s">
        <v>432</v>
      </c>
      <c r="I333" s="2">
        <f>VLOOKUP(H333,[1]Customers!$A:$B,2,FALSE)</f>
        <v>2300</v>
      </c>
      <c r="J333" s="2">
        <v>45747</v>
      </c>
      <c r="K333" s="2" t="s">
        <v>433</v>
      </c>
      <c r="L333" s="2">
        <v>0.06</v>
      </c>
      <c r="N333" s="3" t="s">
        <v>19</v>
      </c>
    </row>
    <row r="334" spans="1:14" x14ac:dyDescent="0.35">
      <c r="A334" s="2" t="s">
        <v>434</v>
      </c>
      <c r="B334" s="2">
        <v>167</v>
      </c>
      <c r="C334" s="2" t="s">
        <v>16</v>
      </c>
      <c r="D334" s="2">
        <v>968</v>
      </c>
      <c r="E334" s="2">
        <v>20020</v>
      </c>
      <c r="G334" s="2">
        <v>298</v>
      </c>
      <c r="H334" s="2" t="s">
        <v>435</v>
      </c>
      <c r="I334" s="2">
        <f>VLOOKUP(H334,[1]Customers!$A:$B,2,FALSE)</f>
        <v>575</v>
      </c>
      <c r="J334" s="2">
        <v>45807</v>
      </c>
      <c r="K334" s="2" t="s">
        <v>436</v>
      </c>
      <c r="M334" s="2">
        <v>1748.8</v>
      </c>
      <c r="N334" s="3" t="s">
        <v>19</v>
      </c>
    </row>
    <row r="335" spans="1:14" x14ac:dyDescent="0.35">
      <c r="A335" s="2" t="s">
        <v>434</v>
      </c>
      <c r="B335" s="2">
        <v>167.5</v>
      </c>
      <c r="C335" s="2" t="s">
        <v>20</v>
      </c>
      <c r="D335" s="2">
        <v>616</v>
      </c>
      <c r="E335" s="2">
        <v>20020</v>
      </c>
      <c r="F335" s="2">
        <v>616</v>
      </c>
      <c r="G335" s="2">
        <v>298</v>
      </c>
      <c r="H335" s="2" t="s">
        <v>435</v>
      </c>
      <c r="I335" s="2">
        <f>VLOOKUP(H335,[1]Customers!$A:$B,2,FALSE)</f>
        <v>575</v>
      </c>
      <c r="J335" s="2">
        <v>45807</v>
      </c>
      <c r="K335" s="2" t="s">
        <v>436</v>
      </c>
      <c r="L335" s="2">
        <v>1748.8</v>
      </c>
      <c r="N335" s="3" t="s">
        <v>19</v>
      </c>
    </row>
    <row r="336" spans="1:14" x14ac:dyDescent="0.35">
      <c r="A336" s="2" t="s">
        <v>437</v>
      </c>
      <c r="B336" s="2">
        <v>168</v>
      </c>
      <c r="C336" s="2" t="s">
        <v>16</v>
      </c>
      <c r="D336" s="2">
        <v>968</v>
      </c>
      <c r="E336" s="2">
        <v>20020</v>
      </c>
      <c r="G336" s="2">
        <v>281</v>
      </c>
      <c r="H336" s="2" t="s">
        <v>435</v>
      </c>
      <c r="I336" s="2">
        <f>VLOOKUP(H336,[1]Customers!$A:$B,2,FALSE)</f>
        <v>575</v>
      </c>
      <c r="J336" s="2">
        <v>45824</v>
      </c>
      <c r="K336" s="2" t="s">
        <v>438</v>
      </c>
      <c r="M336" s="2">
        <v>6687.31</v>
      </c>
      <c r="N336" s="3" t="s">
        <v>19</v>
      </c>
    </row>
    <row r="337" spans="1:15" x14ac:dyDescent="0.35">
      <c r="A337" s="2" t="s">
        <v>437</v>
      </c>
      <c r="B337" s="2">
        <v>168.5</v>
      </c>
      <c r="C337" s="2" t="s">
        <v>20</v>
      </c>
      <c r="D337" s="2">
        <v>616</v>
      </c>
      <c r="E337" s="2">
        <v>20020</v>
      </c>
      <c r="F337" s="2">
        <v>616</v>
      </c>
      <c r="G337" s="2">
        <v>281</v>
      </c>
      <c r="H337" s="2" t="s">
        <v>435</v>
      </c>
      <c r="I337" s="2">
        <f>VLOOKUP(H337,[1]Customers!$A:$B,2,FALSE)</f>
        <v>575</v>
      </c>
      <c r="J337" s="2">
        <v>45824</v>
      </c>
      <c r="K337" s="2" t="s">
        <v>438</v>
      </c>
      <c r="L337" s="2">
        <v>6687.31</v>
      </c>
      <c r="N337" s="3" t="s">
        <v>19</v>
      </c>
    </row>
    <row r="338" spans="1:15" x14ac:dyDescent="0.35">
      <c r="A338" s="2" t="s">
        <v>439</v>
      </c>
      <c r="B338" s="2">
        <v>169</v>
      </c>
      <c r="C338" s="2" t="s">
        <v>16</v>
      </c>
      <c r="D338" s="2">
        <v>968</v>
      </c>
      <c r="E338" s="2">
        <v>20020</v>
      </c>
      <c r="G338" s="2">
        <v>277</v>
      </c>
      <c r="H338" s="2" t="s">
        <v>435</v>
      </c>
      <c r="I338" s="2">
        <f>VLOOKUP(H338,[1]Customers!$A:$B,2,FALSE)</f>
        <v>575</v>
      </c>
      <c r="J338" s="2">
        <v>45828</v>
      </c>
      <c r="K338" s="2" t="s">
        <v>440</v>
      </c>
      <c r="M338" s="2">
        <v>6687.31</v>
      </c>
      <c r="N338" s="3" t="s">
        <v>19</v>
      </c>
    </row>
    <row r="339" spans="1:15" x14ac:dyDescent="0.35">
      <c r="A339" s="2" t="s">
        <v>439</v>
      </c>
      <c r="B339" s="2">
        <v>169.5</v>
      </c>
      <c r="C339" s="2" t="s">
        <v>20</v>
      </c>
      <c r="D339" s="2">
        <v>616</v>
      </c>
      <c r="E339" s="2">
        <v>20020</v>
      </c>
      <c r="F339" s="2">
        <v>616</v>
      </c>
      <c r="G339" s="2">
        <v>277</v>
      </c>
      <c r="H339" s="2" t="s">
        <v>435</v>
      </c>
      <c r="I339" s="2">
        <f>VLOOKUP(H339,[1]Customers!$A:$B,2,FALSE)</f>
        <v>575</v>
      </c>
      <c r="J339" s="2">
        <v>45828</v>
      </c>
      <c r="K339" s="2" t="s">
        <v>440</v>
      </c>
      <c r="L339" s="2">
        <v>6687.31</v>
      </c>
      <c r="N339" s="3" t="s">
        <v>19</v>
      </c>
    </row>
    <row r="340" spans="1:15" x14ac:dyDescent="0.35">
      <c r="A340" s="2" t="s">
        <v>441</v>
      </c>
      <c r="B340" s="2">
        <v>170</v>
      </c>
      <c r="C340" s="2" t="s">
        <v>16</v>
      </c>
      <c r="D340" s="2">
        <v>968</v>
      </c>
      <c r="E340" s="2">
        <v>20020</v>
      </c>
      <c r="G340" s="2">
        <v>306</v>
      </c>
      <c r="H340" s="2" t="s">
        <v>442</v>
      </c>
      <c r="I340" s="2">
        <f>VLOOKUP(H340,[1]Customers!$A:$B,2,FALSE)</f>
        <v>2473</v>
      </c>
      <c r="J340" s="2">
        <v>45799</v>
      </c>
      <c r="K340" s="2" t="s">
        <v>443</v>
      </c>
      <c r="M340" s="2">
        <v>251930.03</v>
      </c>
      <c r="N340" s="3" t="s">
        <v>19</v>
      </c>
    </row>
    <row r="341" spans="1:15" x14ac:dyDescent="0.35">
      <c r="A341" s="2" t="s">
        <v>441</v>
      </c>
      <c r="B341" s="2">
        <v>170.5</v>
      </c>
      <c r="C341" s="2" t="s">
        <v>20</v>
      </c>
      <c r="D341" s="2">
        <v>616</v>
      </c>
      <c r="E341" s="2">
        <v>20020</v>
      </c>
      <c r="F341" s="2">
        <v>616</v>
      </c>
      <c r="G341" s="2">
        <v>306</v>
      </c>
      <c r="H341" s="2" t="s">
        <v>442</v>
      </c>
      <c r="I341" s="2">
        <f>VLOOKUP(H341,[1]Customers!$A:$B,2,FALSE)</f>
        <v>2473</v>
      </c>
      <c r="J341" s="2">
        <v>45799</v>
      </c>
      <c r="K341" s="2" t="s">
        <v>443</v>
      </c>
      <c r="L341" s="2">
        <v>251930.03</v>
      </c>
      <c r="N341" s="3" t="s">
        <v>19</v>
      </c>
    </row>
    <row r="342" spans="1:15" x14ac:dyDescent="0.35">
      <c r="A342" s="2" t="s">
        <v>444</v>
      </c>
      <c r="B342" s="2">
        <v>171</v>
      </c>
      <c r="C342" s="2" t="s">
        <v>16</v>
      </c>
      <c r="D342" s="2">
        <v>968</v>
      </c>
      <c r="E342" s="2">
        <v>20020</v>
      </c>
      <c r="G342" s="2">
        <v>372</v>
      </c>
      <c r="H342" s="2" t="s">
        <v>445</v>
      </c>
      <c r="I342" s="2">
        <f>VLOOKUP(H342,[1]Customers!$A:$B,2,FALSE)</f>
        <v>577</v>
      </c>
      <c r="J342" s="2">
        <v>45733</v>
      </c>
      <c r="K342" s="2" t="s">
        <v>446</v>
      </c>
      <c r="M342" s="2">
        <v>100.02</v>
      </c>
      <c r="N342" s="3" t="s">
        <v>19</v>
      </c>
    </row>
    <row r="343" spans="1:15" x14ac:dyDescent="0.35">
      <c r="A343" s="2" t="s">
        <v>444</v>
      </c>
      <c r="B343" s="2">
        <v>171.5</v>
      </c>
      <c r="C343" s="2" t="s">
        <v>20</v>
      </c>
      <c r="D343" s="2">
        <v>616</v>
      </c>
      <c r="E343" s="2">
        <v>20020</v>
      </c>
      <c r="F343" s="2">
        <v>616</v>
      </c>
      <c r="G343" s="2">
        <v>372</v>
      </c>
      <c r="H343" s="2" t="s">
        <v>445</v>
      </c>
      <c r="I343" s="2">
        <f>VLOOKUP(H343,[1]Customers!$A:$B,2,FALSE)</f>
        <v>577</v>
      </c>
      <c r="J343" s="2">
        <v>45733</v>
      </c>
      <c r="K343" s="2" t="s">
        <v>446</v>
      </c>
      <c r="L343" s="2">
        <v>100.02</v>
      </c>
      <c r="N343" s="3" t="s">
        <v>19</v>
      </c>
    </row>
    <row r="344" spans="1:15" x14ac:dyDescent="0.35">
      <c r="A344" s="2" t="s">
        <v>447</v>
      </c>
      <c r="B344" s="2">
        <v>172</v>
      </c>
      <c r="C344" s="2" t="s">
        <v>16</v>
      </c>
      <c r="D344" s="2">
        <v>968</v>
      </c>
      <c r="E344" s="2">
        <v>20020</v>
      </c>
      <c r="G344" s="2">
        <v>413</v>
      </c>
      <c r="H344" s="4" t="s">
        <v>448</v>
      </c>
      <c r="I344" s="2">
        <f>VLOOKUP(H344,[1]Customers!$A:$B,2,FALSE)</f>
        <v>1585</v>
      </c>
      <c r="J344" s="2">
        <v>45692</v>
      </c>
      <c r="M344" s="2">
        <v>448182.42</v>
      </c>
      <c r="N344" s="3" t="s">
        <v>19</v>
      </c>
      <c r="O344" s="2" t="s">
        <v>449</v>
      </c>
    </row>
    <row r="345" spans="1:15" x14ac:dyDescent="0.35">
      <c r="A345" s="2" t="s">
        <v>447</v>
      </c>
      <c r="B345" s="2">
        <v>172.5</v>
      </c>
      <c r="C345" s="2" t="s">
        <v>20</v>
      </c>
      <c r="D345" s="2">
        <v>616</v>
      </c>
      <c r="E345" s="2">
        <v>20020</v>
      </c>
      <c r="F345" s="2">
        <v>616</v>
      </c>
      <c r="G345" s="2">
        <v>413</v>
      </c>
      <c r="H345" s="4" t="s">
        <v>448</v>
      </c>
      <c r="I345" s="2">
        <f>VLOOKUP(H345,[1]Customers!$A:$B,2,FALSE)</f>
        <v>1585</v>
      </c>
      <c r="J345" s="2">
        <v>45692</v>
      </c>
      <c r="L345" s="2">
        <v>448182.42</v>
      </c>
      <c r="N345" s="3" t="s">
        <v>19</v>
      </c>
      <c r="O345" s="2" t="s">
        <v>449</v>
      </c>
    </row>
    <row r="346" spans="1:15" x14ac:dyDescent="0.35">
      <c r="A346" s="2" t="s">
        <v>450</v>
      </c>
      <c r="B346" s="2">
        <v>173</v>
      </c>
      <c r="C346" s="2" t="s">
        <v>16</v>
      </c>
      <c r="D346" s="2">
        <v>968</v>
      </c>
      <c r="E346" s="2">
        <v>20020</v>
      </c>
      <c r="G346" s="2">
        <v>378</v>
      </c>
      <c r="H346" s="2" t="s">
        <v>451</v>
      </c>
      <c r="I346" s="2">
        <f>VLOOKUP(H346,[1]Customers!$A:$B,2,FALSE)</f>
        <v>3354</v>
      </c>
      <c r="J346" s="2">
        <v>45727</v>
      </c>
      <c r="K346" s="2" t="s">
        <v>452</v>
      </c>
      <c r="M346" s="2">
        <v>10772.6</v>
      </c>
      <c r="N346" s="3" t="s">
        <v>19</v>
      </c>
    </row>
    <row r="347" spans="1:15" x14ac:dyDescent="0.35">
      <c r="A347" s="2" t="s">
        <v>450</v>
      </c>
      <c r="B347" s="2">
        <v>173.5</v>
      </c>
      <c r="C347" s="2" t="s">
        <v>20</v>
      </c>
      <c r="D347" s="2">
        <v>616</v>
      </c>
      <c r="E347" s="2">
        <v>20020</v>
      </c>
      <c r="F347" s="2">
        <v>616</v>
      </c>
      <c r="G347" s="2">
        <v>378</v>
      </c>
      <c r="H347" s="2" t="s">
        <v>451</v>
      </c>
      <c r="I347" s="2">
        <f>VLOOKUP(H347,[1]Customers!$A:$B,2,FALSE)</f>
        <v>3354</v>
      </c>
      <c r="J347" s="2">
        <v>45727</v>
      </c>
      <c r="K347" s="2" t="s">
        <v>452</v>
      </c>
      <c r="L347" s="2">
        <v>10772.6</v>
      </c>
      <c r="N347" s="3" t="s">
        <v>19</v>
      </c>
    </row>
    <row r="348" spans="1:15" x14ac:dyDescent="0.35">
      <c r="A348" s="2" t="s">
        <v>453</v>
      </c>
      <c r="B348" s="2">
        <v>174</v>
      </c>
      <c r="C348" s="2" t="s">
        <v>16</v>
      </c>
      <c r="D348" s="2">
        <v>968</v>
      </c>
      <c r="E348" s="2">
        <v>20020</v>
      </c>
      <c r="G348" s="2">
        <v>425</v>
      </c>
      <c r="H348" s="2" t="s">
        <v>451</v>
      </c>
      <c r="I348" s="2">
        <f>VLOOKUP(H348,[1]Customers!$A:$B,2,FALSE)</f>
        <v>3354</v>
      </c>
      <c r="J348" s="2">
        <v>45680</v>
      </c>
      <c r="K348" s="2" t="s">
        <v>454</v>
      </c>
      <c r="M348" s="2">
        <v>8164.05</v>
      </c>
      <c r="N348" s="3" t="s">
        <v>19</v>
      </c>
    </row>
    <row r="349" spans="1:15" x14ac:dyDescent="0.35">
      <c r="A349" s="2" t="s">
        <v>453</v>
      </c>
      <c r="B349" s="2">
        <v>174.5</v>
      </c>
      <c r="C349" s="2" t="s">
        <v>20</v>
      </c>
      <c r="D349" s="2">
        <v>616</v>
      </c>
      <c r="E349" s="2">
        <v>20020</v>
      </c>
      <c r="F349" s="2">
        <v>616</v>
      </c>
      <c r="G349" s="2">
        <v>425</v>
      </c>
      <c r="H349" s="2" t="s">
        <v>451</v>
      </c>
      <c r="I349" s="2">
        <f>VLOOKUP(H349,[1]Customers!$A:$B,2,FALSE)</f>
        <v>3354</v>
      </c>
      <c r="J349" s="2">
        <v>45680</v>
      </c>
      <c r="K349" s="2" t="s">
        <v>454</v>
      </c>
      <c r="L349" s="2">
        <v>8164.05</v>
      </c>
      <c r="N349" s="3" t="s">
        <v>19</v>
      </c>
    </row>
    <row r="350" spans="1:15" x14ac:dyDescent="0.35">
      <c r="A350" s="2" t="s">
        <v>455</v>
      </c>
      <c r="B350" s="2">
        <v>175</v>
      </c>
      <c r="C350" s="2" t="s">
        <v>16</v>
      </c>
      <c r="D350" s="2">
        <v>968</v>
      </c>
      <c r="E350" s="2">
        <v>20020</v>
      </c>
      <c r="G350" s="2">
        <v>343</v>
      </c>
      <c r="H350" s="2" t="s">
        <v>456</v>
      </c>
      <c r="I350" s="2">
        <f>VLOOKUP(H350,[1]Customers!$A:$B,2,FALSE)</f>
        <v>580</v>
      </c>
      <c r="J350" s="2">
        <v>45762</v>
      </c>
      <c r="K350" s="2" t="s">
        <v>457</v>
      </c>
      <c r="M350" s="2">
        <v>1950</v>
      </c>
      <c r="N350" s="3" t="s">
        <v>19</v>
      </c>
    </row>
    <row r="351" spans="1:15" x14ac:dyDescent="0.35">
      <c r="A351" s="2" t="s">
        <v>455</v>
      </c>
      <c r="B351" s="2">
        <v>175.5</v>
      </c>
      <c r="C351" s="2" t="s">
        <v>20</v>
      </c>
      <c r="D351" s="2">
        <v>616</v>
      </c>
      <c r="E351" s="2">
        <v>20020</v>
      </c>
      <c r="F351" s="2">
        <v>616</v>
      </c>
      <c r="G351" s="2">
        <v>343</v>
      </c>
      <c r="H351" s="2" t="s">
        <v>456</v>
      </c>
      <c r="I351" s="2">
        <f>VLOOKUP(H351,[1]Customers!$A:$B,2,FALSE)</f>
        <v>580</v>
      </c>
      <c r="J351" s="2">
        <v>45762</v>
      </c>
      <c r="K351" s="2" t="s">
        <v>457</v>
      </c>
      <c r="L351" s="2">
        <v>1950</v>
      </c>
      <c r="N351" s="3" t="s">
        <v>19</v>
      </c>
    </row>
    <row r="352" spans="1:15" x14ac:dyDescent="0.35">
      <c r="A352" s="2" t="s">
        <v>458</v>
      </c>
      <c r="B352" s="2">
        <v>176</v>
      </c>
      <c r="C352" s="2" t="s">
        <v>16</v>
      </c>
      <c r="D352" s="2">
        <v>968</v>
      </c>
      <c r="E352" s="2">
        <v>20020</v>
      </c>
      <c r="G352" s="2">
        <v>342</v>
      </c>
      <c r="H352" s="2" t="s">
        <v>456</v>
      </c>
      <c r="I352" s="2">
        <f>VLOOKUP(H352,[1]Customers!$A:$B,2,FALSE)</f>
        <v>580</v>
      </c>
      <c r="J352" s="2">
        <v>45763</v>
      </c>
      <c r="K352" s="2" t="s">
        <v>459</v>
      </c>
      <c r="M352" s="2">
        <v>1950</v>
      </c>
      <c r="N352" s="3" t="s">
        <v>19</v>
      </c>
    </row>
    <row r="353" spans="1:15" x14ac:dyDescent="0.35">
      <c r="A353" s="2" t="s">
        <v>458</v>
      </c>
      <c r="B353" s="2">
        <v>176.5</v>
      </c>
      <c r="C353" s="2" t="s">
        <v>20</v>
      </c>
      <c r="D353" s="2">
        <v>616</v>
      </c>
      <c r="E353" s="2">
        <v>20020</v>
      </c>
      <c r="F353" s="2">
        <v>616</v>
      </c>
      <c r="G353" s="2">
        <v>342</v>
      </c>
      <c r="H353" s="2" t="s">
        <v>456</v>
      </c>
      <c r="I353" s="2">
        <f>VLOOKUP(H353,[1]Customers!$A:$B,2,FALSE)</f>
        <v>580</v>
      </c>
      <c r="J353" s="2">
        <v>45763</v>
      </c>
      <c r="K353" s="2" t="s">
        <v>459</v>
      </c>
      <c r="L353" s="2">
        <v>1950</v>
      </c>
      <c r="N353" s="3" t="s">
        <v>19</v>
      </c>
    </row>
    <row r="354" spans="1:15" x14ac:dyDescent="0.35">
      <c r="A354" s="2" t="s">
        <v>460</v>
      </c>
      <c r="B354" s="2">
        <v>177</v>
      </c>
      <c r="C354" s="2" t="s">
        <v>16</v>
      </c>
      <c r="D354" s="2">
        <v>968</v>
      </c>
      <c r="E354" s="2">
        <v>20020</v>
      </c>
      <c r="G354" s="2">
        <v>279</v>
      </c>
      <c r="H354" s="2" t="s">
        <v>456</v>
      </c>
      <c r="I354" s="2">
        <f>VLOOKUP(H354,[1]Customers!$A:$B,2,FALSE)</f>
        <v>580</v>
      </c>
      <c r="J354" s="2">
        <v>45826</v>
      </c>
      <c r="M354" s="2">
        <v>2677.89</v>
      </c>
      <c r="N354" s="3" t="s">
        <v>19</v>
      </c>
      <c r="O354" s="2" t="s">
        <v>461</v>
      </c>
    </row>
    <row r="355" spans="1:15" x14ac:dyDescent="0.35">
      <c r="A355" s="2" t="s">
        <v>460</v>
      </c>
      <c r="B355" s="2">
        <v>177.5</v>
      </c>
      <c r="C355" s="2" t="s">
        <v>20</v>
      </c>
      <c r="D355" s="2">
        <v>616</v>
      </c>
      <c r="E355" s="2">
        <v>20020</v>
      </c>
      <c r="F355" s="2">
        <v>616</v>
      </c>
      <c r="G355" s="2">
        <v>279</v>
      </c>
      <c r="H355" s="2" t="s">
        <v>456</v>
      </c>
      <c r="I355" s="2">
        <f>VLOOKUP(H355,[1]Customers!$A:$B,2,FALSE)</f>
        <v>580</v>
      </c>
      <c r="J355" s="2">
        <v>45826</v>
      </c>
      <c r="L355" s="2">
        <v>2677.89</v>
      </c>
      <c r="N355" s="3" t="s">
        <v>19</v>
      </c>
      <c r="O355" s="2" t="s">
        <v>461</v>
      </c>
    </row>
    <row r="356" spans="1:15" x14ac:dyDescent="0.35">
      <c r="A356" s="2" t="s">
        <v>462</v>
      </c>
      <c r="B356" s="2">
        <v>178</v>
      </c>
      <c r="C356" s="2" t="s">
        <v>16</v>
      </c>
      <c r="D356" s="2">
        <v>968</v>
      </c>
      <c r="E356" s="2">
        <v>20020</v>
      </c>
      <c r="G356" s="2">
        <v>608</v>
      </c>
      <c r="H356" s="2" t="s">
        <v>463</v>
      </c>
      <c r="I356" s="2">
        <f>VLOOKUP(H356,[1]Customers!$A:$B,2,FALSE)</f>
        <v>3542</v>
      </c>
      <c r="J356" s="2">
        <v>45497</v>
      </c>
      <c r="K356" s="2" t="s">
        <v>464</v>
      </c>
      <c r="M356" s="2">
        <v>386.49</v>
      </c>
      <c r="N356" s="3" t="s">
        <v>19</v>
      </c>
    </row>
    <row r="357" spans="1:15" x14ac:dyDescent="0.35">
      <c r="A357" s="2" t="s">
        <v>462</v>
      </c>
      <c r="B357" s="2">
        <v>178.5</v>
      </c>
      <c r="C357" s="2" t="s">
        <v>20</v>
      </c>
      <c r="D357" s="2">
        <v>616</v>
      </c>
      <c r="E357" s="2">
        <v>20020</v>
      </c>
      <c r="F357" s="2">
        <v>616</v>
      </c>
      <c r="G357" s="2">
        <v>608</v>
      </c>
      <c r="H357" s="2" t="s">
        <v>463</v>
      </c>
      <c r="I357" s="2">
        <f>VLOOKUP(H357,[1]Customers!$A:$B,2,FALSE)</f>
        <v>3542</v>
      </c>
      <c r="J357" s="2">
        <v>45497</v>
      </c>
      <c r="K357" s="2" t="s">
        <v>464</v>
      </c>
      <c r="L357" s="2">
        <v>386.49</v>
      </c>
      <c r="N357" s="3" t="s">
        <v>19</v>
      </c>
    </row>
    <row r="358" spans="1:15" x14ac:dyDescent="0.35">
      <c r="A358" s="2" t="s">
        <v>465</v>
      </c>
      <c r="B358" s="2">
        <v>179</v>
      </c>
      <c r="C358" s="2" t="s">
        <v>16</v>
      </c>
      <c r="D358" s="2">
        <v>968</v>
      </c>
      <c r="E358" s="2">
        <v>20020</v>
      </c>
      <c r="G358" s="2">
        <v>490</v>
      </c>
      <c r="H358" s="2" t="s">
        <v>466</v>
      </c>
      <c r="I358" s="2">
        <v>3674</v>
      </c>
      <c r="J358" s="2">
        <v>45615</v>
      </c>
      <c r="K358" s="2" t="s">
        <v>467</v>
      </c>
      <c r="M358" s="2">
        <v>-2149.59</v>
      </c>
      <c r="N358" s="3" t="s">
        <v>19</v>
      </c>
    </row>
    <row r="359" spans="1:15" ht="14.5" customHeight="1" x14ac:dyDescent="0.35">
      <c r="A359" s="2" t="s">
        <v>465</v>
      </c>
      <c r="B359" s="2">
        <v>179.5</v>
      </c>
      <c r="C359" s="2" t="s">
        <v>20</v>
      </c>
      <c r="D359" s="2">
        <v>616</v>
      </c>
      <c r="E359" s="2">
        <v>20020</v>
      </c>
      <c r="F359" s="2">
        <v>616</v>
      </c>
      <c r="G359" s="2">
        <v>490</v>
      </c>
      <c r="H359" s="2" t="s">
        <v>466</v>
      </c>
      <c r="I359" s="2">
        <v>3674</v>
      </c>
      <c r="J359" s="2">
        <v>45615</v>
      </c>
      <c r="K359" s="2" t="s">
        <v>467</v>
      </c>
      <c r="L359" s="2">
        <v>-2149.59</v>
      </c>
      <c r="N359" s="3" t="s">
        <v>19</v>
      </c>
    </row>
    <row r="360" spans="1:15" x14ac:dyDescent="0.35">
      <c r="A360" s="2" t="s">
        <v>468</v>
      </c>
      <c r="B360" s="2">
        <v>180</v>
      </c>
      <c r="C360" s="2" t="s">
        <v>16</v>
      </c>
      <c r="D360" s="2">
        <v>968</v>
      </c>
      <c r="E360" s="2">
        <v>20020</v>
      </c>
      <c r="G360" s="2">
        <v>509</v>
      </c>
      <c r="H360" s="2" t="s">
        <v>466</v>
      </c>
      <c r="I360" s="2">
        <v>3674</v>
      </c>
      <c r="J360" s="2">
        <v>45596</v>
      </c>
      <c r="K360" s="2" t="s">
        <v>467</v>
      </c>
      <c r="M360" s="2">
        <v>2149.59</v>
      </c>
      <c r="N360" s="3" t="s">
        <v>19</v>
      </c>
    </row>
    <row r="361" spans="1:15" x14ac:dyDescent="0.35">
      <c r="A361" s="2" t="s">
        <v>468</v>
      </c>
      <c r="B361" s="2">
        <v>180.5</v>
      </c>
      <c r="C361" s="2" t="s">
        <v>20</v>
      </c>
      <c r="D361" s="2">
        <v>616</v>
      </c>
      <c r="E361" s="2">
        <v>20020</v>
      </c>
      <c r="F361" s="2">
        <v>616</v>
      </c>
      <c r="G361" s="2">
        <v>509</v>
      </c>
      <c r="H361" s="2" t="s">
        <v>466</v>
      </c>
      <c r="I361" s="2">
        <v>3674</v>
      </c>
      <c r="J361" s="2">
        <v>45596</v>
      </c>
      <c r="K361" s="2" t="s">
        <v>467</v>
      </c>
      <c r="L361" s="2">
        <v>2149.59</v>
      </c>
      <c r="N361" s="3" t="s">
        <v>19</v>
      </c>
    </row>
    <row r="362" spans="1:15" x14ac:dyDescent="0.35">
      <c r="A362" s="2" t="s">
        <v>469</v>
      </c>
      <c r="B362" s="2">
        <v>181</v>
      </c>
      <c r="C362" s="2" t="s">
        <v>16</v>
      </c>
      <c r="D362" s="2">
        <v>968</v>
      </c>
      <c r="E362" s="2">
        <v>20020</v>
      </c>
      <c r="G362" s="2">
        <v>585</v>
      </c>
      <c r="H362" s="2" t="s">
        <v>470</v>
      </c>
      <c r="I362" s="2">
        <f>VLOOKUP(H362,[1]Customers!$A:$B,2,FALSE)</f>
        <v>583</v>
      </c>
      <c r="J362" s="2">
        <v>45520</v>
      </c>
      <c r="K362" s="2" t="s">
        <v>471</v>
      </c>
      <c r="M362" s="2">
        <v>1415.3</v>
      </c>
      <c r="N362" s="3" t="s">
        <v>19</v>
      </c>
      <c r="O362" s="2">
        <v>6011</v>
      </c>
    </row>
    <row r="363" spans="1:15" x14ac:dyDescent="0.35">
      <c r="A363" s="2" t="s">
        <v>469</v>
      </c>
      <c r="B363" s="2">
        <v>181.5</v>
      </c>
      <c r="C363" s="2" t="s">
        <v>20</v>
      </c>
      <c r="D363" s="2">
        <v>616</v>
      </c>
      <c r="E363" s="2">
        <v>20020</v>
      </c>
      <c r="F363" s="2">
        <v>616</v>
      </c>
      <c r="G363" s="2">
        <v>585</v>
      </c>
      <c r="H363" s="2" t="s">
        <v>470</v>
      </c>
      <c r="I363" s="2">
        <f>VLOOKUP(H363,[1]Customers!$A:$B,2,FALSE)</f>
        <v>583</v>
      </c>
      <c r="J363" s="2">
        <v>45520</v>
      </c>
      <c r="K363" s="2" t="s">
        <v>471</v>
      </c>
      <c r="L363" s="2">
        <v>1415.3</v>
      </c>
      <c r="N363" s="3" t="s">
        <v>19</v>
      </c>
      <c r="O363" s="2">
        <v>6011</v>
      </c>
    </row>
    <row r="364" spans="1:15" x14ac:dyDescent="0.35">
      <c r="A364" s="2" t="s">
        <v>472</v>
      </c>
      <c r="B364" s="2">
        <v>182</v>
      </c>
      <c r="C364" s="2" t="s">
        <v>16</v>
      </c>
      <c r="D364" s="2">
        <v>968</v>
      </c>
      <c r="E364" s="2">
        <v>20020</v>
      </c>
      <c r="G364" s="2">
        <v>643</v>
      </c>
      <c r="H364" s="2" t="s">
        <v>470</v>
      </c>
      <c r="I364" s="2">
        <f>VLOOKUP(H364,[1]Customers!$A:$B,2,FALSE)</f>
        <v>583</v>
      </c>
      <c r="J364" s="2">
        <v>45462</v>
      </c>
      <c r="K364" s="2" t="s">
        <v>473</v>
      </c>
      <c r="M364" s="2">
        <v>-1055.98</v>
      </c>
      <c r="N364" s="3" t="s">
        <v>19</v>
      </c>
      <c r="O364" s="2">
        <v>36163</v>
      </c>
    </row>
    <row r="365" spans="1:15" x14ac:dyDescent="0.35">
      <c r="A365" s="2" t="s">
        <v>472</v>
      </c>
      <c r="B365" s="2">
        <v>182.5</v>
      </c>
      <c r="C365" s="2" t="s">
        <v>20</v>
      </c>
      <c r="D365" s="2">
        <v>616</v>
      </c>
      <c r="E365" s="2">
        <v>20020</v>
      </c>
      <c r="F365" s="2">
        <v>616</v>
      </c>
      <c r="G365" s="2">
        <v>643</v>
      </c>
      <c r="H365" s="2" t="s">
        <v>470</v>
      </c>
      <c r="I365" s="2">
        <f>VLOOKUP(H365,[1]Customers!$A:$B,2,FALSE)</f>
        <v>583</v>
      </c>
      <c r="J365" s="2">
        <v>45462</v>
      </c>
      <c r="K365" s="2" t="s">
        <v>473</v>
      </c>
      <c r="L365" s="2">
        <v>-1055.98</v>
      </c>
      <c r="N365" s="3" t="s">
        <v>19</v>
      </c>
      <c r="O365" s="2">
        <v>36163</v>
      </c>
    </row>
    <row r="366" spans="1:15" x14ac:dyDescent="0.35">
      <c r="A366" s="2" t="s">
        <v>474</v>
      </c>
      <c r="B366" s="2">
        <v>183</v>
      </c>
      <c r="C366" s="2" t="s">
        <v>16</v>
      </c>
      <c r="D366" s="2">
        <v>968</v>
      </c>
      <c r="E366" s="2">
        <v>20020</v>
      </c>
      <c r="G366" s="2">
        <v>288</v>
      </c>
      <c r="H366" s="2" t="s">
        <v>475</v>
      </c>
      <c r="I366" s="2">
        <f>VLOOKUP(H366,[1]Customers!$A:$B,2,FALSE)</f>
        <v>2524</v>
      </c>
      <c r="J366" s="2">
        <v>45817</v>
      </c>
      <c r="K366" s="2" t="s">
        <v>476</v>
      </c>
      <c r="M366" s="2">
        <v>2055.21</v>
      </c>
      <c r="N366" s="3" t="s">
        <v>19</v>
      </c>
    </row>
    <row r="367" spans="1:15" x14ac:dyDescent="0.35">
      <c r="A367" s="2" t="s">
        <v>474</v>
      </c>
      <c r="B367" s="2">
        <v>183.5</v>
      </c>
      <c r="C367" s="2" t="s">
        <v>20</v>
      </c>
      <c r="D367" s="2">
        <v>616</v>
      </c>
      <c r="E367" s="2">
        <v>20020</v>
      </c>
      <c r="F367" s="2">
        <v>616</v>
      </c>
      <c r="G367" s="2">
        <v>288</v>
      </c>
      <c r="H367" s="2" t="s">
        <v>475</v>
      </c>
      <c r="I367" s="2">
        <f>VLOOKUP(H367,[1]Customers!$A:$B,2,FALSE)</f>
        <v>2524</v>
      </c>
      <c r="J367" s="2">
        <v>45817</v>
      </c>
      <c r="K367" s="2" t="s">
        <v>476</v>
      </c>
      <c r="L367" s="2">
        <v>2055.21</v>
      </c>
      <c r="N367" s="3" t="s">
        <v>19</v>
      </c>
    </row>
    <row r="368" spans="1:15" x14ac:dyDescent="0.35">
      <c r="A368" s="2" t="s">
        <v>477</v>
      </c>
      <c r="B368" s="2">
        <v>184</v>
      </c>
      <c r="C368" s="2" t="s">
        <v>16</v>
      </c>
      <c r="D368" s="2">
        <v>968</v>
      </c>
      <c r="E368" s="2">
        <v>20020</v>
      </c>
      <c r="G368" s="2">
        <v>875</v>
      </c>
      <c r="H368" s="2" t="s">
        <v>478</v>
      </c>
      <c r="I368" s="2">
        <f>VLOOKUP(H368,[1]Customers!$A:$B,2,FALSE)</f>
        <v>3355</v>
      </c>
      <c r="J368" s="2">
        <v>45230</v>
      </c>
      <c r="K368" s="2" t="s">
        <v>479</v>
      </c>
      <c r="M368" s="2">
        <v>605.76</v>
      </c>
      <c r="N368" s="3" t="s">
        <v>19</v>
      </c>
    </row>
    <row r="369" spans="1:15" x14ac:dyDescent="0.35">
      <c r="A369" s="2" t="s">
        <v>477</v>
      </c>
      <c r="B369" s="2">
        <v>184.5</v>
      </c>
      <c r="C369" s="2" t="s">
        <v>20</v>
      </c>
      <c r="D369" s="2">
        <v>616</v>
      </c>
      <c r="E369" s="2">
        <v>20020</v>
      </c>
      <c r="F369" s="2">
        <v>616</v>
      </c>
      <c r="G369" s="2">
        <v>875</v>
      </c>
      <c r="H369" s="2" t="s">
        <v>478</v>
      </c>
      <c r="I369" s="2">
        <f>VLOOKUP(H369,[1]Customers!$A:$B,2,FALSE)</f>
        <v>3355</v>
      </c>
      <c r="J369" s="2">
        <v>45230</v>
      </c>
      <c r="K369" s="2" t="s">
        <v>479</v>
      </c>
      <c r="L369" s="2">
        <v>605.76</v>
      </c>
      <c r="N369" s="3" t="s">
        <v>19</v>
      </c>
    </row>
    <row r="370" spans="1:15" x14ac:dyDescent="0.35">
      <c r="A370" s="2" t="s">
        <v>480</v>
      </c>
      <c r="B370" s="2">
        <v>185</v>
      </c>
      <c r="C370" s="2" t="s">
        <v>16</v>
      </c>
      <c r="D370" s="2">
        <v>968</v>
      </c>
      <c r="E370" s="2">
        <v>20020</v>
      </c>
      <c r="G370" s="2">
        <v>875</v>
      </c>
      <c r="H370" s="2" t="s">
        <v>478</v>
      </c>
      <c r="I370" s="2">
        <f>VLOOKUP(H370,[1]Customers!$A:$B,2,FALSE)</f>
        <v>3355</v>
      </c>
      <c r="J370" s="2">
        <v>45230</v>
      </c>
      <c r="K370" s="2" t="s">
        <v>481</v>
      </c>
      <c r="M370" s="2">
        <v>824.27</v>
      </c>
      <c r="N370" s="3" t="s">
        <v>19</v>
      </c>
    </row>
    <row r="371" spans="1:15" x14ac:dyDescent="0.35">
      <c r="A371" s="2" t="s">
        <v>480</v>
      </c>
      <c r="B371" s="2">
        <v>185.5</v>
      </c>
      <c r="C371" s="2" t="s">
        <v>20</v>
      </c>
      <c r="D371" s="2">
        <v>616</v>
      </c>
      <c r="E371" s="2">
        <v>20020</v>
      </c>
      <c r="F371" s="2">
        <v>616</v>
      </c>
      <c r="G371" s="2">
        <v>875</v>
      </c>
      <c r="H371" s="2" t="s">
        <v>478</v>
      </c>
      <c r="I371" s="2">
        <f>VLOOKUP(H371,[1]Customers!$A:$B,2,FALSE)</f>
        <v>3355</v>
      </c>
      <c r="J371" s="2">
        <v>45230</v>
      </c>
      <c r="K371" s="2" t="s">
        <v>481</v>
      </c>
      <c r="L371" s="2">
        <v>824.27</v>
      </c>
      <c r="N371" s="3" t="s">
        <v>19</v>
      </c>
    </row>
    <row r="372" spans="1:15" x14ac:dyDescent="0.35">
      <c r="A372" s="2" t="s">
        <v>482</v>
      </c>
      <c r="B372" s="2">
        <v>186</v>
      </c>
      <c r="C372" s="2" t="s">
        <v>16</v>
      </c>
      <c r="D372" s="2">
        <v>968</v>
      </c>
      <c r="E372" s="2">
        <v>20020</v>
      </c>
      <c r="G372" s="2">
        <v>762</v>
      </c>
      <c r="H372" s="2" t="s">
        <v>478</v>
      </c>
      <c r="I372" s="2">
        <f>VLOOKUP(H372,[1]Customers!$A:$B,2,FALSE)</f>
        <v>3355</v>
      </c>
      <c r="J372" s="2">
        <v>45343</v>
      </c>
      <c r="M372" s="2">
        <v>2105.7600000000002</v>
      </c>
      <c r="N372" s="3" t="s">
        <v>19</v>
      </c>
      <c r="O372" s="2">
        <v>35219</v>
      </c>
    </row>
    <row r="373" spans="1:15" x14ac:dyDescent="0.35">
      <c r="A373" s="2" t="s">
        <v>482</v>
      </c>
      <c r="B373" s="2">
        <v>186.5</v>
      </c>
      <c r="C373" s="2" t="s">
        <v>20</v>
      </c>
      <c r="D373" s="2">
        <v>616</v>
      </c>
      <c r="E373" s="2">
        <v>20020</v>
      </c>
      <c r="F373" s="2">
        <v>616</v>
      </c>
      <c r="G373" s="2">
        <v>762</v>
      </c>
      <c r="H373" s="2" t="s">
        <v>478</v>
      </c>
      <c r="I373" s="2">
        <f>VLOOKUP(H373,[1]Customers!$A:$B,2,FALSE)</f>
        <v>3355</v>
      </c>
      <c r="J373" s="2">
        <v>45343</v>
      </c>
      <c r="L373" s="2">
        <v>2105.7600000000002</v>
      </c>
      <c r="N373" s="3" t="s">
        <v>19</v>
      </c>
      <c r="O373" s="2">
        <v>35219</v>
      </c>
    </row>
    <row r="374" spans="1:15" x14ac:dyDescent="0.35">
      <c r="A374" s="2" t="s">
        <v>483</v>
      </c>
      <c r="B374" s="2">
        <v>187</v>
      </c>
      <c r="C374" s="2" t="s">
        <v>16</v>
      </c>
      <c r="D374" s="2">
        <v>968</v>
      </c>
      <c r="E374" s="2">
        <v>20020</v>
      </c>
      <c r="G374" s="2">
        <v>875</v>
      </c>
      <c r="H374" s="2" t="s">
        <v>478</v>
      </c>
      <c r="I374" s="2">
        <f>VLOOKUP(H374,[1]Customers!$A:$B,2,FALSE)</f>
        <v>3355</v>
      </c>
      <c r="J374" s="2">
        <v>45230</v>
      </c>
      <c r="K374" s="2" t="s">
        <v>484</v>
      </c>
      <c r="M374" s="2">
        <v>8123.69</v>
      </c>
      <c r="N374" s="3" t="s">
        <v>19</v>
      </c>
    </row>
    <row r="375" spans="1:15" x14ac:dyDescent="0.35">
      <c r="A375" s="2" t="s">
        <v>483</v>
      </c>
      <c r="B375" s="2">
        <v>187.5</v>
      </c>
      <c r="C375" s="2" t="s">
        <v>20</v>
      </c>
      <c r="D375" s="2">
        <v>616</v>
      </c>
      <c r="E375" s="2">
        <v>20020</v>
      </c>
      <c r="F375" s="2">
        <v>616</v>
      </c>
      <c r="G375" s="2">
        <v>875</v>
      </c>
      <c r="H375" s="2" t="s">
        <v>478</v>
      </c>
      <c r="I375" s="2">
        <f>VLOOKUP(H375,[1]Customers!$A:$B,2,FALSE)</f>
        <v>3355</v>
      </c>
      <c r="J375" s="2">
        <v>45230</v>
      </c>
      <c r="K375" s="2" t="s">
        <v>484</v>
      </c>
      <c r="L375" s="2">
        <v>8123.69</v>
      </c>
      <c r="N375" s="3" t="s">
        <v>19</v>
      </c>
    </row>
    <row r="376" spans="1:15" x14ac:dyDescent="0.35">
      <c r="A376" s="2" t="s">
        <v>485</v>
      </c>
      <c r="B376" s="2">
        <v>188</v>
      </c>
      <c r="C376" s="2" t="s">
        <v>16</v>
      </c>
      <c r="D376" s="2">
        <v>968</v>
      </c>
      <c r="E376" s="2">
        <v>20020</v>
      </c>
      <c r="G376" s="2">
        <v>875</v>
      </c>
      <c r="H376" s="2" t="s">
        <v>478</v>
      </c>
      <c r="I376" s="2">
        <f>VLOOKUP(H376,[1]Customers!$A:$B,2,FALSE)</f>
        <v>3355</v>
      </c>
      <c r="J376" s="2">
        <v>45230</v>
      </c>
      <c r="K376" s="2" t="s">
        <v>486</v>
      </c>
      <c r="M376" s="2">
        <v>7953.31</v>
      </c>
      <c r="N376" s="3" t="s">
        <v>19</v>
      </c>
    </row>
    <row r="377" spans="1:15" x14ac:dyDescent="0.35">
      <c r="A377" s="2" t="s">
        <v>485</v>
      </c>
      <c r="B377" s="2">
        <v>188.5</v>
      </c>
      <c r="C377" s="2" t="s">
        <v>20</v>
      </c>
      <c r="D377" s="2">
        <v>616</v>
      </c>
      <c r="E377" s="2">
        <v>20020</v>
      </c>
      <c r="F377" s="2">
        <v>616</v>
      </c>
      <c r="G377" s="2">
        <v>875</v>
      </c>
      <c r="H377" s="2" t="s">
        <v>478</v>
      </c>
      <c r="I377" s="2">
        <f>VLOOKUP(H377,[1]Customers!$A:$B,2,FALSE)</f>
        <v>3355</v>
      </c>
      <c r="J377" s="2">
        <v>45230</v>
      </c>
      <c r="K377" s="2" t="s">
        <v>486</v>
      </c>
      <c r="L377" s="2">
        <v>7953.31</v>
      </c>
      <c r="N377" s="3" t="s">
        <v>19</v>
      </c>
    </row>
    <row r="378" spans="1:15" x14ac:dyDescent="0.35">
      <c r="A378" s="2" t="s">
        <v>487</v>
      </c>
      <c r="B378" s="2">
        <v>189</v>
      </c>
      <c r="C378" s="2" t="s">
        <v>16</v>
      </c>
      <c r="D378" s="2">
        <v>968</v>
      </c>
      <c r="E378" s="2">
        <v>20020</v>
      </c>
      <c r="G378" s="2">
        <v>875</v>
      </c>
      <c r="H378" s="2" t="s">
        <v>478</v>
      </c>
      <c r="I378" s="2">
        <f>VLOOKUP(H378,[1]Customers!$A:$B,2,FALSE)</f>
        <v>3355</v>
      </c>
      <c r="J378" s="2">
        <v>45230</v>
      </c>
      <c r="K378" s="2" t="s">
        <v>488</v>
      </c>
      <c r="M378" s="2">
        <v>2550.1</v>
      </c>
      <c r="N378" s="3" t="s">
        <v>19</v>
      </c>
    </row>
    <row r="379" spans="1:15" x14ac:dyDescent="0.35">
      <c r="A379" s="2" t="s">
        <v>487</v>
      </c>
      <c r="B379" s="2">
        <v>189.5</v>
      </c>
      <c r="C379" s="2" t="s">
        <v>20</v>
      </c>
      <c r="D379" s="2">
        <v>616</v>
      </c>
      <c r="E379" s="2">
        <v>20020</v>
      </c>
      <c r="F379" s="2">
        <v>616</v>
      </c>
      <c r="G379" s="2">
        <v>875</v>
      </c>
      <c r="H379" s="2" t="s">
        <v>478</v>
      </c>
      <c r="I379" s="2">
        <f>VLOOKUP(H379,[1]Customers!$A:$B,2,FALSE)</f>
        <v>3355</v>
      </c>
      <c r="J379" s="2">
        <v>45230</v>
      </c>
      <c r="K379" s="2" t="s">
        <v>488</v>
      </c>
      <c r="L379" s="2">
        <v>2550.1</v>
      </c>
      <c r="N379" s="3" t="s">
        <v>19</v>
      </c>
    </row>
    <row r="380" spans="1:15" x14ac:dyDescent="0.35">
      <c r="A380" s="2" t="s">
        <v>489</v>
      </c>
      <c r="B380" s="2">
        <v>190</v>
      </c>
      <c r="C380" s="2" t="s">
        <v>16</v>
      </c>
      <c r="D380" s="2">
        <v>968</v>
      </c>
      <c r="E380" s="2">
        <v>20020</v>
      </c>
      <c r="G380" s="2">
        <v>795</v>
      </c>
      <c r="H380" s="2" t="s">
        <v>490</v>
      </c>
      <c r="I380" s="2">
        <f>VLOOKUP(H380,[1]Customers!$A:$B,2,FALSE)</f>
        <v>3630</v>
      </c>
      <c r="J380" s="2">
        <v>45310</v>
      </c>
      <c r="K380" s="2" t="s">
        <v>491</v>
      </c>
      <c r="M380" s="2">
        <v>11923</v>
      </c>
      <c r="N380" s="3" t="s">
        <v>19</v>
      </c>
      <c r="O380" s="2">
        <v>36064</v>
      </c>
    </row>
    <row r="381" spans="1:15" x14ac:dyDescent="0.35">
      <c r="A381" s="2" t="s">
        <v>489</v>
      </c>
      <c r="B381" s="2">
        <v>190.5</v>
      </c>
      <c r="C381" s="2" t="s">
        <v>20</v>
      </c>
      <c r="D381" s="2">
        <v>616</v>
      </c>
      <c r="E381" s="2">
        <v>20020</v>
      </c>
      <c r="F381" s="2">
        <v>616</v>
      </c>
      <c r="G381" s="2">
        <v>795</v>
      </c>
      <c r="H381" s="2" t="s">
        <v>490</v>
      </c>
      <c r="I381" s="2">
        <f>VLOOKUP(H381,[1]Customers!$A:$B,2,FALSE)</f>
        <v>3630</v>
      </c>
      <c r="J381" s="2">
        <v>45310</v>
      </c>
      <c r="K381" s="2" t="s">
        <v>491</v>
      </c>
      <c r="L381" s="2">
        <v>11923</v>
      </c>
      <c r="N381" s="3" t="s">
        <v>19</v>
      </c>
      <c r="O381" s="2">
        <v>36064</v>
      </c>
    </row>
    <row r="382" spans="1:15" x14ac:dyDescent="0.35">
      <c r="A382" s="2" t="s">
        <v>492</v>
      </c>
      <c r="B382" s="2">
        <v>191</v>
      </c>
      <c r="C382" s="2" t="s">
        <v>16</v>
      </c>
      <c r="D382" s="2">
        <v>968</v>
      </c>
      <c r="E382" s="2">
        <v>20020</v>
      </c>
      <c r="G382" s="2">
        <v>372</v>
      </c>
      <c r="H382" s="2" t="s">
        <v>493</v>
      </c>
      <c r="I382" s="2">
        <f>VLOOKUP(H382,[1]Customers!$A:$B,2,FALSE)</f>
        <v>2188</v>
      </c>
      <c r="J382" s="2">
        <v>45733</v>
      </c>
      <c r="K382" s="2" t="s">
        <v>494</v>
      </c>
      <c r="M382" s="2">
        <v>28946.81</v>
      </c>
      <c r="N382" s="3" t="s">
        <v>19</v>
      </c>
    </row>
    <row r="383" spans="1:15" x14ac:dyDescent="0.35">
      <c r="A383" s="2" t="s">
        <v>492</v>
      </c>
      <c r="B383" s="2">
        <v>191.5</v>
      </c>
      <c r="C383" s="2" t="s">
        <v>20</v>
      </c>
      <c r="D383" s="2">
        <v>616</v>
      </c>
      <c r="E383" s="2">
        <v>20020</v>
      </c>
      <c r="F383" s="2">
        <v>616</v>
      </c>
      <c r="G383" s="2">
        <v>372</v>
      </c>
      <c r="H383" s="2" t="s">
        <v>493</v>
      </c>
      <c r="I383" s="2">
        <f>VLOOKUP(H383,[1]Customers!$A:$B,2,FALSE)</f>
        <v>2188</v>
      </c>
      <c r="J383" s="2">
        <v>45733</v>
      </c>
      <c r="K383" s="2" t="s">
        <v>494</v>
      </c>
      <c r="L383" s="2">
        <v>28946.81</v>
      </c>
      <c r="N383" s="3" t="s">
        <v>19</v>
      </c>
    </row>
    <row r="384" spans="1:15" x14ac:dyDescent="0.35">
      <c r="A384" s="2" t="s">
        <v>495</v>
      </c>
      <c r="B384" s="2">
        <v>192</v>
      </c>
      <c r="C384" s="2" t="s">
        <v>16</v>
      </c>
      <c r="D384" s="2">
        <v>968</v>
      </c>
      <c r="E384" s="2">
        <v>20020</v>
      </c>
      <c r="G384" s="2">
        <v>403</v>
      </c>
      <c r="H384" s="2" t="s">
        <v>496</v>
      </c>
      <c r="I384" s="2">
        <f>VLOOKUP(H384,[1]Customers!$A:$B,2,FALSE)</f>
        <v>2442</v>
      </c>
      <c r="J384" s="2">
        <v>45702</v>
      </c>
      <c r="K384" s="2" t="s">
        <v>497</v>
      </c>
      <c r="M384" s="2">
        <v>9207.4599999999991</v>
      </c>
      <c r="N384" s="3" t="s">
        <v>19</v>
      </c>
    </row>
    <row r="385" spans="1:14" x14ac:dyDescent="0.35">
      <c r="A385" s="2" t="s">
        <v>495</v>
      </c>
      <c r="B385" s="2">
        <v>192.5</v>
      </c>
      <c r="C385" s="2" t="s">
        <v>20</v>
      </c>
      <c r="D385" s="2">
        <v>616</v>
      </c>
      <c r="E385" s="2">
        <v>20020</v>
      </c>
      <c r="F385" s="2">
        <v>616</v>
      </c>
      <c r="G385" s="2">
        <v>403</v>
      </c>
      <c r="H385" s="2" t="s">
        <v>496</v>
      </c>
      <c r="I385" s="2">
        <f>VLOOKUP(H385,[1]Customers!$A:$B,2,FALSE)</f>
        <v>2442</v>
      </c>
      <c r="J385" s="2">
        <v>45702</v>
      </c>
      <c r="K385" s="2" t="s">
        <v>497</v>
      </c>
      <c r="L385" s="2">
        <v>9207.4599999999991</v>
      </c>
      <c r="N385" s="3" t="s">
        <v>19</v>
      </c>
    </row>
    <row r="386" spans="1:14" x14ac:dyDescent="0.35">
      <c r="A386" s="2" t="s">
        <v>498</v>
      </c>
      <c r="B386" s="2">
        <v>193</v>
      </c>
      <c r="C386" s="2" t="s">
        <v>16</v>
      </c>
      <c r="D386" s="2">
        <v>968</v>
      </c>
      <c r="E386" s="2">
        <v>20020</v>
      </c>
      <c r="G386" s="2">
        <v>299</v>
      </c>
      <c r="H386" s="2" t="s">
        <v>496</v>
      </c>
      <c r="I386" s="2">
        <f>VLOOKUP(H386,[1]Customers!$A:$B,2,FALSE)</f>
        <v>2442</v>
      </c>
      <c r="J386" s="2">
        <v>45806</v>
      </c>
      <c r="K386" s="2" t="s">
        <v>499</v>
      </c>
      <c r="M386" s="2">
        <v>19840.41</v>
      </c>
      <c r="N386" s="3" t="s">
        <v>19</v>
      </c>
    </row>
    <row r="387" spans="1:14" x14ac:dyDescent="0.35">
      <c r="A387" s="2" t="s">
        <v>498</v>
      </c>
      <c r="B387" s="2">
        <v>193.5</v>
      </c>
      <c r="C387" s="2" t="s">
        <v>20</v>
      </c>
      <c r="D387" s="2">
        <v>616</v>
      </c>
      <c r="E387" s="2">
        <v>20020</v>
      </c>
      <c r="F387" s="2">
        <v>616</v>
      </c>
      <c r="G387" s="2">
        <v>299</v>
      </c>
      <c r="H387" s="2" t="s">
        <v>496</v>
      </c>
      <c r="I387" s="2">
        <f>VLOOKUP(H387,[1]Customers!$A:$B,2,FALSE)</f>
        <v>2442</v>
      </c>
      <c r="J387" s="2">
        <v>45806</v>
      </c>
      <c r="K387" s="2" t="s">
        <v>499</v>
      </c>
      <c r="L387" s="2">
        <v>19840.41</v>
      </c>
      <c r="N387" s="3" t="s">
        <v>19</v>
      </c>
    </row>
    <row r="388" spans="1:14" x14ac:dyDescent="0.35">
      <c r="A388" s="2" t="s">
        <v>500</v>
      </c>
      <c r="B388" s="2">
        <v>194</v>
      </c>
      <c r="C388" s="2" t="s">
        <v>16</v>
      </c>
      <c r="D388" s="2">
        <v>968</v>
      </c>
      <c r="E388" s="2">
        <v>20020</v>
      </c>
      <c r="G388" s="2">
        <v>299</v>
      </c>
      <c r="H388" s="2" t="s">
        <v>496</v>
      </c>
      <c r="I388" s="2">
        <f>VLOOKUP(H388,[1]Customers!$A:$B,2,FALSE)</f>
        <v>2442</v>
      </c>
      <c r="J388" s="2">
        <v>45806</v>
      </c>
      <c r="K388" s="2" t="s">
        <v>501</v>
      </c>
      <c r="M388" s="2">
        <v>2287.48</v>
      </c>
      <c r="N388" s="3" t="s">
        <v>19</v>
      </c>
    </row>
    <row r="389" spans="1:14" x14ac:dyDescent="0.35">
      <c r="A389" s="2" t="s">
        <v>500</v>
      </c>
      <c r="B389" s="2">
        <v>194.5</v>
      </c>
      <c r="C389" s="2" t="s">
        <v>20</v>
      </c>
      <c r="D389" s="2">
        <v>616</v>
      </c>
      <c r="E389" s="2">
        <v>20020</v>
      </c>
      <c r="F389" s="2">
        <v>616</v>
      </c>
      <c r="G389" s="2">
        <v>299</v>
      </c>
      <c r="H389" s="2" t="s">
        <v>496</v>
      </c>
      <c r="I389" s="2">
        <f>VLOOKUP(H389,[1]Customers!$A:$B,2,FALSE)</f>
        <v>2442</v>
      </c>
      <c r="J389" s="2">
        <v>45806</v>
      </c>
      <c r="K389" s="2" t="s">
        <v>501</v>
      </c>
      <c r="L389" s="2">
        <v>2287.48</v>
      </c>
      <c r="N389" s="3" t="s">
        <v>19</v>
      </c>
    </row>
    <row r="390" spans="1:14" x14ac:dyDescent="0.35">
      <c r="A390" s="2" t="s">
        <v>502</v>
      </c>
      <c r="B390" s="2">
        <v>195</v>
      </c>
      <c r="C390" s="2" t="s">
        <v>16</v>
      </c>
      <c r="D390" s="2">
        <v>968</v>
      </c>
      <c r="E390" s="2">
        <v>20020</v>
      </c>
      <c r="G390" s="2">
        <v>379</v>
      </c>
      <c r="H390" s="2" t="s">
        <v>503</v>
      </c>
      <c r="I390" s="2">
        <f>VLOOKUP(H390,[1]Customers!$A:$B,2,FALSE)</f>
        <v>2171</v>
      </c>
      <c r="J390" s="2">
        <v>45726</v>
      </c>
      <c r="K390" s="2" t="s">
        <v>504</v>
      </c>
      <c r="M390" s="2">
        <v>365000</v>
      </c>
      <c r="N390" s="3" t="s">
        <v>19</v>
      </c>
    </row>
    <row r="391" spans="1:14" ht="15" customHeight="1" x14ac:dyDescent="0.35">
      <c r="A391" s="2" t="s">
        <v>502</v>
      </c>
      <c r="B391" s="2">
        <v>195.5</v>
      </c>
      <c r="C391" s="2" t="s">
        <v>20</v>
      </c>
      <c r="D391" s="2">
        <v>616</v>
      </c>
      <c r="E391" s="2">
        <v>20020</v>
      </c>
      <c r="F391" s="2">
        <v>616</v>
      </c>
      <c r="G391" s="2">
        <v>379</v>
      </c>
      <c r="H391" s="2" t="s">
        <v>503</v>
      </c>
      <c r="I391" s="2">
        <f>VLOOKUP(H391,[1]Customers!$A:$B,2,FALSE)</f>
        <v>2171</v>
      </c>
      <c r="J391" s="2">
        <v>45726</v>
      </c>
      <c r="K391" s="2" t="s">
        <v>504</v>
      </c>
      <c r="L391" s="2">
        <v>365000</v>
      </c>
      <c r="N391" s="3" t="s">
        <v>19</v>
      </c>
    </row>
    <row r="392" spans="1:14" x14ac:dyDescent="0.35">
      <c r="A392" s="2" t="s">
        <v>505</v>
      </c>
      <c r="B392" s="2">
        <v>196</v>
      </c>
      <c r="C392" s="2" t="s">
        <v>16</v>
      </c>
      <c r="D392" s="2">
        <v>968</v>
      </c>
      <c r="E392" s="2">
        <v>20020</v>
      </c>
      <c r="G392" s="2">
        <v>616</v>
      </c>
      <c r="H392" s="2" t="s">
        <v>506</v>
      </c>
      <c r="I392" s="2">
        <f>VLOOKUP(H392,[1]Customers!$A:$B,2,FALSE)</f>
        <v>3357</v>
      </c>
      <c r="J392" s="2">
        <v>45489</v>
      </c>
      <c r="K392" s="2" t="s">
        <v>507</v>
      </c>
      <c r="M392" s="2">
        <v>110519.67999999999</v>
      </c>
      <c r="N392" s="3" t="s">
        <v>19</v>
      </c>
    </row>
    <row r="393" spans="1:14" x14ac:dyDescent="0.35">
      <c r="A393" s="2" t="s">
        <v>505</v>
      </c>
      <c r="B393" s="2">
        <v>196.5</v>
      </c>
      <c r="C393" s="2" t="s">
        <v>20</v>
      </c>
      <c r="D393" s="2">
        <v>616</v>
      </c>
      <c r="E393" s="2">
        <v>20020</v>
      </c>
      <c r="F393" s="2">
        <v>616</v>
      </c>
      <c r="G393" s="2">
        <v>616</v>
      </c>
      <c r="H393" s="2" t="s">
        <v>506</v>
      </c>
      <c r="I393" s="2">
        <f>VLOOKUP(H393,[1]Customers!$A:$B,2,FALSE)</f>
        <v>3357</v>
      </c>
      <c r="J393" s="2">
        <v>45489</v>
      </c>
      <c r="K393" s="2" t="s">
        <v>507</v>
      </c>
      <c r="L393" s="2">
        <v>110519.67999999999</v>
      </c>
      <c r="N393" s="3" t="s">
        <v>19</v>
      </c>
    </row>
    <row r="394" spans="1:14" x14ac:dyDescent="0.35">
      <c r="A394" s="2" t="s">
        <v>508</v>
      </c>
      <c r="B394" s="2">
        <v>197</v>
      </c>
      <c r="C394" s="2" t="s">
        <v>16</v>
      </c>
      <c r="D394" s="2">
        <v>968</v>
      </c>
      <c r="E394" s="2">
        <v>20020</v>
      </c>
      <c r="G394" s="2">
        <v>837</v>
      </c>
      <c r="H394" s="2" t="s">
        <v>509</v>
      </c>
      <c r="I394" s="2">
        <f>VLOOKUP(H394,[1]Customers!$A:$B,2,FALSE)</f>
        <v>3358</v>
      </c>
      <c r="J394" s="2">
        <v>45268</v>
      </c>
      <c r="K394" s="2" t="s">
        <v>510</v>
      </c>
      <c r="M394" s="2">
        <v>16125.28</v>
      </c>
      <c r="N394" s="3" t="s">
        <v>19</v>
      </c>
    </row>
    <row r="395" spans="1:14" x14ac:dyDescent="0.35">
      <c r="A395" s="2" t="s">
        <v>508</v>
      </c>
      <c r="B395" s="2">
        <v>197.5</v>
      </c>
      <c r="C395" s="2" t="s">
        <v>20</v>
      </c>
      <c r="D395" s="2">
        <v>616</v>
      </c>
      <c r="E395" s="2">
        <v>20020</v>
      </c>
      <c r="F395" s="2">
        <v>616</v>
      </c>
      <c r="G395" s="2">
        <v>837</v>
      </c>
      <c r="H395" s="2" t="s">
        <v>509</v>
      </c>
      <c r="I395" s="2">
        <f>VLOOKUP(H395,[1]Customers!$A:$B,2,FALSE)</f>
        <v>3358</v>
      </c>
      <c r="J395" s="2">
        <v>45268</v>
      </c>
      <c r="K395" s="2" t="s">
        <v>510</v>
      </c>
      <c r="L395" s="2">
        <v>16125.28</v>
      </c>
      <c r="N395" s="3" t="s">
        <v>19</v>
      </c>
    </row>
    <row r="396" spans="1:14" x14ac:dyDescent="0.35">
      <c r="A396" s="2" t="s">
        <v>511</v>
      </c>
      <c r="B396" s="2">
        <v>198</v>
      </c>
      <c r="C396" s="2" t="s">
        <v>16</v>
      </c>
      <c r="D396" s="2">
        <v>968</v>
      </c>
      <c r="E396" s="2">
        <v>20020</v>
      </c>
      <c r="G396" s="2">
        <v>837</v>
      </c>
      <c r="H396" s="2" t="s">
        <v>509</v>
      </c>
      <c r="I396" s="2">
        <f>VLOOKUP(H396,[1]Customers!$A:$B,2,FALSE)</f>
        <v>3358</v>
      </c>
      <c r="J396" s="2">
        <v>45268</v>
      </c>
      <c r="K396" s="2" t="s">
        <v>512</v>
      </c>
      <c r="M396" s="2">
        <v>4012.41</v>
      </c>
      <c r="N396" s="3" t="s">
        <v>19</v>
      </c>
    </row>
    <row r="397" spans="1:14" x14ac:dyDescent="0.35">
      <c r="A397" s="2" t="s">
        <v>511</v>
      </c>
      <c r="B397" s="2">
        <v>198.5</v>
      </c>
      <c r="C397" s="2" t="s">
        <v>20</v>
      </c>
      <c r="D397" s="2">
        <v>616</v>
      </c>
      <c r="E397" s="2">
        <v>20020</v>
      </c>
      <c r="F397" s="2">
        <v>616</v>
      </c>
      <c r="G397" s="2">
        <v>837</v>
      </c>
      <c r="H397" s="2" t="s">
        <v>509</v>
      </c>
      <c r="I397" s="2">
        <f>VLOOKUP(H397,[1]Customers!$A:$B,2,FALSE)</f>
        <v>3358</v>
      </c>
      <c r="J397" s="2">
        <v>45268</v>
      </c>
      <c r="K397" s="2" t="s">
        <v>512</v>
      </c>
      <c r="L397" s="2">
        <v>4012.41</v>
      </c>
      <c r="N397" s="3" t="s">
        <v>19</v>
      </c>
    </row>
    <row r="398" spans="1:14" x14ac:dyDescent="0.35">
      <c r="A398" s="2" t="s">
        <v>513</v>
      </c>
      <c r="B398" s="2">
        <v>199</v>
      </c>
      <c r="C398" s="2" t="s">
        <v>16</v>
      </c>
      <c r="D398" s="2">
        <v>968</v>
      </c>
      <c r="E398" s="2">
        <v>20020</v>
      </c>
      <c r="G398" s="2">
        <v>837</v>
      </c>
      <c r="H398" s="2" t="s">
        <v>509</v>
      </c>
      <c r="I398" s="2">
        <f>VLOOKUP(H398,[1]Customers!$A:$B,2,FALSE)</f>
        <v>3358</v>
      </c>
      <c r="J398" s="2">
        <v>45268</v>
      </c>
      <c r="K398" s="2" t="s">
        <v>514</v>
      </c>
      <c r="M398" s="2">
        <v>4676.63</v>
      </c>
      <c r="N398" s="3" t="s">
        <v>19</v>
      </c>
    </row>
    <row r="399" spans="1:14" x14ac:dyDescent="0.35">
      <c r="A399" s="2" t="s">
        <v>513</v>
      </c>
      <c r="B399" s="2">
        <v>199.5</v>
      </c>
      <c r="C399" s="2" t="s">
        <v>20</v>
      </c>
      <c r="D399" s="2">
        <v>616</v>
      </c>
      <c r="E399" s="2">
        <v>20020</v>
      </c>
      <c r="F399" s="2">
        <v>616</v>
      </c>
      <c r="G399" s="2">
        <v>837</v>
      </c>
      <c r="H399" s="2" t="s">
        <v>509</v>
      </c>
      <c r="I399" s="2">
        <f>VLOOKUP(H399,[1]Customers!$A:$B,2,FALSE)</f>
        <v>3358</v>
      </c>
      <c r="J399" s="2">
        <v>45268</v>
      </c>
      <c r="K399" s="2" t="s">
        <v>514</v>
      </c>
      <c r="L399" s="2">
        <v>4676.63</v>
      </c>
      <c r="N399" s="3" t="s">
        <v>19</v>
      </c>
    </row>
    <row r="400" spans="1:14" x14ac:dyDescent="0.35">
      <c r="A400" s="2" t="s">
        <v>515</v>
      </c>
      <c r="B400" s="2">
        <v>200</v>
      </c>
      <c r="C400" s="2" t="s">
        <v>16</v>
      </c>
      <c r="D400" s="2">
        <v>968</v>
      </c>
      <c r="E400" s="2">
        <v>20020</v>
      </c>
      <c r="G400" s="2">
        <v>336</v>
      </c>
      <c r="H400" s="2" t="s">
        <v>509</v>
      </c>
      <c r="I400" s="2">
        <f>VLOOKUP(H400,[1]Customers!$A:$B,2,FALSE)</f>
        <v>3358</v>
      </c>
      <c r="J400" s="2">
        <v>45769</v>
      </c>
      <c r="K400" s="2" t="s">
        <v>516</v>
      </c>
      <c r="M400" s="2">
        <v>16019.34</v>
      </c>
      <c r="N400" s="3" t="s">
        <v>19</v>
      </c>
    </row>
    <row r="401" spans="1:15" x14ac:dyDescent="0.35">
      <c r="A401" s="2" t="s">
        <v>515</v>
      </c>
      <c r="B401" s="2">
        <v>200.5</v>
      </c>
      <c r="C401" s="2" t="s">
        <v>20</v>
      </c>
      <c r="D401" s="2">
        <v>616</v>
      </c>
      <c r="E401" s="2">
        <v>20020</v>
      </c>
      <c r="F401" s="2">
        <v>616</v>
      </c>
      <c r="G401" s="2">
        <v>336</v>
      </c>
      <c r="H401" s="2" t="s">
        <v>509</v>
      </c>
      <c r="I401" s="2">
        <f>VLOOKUP(H401,[1]Customers!$A:$B,2,FALSE)</f>
        <v>3358</v>
      </c>
      <c r="J401" s="2">
        <v>45769</v>
      </c>
      <c r="K401" s="2" t="s">
        <v>516</v>
      </c>
      <c r="L401" s="2">
        <v>16019.34</v>
      </c>
      <c r="N401" s="3" t="s">
        <v>19</v>
      </c>
    </row>
    <row r="402" spans="1:15" x14ac:dyDescent="0.35">
      <c r="A402" s="2" t="s">
        <v>517</v>
      </c>
      <c r="B402" s="2">
        <v>201</v>
      </c>
      <c r="C402" s="2" t="s">
        <v>16</v>
      </c>
      <c r="D402" s="2">
        <v>968</v>
      </c>
      <c r="E402" s="2">
        <v>20020</v>
      </c>
      <c r="G402" s="2">
        <v>561</v>
      </c>
      <c r="H402" s="2" t="s">
        <v>509</v>
      </c>
      <c r="I402" s="2">
        <f>VLOOKUP(H402,[1]Customers!$A:$B,2,FALSE)</f>
        <v>3358</v>
      </c>
      <c r="J402" s="2">
        <v>45544</v>
      </c>
      <c r="K402" s="2" t="s">
        <v>518</v>
      </c>
      <c r="M402" s="2">
        <v>125992.99</v>
      </c>
      <c r="N402" s="3" t="s">
        <v>19</v>
      </c>
    </row>
    <row r="403" spans="1:15" x14ac:dyDescent="0.35">
      <c r="A403" s="2" t="s">
        <v>517</v>
      </c>
      <c r="B403" s="2">
        <v>201.5</v>
      </c>
      <c r="C403" s="2" t="s">
        <v>20</v>
      </c>
      <c r="D403" s="2">
        <v>616</v>
      </c>
      <c r="E403" s="2">
        <v>20020</v>
      </c>
      <c r="F403" s="2">
        <v>616</v>
      </c>
      <c r="G403" s="2">
        <v>561</v>
      </c>
      <c r="H403" s="2" t="s">
        <v>509</v>
      </c>
      <c r="I403" s="2">
        <f>VLOOKUP(H403,[1]Customers!$A:$B,2,FALSE)</f>
        <v>3358</v>
      </c>
      <c r="J403" s="2">
        <v>45544</v>
      </c>
      <c r="K403" s="2" t="s">
        <v>518</v>
      </c>
      <c r="L403" s="2">
        <v>125992.99</v>
      </c>
      <c r="N403" s="3" t="s">
        <v>19</v>
      </c>
    </row>
    <row r="404" spans="1:15" x14ac:dyDescent="0.35">
      <c r="A404" s="2" t="s">
        <v>519</v>
      </c>
      <c r="B404" s="2">
        <v>202</v>
      </c>
      <c r="C404" s="2" t="s">
        <v>16</v>
      </c>
      <c r="D404" s="2">
        <v>968</v>
      </c>
      <c r="E404" s="2">
        <v>20020</v>
      </c>
      <c r="G404" s="2">
        <v>837</v>
      </c>
      <c r="H404" s="2" t="s">
        <v>509</v>
      </c>
      <c r="I404" s="2">
        <f>VLOOKUP(H404,[1]Customers!$A:$B,2,FALSE)</f>
        <v>3358</v>
      </c>
      <c r="J404" s="2">
        <v>45268</v>
      </c>
      <c r="K404" s="2" t="s">
        <v>520</v>
      </c>
      <c r="M404" s="2">
        <v>7844.17</v>
      </c>
      <c r="N404" s="3" t="s">
        <v>19</v>
      </c>
    </row>
    <row r="405" spans="1:15" x14ac:dyDescent="0.35">
      <c r="A405" s="2" t="s">
        <v>519</v>
      </c>
      <c r="B405" s="2">
        <v>202.5</v>
      </c>
      <c r="C405" s="2" t="s">
        <v>20</v>
      </c>
      <c r="D405" s="2">
        <v>616</v>
      </c>
      <c r="E405" s="2">
        <v>20020</v>
      </c>
      <c r="F405" s="2">
        <v>616</v>
      </c>
      <c r="G405" s="2">
        <v>837</v>
      </c>
      <c r="H405" s="2" t="s">
        <v>509</v>
      </c>
      <c r="I405" s="2">
        <f>VLOOKUP(H405,[1]Customers!$A:$B,2,FALSE)</f>
        <v>3358</v>
      </c>
      <c r="J405" s="2">
        <v>45268</v>
      </c>
      <c r="K405" s="2" t="s">
        <v>520</v>
      </c>
      <c r="L405" s="2">
        <v>7844.17</v>
      </c>
      <c r="N405" s="3" t="s">
        <v>19</v>
      </c>
    </row>
    <row r="406" spans="1:15" x14ac:dyDescent="0.35">
      <c r="A406" s="2" t="s">
        <v>521</v>
      </c>
      <c r="B406" s="2">
        <v>203</v>
      </c>
      <c r="C406" s="2" t="s">
        <v>16</v>
      </c>
      <c r="D406" s="2">
        <v>968</v>
      </c>
      <c r="E406" s="2">
        <v>20020</v>
      </c>
      <c r="G406" s="2">
        <v>837</v>
      </c>
      <c r="H406" s="2" t="s">
        <v>509</v>
      </c>
      <c r="I406" s="2">
        <f>VLOOKUP(H406,[1]Customers!$A:$B,2,FALSE)</f>
        <v>3358</v>
      </c>
      <c r="J406" s="2">
        <v>45268</v>
      </c>
      <c r="K406" s="2" t="s">
        <v>522</v>
      </c>
      <c r="M406" s="2">
        <v>54396.65</v>
      </c>
      <c r="N406" s="3" t="s">
        <v>19</v>
      </c>
    </row>
    <row r="407" spans="1:15" x14ac:dyDescent="0.35">
      <c r="A407" s="2" t="s">
        <v>521</v>
      </c>
      <c r="B407" s="2">
        <v>203.5</v>
      </c>
      <c r="C407" s="2" t="s">
        <v>20</v>
      </c>
      <c r="D407" s="2">
        <v>616</v>
      </c>
      <c r="E407" s="2">
        <v>20020</v>
      </c>
      <c r="F407" s="2">
        <v>616</v>
      </c>
      <c r="G407" s="2">
        <v>837</v>
      </c>
      <c r="H407" s="2" t="s">
        <v>509</v>
      </c>
      <c r="I407" s="2">
        <f>VLOOKUP(H407,[1]Customers!$A:$B,2,FALSE)</f>
        <v>3358</v>
      </c>
      <c r="J407" s="2">
        <v>45268</v>
      </c>
      <c r="K407" s="2" t="s">
        <v>522</v>
      </c>
      <c r="L407" s="2">
        <v>54396.65</v>
      </c>
      <c r="N407" s="3" t="s">
        <v>19</v>
      </c>
    </row>
    <row r="408" spans="1:15" x14ac:dyDescent="0.35">
      <c r="A408" s="2" t="s">
        <v>523</v>
      </c>
      <c r="B408" s="2">
        <v>204</v>
      </c>
      <c r="C408" s="2" t="s">
        <v>16</v>
      </c>
      <c r="D408" s="2">
        <v>968</v>
      </c>
      <c r="E408" s="2">
        <v>20020</v>
      </c>
      <c r="G408" s="2">
        <v>837</v>
      </c>
      <c r="H408" s="2" t="s">
        <v>509</v>
      </c>
      <c r="I408" s="2">
        <f>VLOOKUP(H408,[1]Customers!$A:$B,2,FALSE)</f>
        <v>3358</v>
      </c>
      <c r="J408" s="2">
        <v>45268</v>
      </c>
      <c r="K408" s="2" t="s">
        <v>524</v>
      </c>
      <c r="M408" s="2">
        <v>925.75</v>
      </c>
      <c r="N408" s="3" t="s">
        <v>19</v>
      </c>
    </row>
    <row r="409" spans="1:15" x14ac:dyDescent="0.35">
      <c r="A409" s="2" t="s">
        <v>523</v>
      </c>
      <c r="B409" s="2">
        <v>204.5</v>
      </c>
      <c r="C409" s="2" t="s">
        <v>20</v>
      </c>
      <c r="D409" s="2">
        <v>616</v>
      </c>
      <c r="E409" s="2">
        <v>20020</v>
      </c>
      <c r="F409" s="2">
        <v>616</v>
      </c>
      <c r="G409" s="2">
        <v>837</v>
      </c>
      <c r="H409" s="2" t="s">
        <v>509</v>
      </c>
      <c r="I409" s="2">
        <f>VLOOKUP(H409,[1]Customers!$A:$B,2,FALSE)</f>
        <v>3358</v>
      </c>
      <c r="J409" s="2">
        <v>45268</v>
      </c>
      <c r="K409" s="2" t="s">
        <v>524</v>
      </c>
      <c r="L409" s="2">
        <v>925.75</v>
      </c>
      <c r="N409" s="3" t="s">
        <v>19</v>
      </c>
    </row>
    <row r="410" spans="1:15" x14ac:dyDescent="0.35">
      <c r="A410" s="2" t="s">
        <v>525</v>
      </c>
      <c r="B410" s="2">
        <v>205</v>
      </c>
      <c r="C410" s="2" t="s">
        <v>16</v>
      </c>
      <c r="D410" s="2">
        <v>968</v>
      </c>
      <c r="E410" s="2">
        <v>20020</v>
      </c>
      <c r="G410" s="2">
        <v>501</v>
      </c>
      <c r="H410" s="2" t="s">
        <v>509</v>
      </c>
      <c r="I410" s="2">
        <f>VLOOKUP(H410,[1]Customers!$A:$B,2,FALSE)</f>
        <v>3358</v>
      </c>
      <c r="J410" s="2">
        <v>45604</v>
      </c>
      <c r="K410" s="2" t="s">
        <v>526</v>
      </c>
      <c r="M410" s="2">
        <v>17687.73</v>
      </c>
      <c r="N410" s="3" t="s">
        <v>19</v>
      </c>
    </row>
    <row r="411" spans="1:15" x14ac:dyDescent="0.35">
      <c r="A411" s="2" t="s">
        <v>525</v>
      </c>
      <c r="B411" s="2">
        <v>205.5</v>
      </c>
      <c r="C411" s="2" t="s">
        <v>20</v>
      </c>
      <c r="D411" s="2">
        <v>616</v>
      </c>
      <c r="E411" s="2">
        <v>20020</v>
      </c>
      <c r="F411" s="2">
        <v>616</v>
      </c>
      <c r="G411" s="2">
        <v>501</v>
      </c>
      <c r="H411" s="2" t="s">
        <v>509</v>
      </c>
      <c r="I411" s="2">
        <f>VLOOKUP(H411,[1]Customers!$A:$B,2,FALSE)</f>
        <v>3358</v>
      </c>
      <c r="J411" s="2">
        <v>45604</v>
      </c>
      <c r="K411" s="2" t="s">
        <v>526</v>
      </c>
      <c r="L411" s="2">
        <v>17687.73</v>
      </c>
      <c r="N411" s="3" t="s">
        <v>19</v>
      </c>
    </row>
    <row r="412" spans="1:15" x14ac:dyDescent="0.35">
      <c r="A412" s="2" t="s">
        <v>527</v>
      </c>
      <c r="B412" s="2">
        <v>206</v>
      </c>
      <c r="C412" s="2" t="s">
        <v>16</v>
      </c>
      <c r="D412" s="2">
        <v>968</v>
      </c>
      <c r="E412" s="2">
        <v>20020</v>
      </c>
      <c r="G412" s="2">
        <v>391</v>
      </c>
      <c r="H412" s="2" t="s">
        <v>509</v>
      </c>
      <c r="I412" s="2">
        <f>VLOOKUP(H412,[1]Customers!$A:$B,2,FALSE)</f>
        <v>3358</v>
      </c>
      <c r="J412" s="2">
        <v>45714</v>
      </c>
      <c r="K412" s="2" t="s">
        <v>526</v>
      </c>
      <c r="M412" s="2">
        <v>55232.84</v>
      </c>
      <c r="N412" s="3" t="s">
        <v>19</v>
      </c>
    </row>
    <row r="413" spans="1:15" x14ac:dyDescent="0.35">
      <c r="A413" s="2" t="s">
        <v>527</v>
      </c>
      <c r="B413" s="2">
        <v>206.5</v>
      </c>
      <c r="C413" s="2" t="s">
        <v>20</v>
      </c>
      <c r="D413" s="2">
        <v>616</v>
      </c>
      <c r="E413" s="2">
        <v>20020</v>
      </c>
      <c r="F413" s="2">
        <v>616</v>
      </c>
      <c r="G413" s="2">
        <v>391</v>
      </c>
      <c r="H413" s="2" t="s">
        <v>509</v>
      </c>
      <c r="I413" s="2">
        <f>VLOOKUP(H413,[1]Customers!$A:$B,2,FALSE)</f>
        <v>3358</v>
      </c>
      <c r="J413" s="2">
        <v>45714</v>
      </c>
      <c r="K413" s="2" t="s">
        <v>526</v>
      </c>
      <c r="L413" s="2">
        <v>55232.84</v>
      </c>
      <c r="N413" s="3" t="s">
        <v>19</v>
      </c>
    </row>
    <row r="414" spans="1:15" x14ac:dyDescent="0.35">
      <c r="A414" s="2" t="s">
        <v>528</v>
      </c>
      <c r="B414" s="2">
        <v>207</v>
      </c>
      <c r="C414" s="2" t="s">
        <v>16</v>
      </c>
      <c r="D414" s="2">
        <v>968</v>
      </c>
      <c r="E414" s="2">
        <v>20020</v>
      </c>
      <c r="G414" s="2">
        <v>1231</v>
      </c>
      <c r="H414" s="2" t="s">
        <v>529</v>
      </c>
      <c r="I414" s="2">
        <v>2328</v>
      </c>
      <c r="J414" s="2">
        <v>44874</v>
      </c>
      <c r="M414" s="2">
        <v>57014.8</v>
      </c>
      <c r="N414" s="3" t="s">
        <v>19</v>
      </c>
      <c r="O414" s="2">
        <v>33505</v>
      </c>
    </row>
    <row r="415" spans="1:15" x14ac:dyDescent="0.35">
      <c r="A415" s="2" t="s">
        <v>528</v>
      </c>
      <c r="B415" s="2">
        <v>207.5</v>
      </c>
      <c r="C415" s="2" t="s">
        <v>20</v>
      </c>
      <c r="D415" s="2">
        <v>616</v>
      </c>
      <c r="E415" s="2">
        <v>20020</v>
      </c>
      <c r="F415" s="2">
        <v>616</v>
      </c>
      <c r="G415" s="2">
        <v>1231</v>
      </c>
      <c r="H415" s="2" t="s">
        <v>529</v>
      </c>
      <c r="I415" s="2">
        <v>2328</v>
      </c>
      <c r="J415" s="2">
        <v>44874</v>
      </c>
      <c r="L415" s="2">
        <v>57014.8</v>
      </c>
      <c r="N415" s="3" t="s">
        <v>19</v>
      </c>
      <c r="O415" s="2">
        <v>33505</v>
      </c>
    </row>
    <row r="416" spans="1:15" x14ac:dyDescent="0.35">
      <c r="A416" s="2" t="s">
        <v>530</v>
      </c>
      <c r="B416" s="2">
        <v>208</v>
      </c>
      <c r="C416" s="2" t="s">
        <v>16</v>
      </c>
      <c r="D416" s="2">
        <v>968</v>
      </c>
      <c r="E416" s="2">
        <v>20020</v>
      </c>
      <c r="G416" s="2">
        <v>342</v>
      </c>
      <c r="H416" s="2" t="s">
        <v>531</v>
      </c>
      <c r="I416" s="2">
        <f>VLOOKUP(H416,[1]Customers!$A:$B,2,FALSE)</f>
        <v>2349</v>
      </c>
      <c r="J416" s="2">
        <v>45763</v>
      </c>
      <c r="K416" s="2" t="s">
        <v>532</v>
      </c>
      <c r="M416" s="2">
        <v>5158.84</v>
      </c>
      <c r="N416" s="3" t="s">
        <v>19</v>
      </c>
    </row>
    <row r="417" spans="1:15" x14ac:dyDescent="0.35">
      <c r="A417" s="2" t="s">
        <v>530</v>
      </c>
      <c r="B417" s="2">
        <v>208.5</v>
      </c>
      <c r="C417" s="2" t="s">
        <v>20</v>
      </c>
      <c r="D417" s="2">
        <v>616</v>
      </c>
      <c r="E417" s="2">
        <v>20020</v>
      </c>
      <c r="F417" s="2">
        <v>616</v>
      </c>
      <c r="G417" s="2">
        <v>342</v>
      </c>
      <c r="H417" s="2" t="s">
        <v>531</v>
      </c>
      <c r="I417" s="2">
        <f>VLOOKUP(H417,[1]Customers!$A:$B,2,FALSE)</f>
        <v>2349</v>
      </c>
      <c r="J417" s="2">
        <v>45763</v>
      </c>
      <c r="K417" s="2" t="s">
        <v>532</v>
      </c>
      <c r="L417" s="2">
        <v>5158.84</v>
      </c>
      <c r="N417" s="3" t="s">
        <v>19</v>
      </c>
    </row>
    <row r="418" spans="1:15" x14ac:dyDescent="0.35">
      <c r="A418" s="2" t="s">
        <v>533</v>
      </c>
      <c r="B418" s="2">
        <v>209</v>
      </c>
      <c r="C418" s="2" t="s">
        <v>16</v>
      </c>
      <c r="D418" s="2">
        <v>968</v>
      </c>
      <c r="E418" s="2">
        <v>20020</v>
      </c>
      <c r="G418" s="2">
        <v>756</v>
      </c>
      <c r="H418" s="2" t="s">
        <v>534</v>
      </c>
      <c r="I418" s="2">
        <f>VLOOKUP(H418,[1]Customers!$A:$B,2,FALSE)</f>
        <v>2678</v>
      </c>
      <c r="J418" s="2">
        <v>45349</v>
      </c>
      <c r="K418" s="2" t="s">
        <v>535</v>
      </c>
      <c r="M418" s="2">
        <v>176474.6</v>
      </c>
      <c r="N418" s="3" t="s">
        <v>19</v>
      </c>
      <c r="O418" s="2">
        <v>33564</v>
      </c>
    </row>
    <row r="419" spans="1:15" x14ac:dyDescent="0.35">
      <c r="A419" s="2" t="s">
        <v>533</v>
      </c>
      <c r="B419" s="2">
        <v>209.5</v>
      </c>
      <c r="C419" s="2" t="s">
        <v>20</v>
      </c>
      <c r="D419" s="2">
        <v>616</v>
      </c>
      <c r="E419" s="2">
        <v>20020</v>
      </c>
      <c r="F419" s="2">
        <v>616</v>
      </c>
      <c r="G419" s="2">
        <v>756</v>
      </c>
      <c r="H419" s="2" t="s">
        <v>534</v>
      </c>
      <c r="I419" s="2">
        <f>VLOOKUP(H419,[1]Customers!$A:$B,2,FALSE)</f>
        <v>2678</v>
      </c>
      <c r="J419" s="2">
        <v>45349</v>
      </c>
      <c r="K419" s="2" t="s">
        <v>535</v>
      </c>
      <c r="L419" s="2">
        <v>176474.6</v>
      </c>
      <c r="N419" s="3" t="s">
        <v>19</v>
      </c>
      <c r="O419" s="2">
        <v>33564</v>
      </c>
    </row>
    <row r="420" spans="1:15" x14ac:dyDescent="0.35">
      <c r="A420" s="2" t="s">
        <v>536</v>
      </c>
      <c r="B420" s="2">
        <v>210</v>
      </c>
      <c r="C420" s="2" t="s">
        <v>16</v>
      </c>
      <c r="D420" s="2">
        <v>968</v>
      </c>
      <c r="E420" s="2">
        <v>20020</v>
      </c>
      <c r="G420" s="2">
        <v>887</v>
      </c>
      <c r="H420" s="2" t="s">
        <v>537</v>
      </c>
      <c r="I420" s="2">
        <f>VLOOKUP(H420,[1]Customers!$A:$B,2,FALSE)</f>
        <v>2618</v>
      </c>
      <c r="J420" s="2">
        <v>45218</v>
      </c>
      <c r="K420" s="2" t="s">
        <v>538</v>
      </c>
      <c r="M420" s="2">
        <v>976.22</v>
      </c>
      <c r="N420" s="3" t="s">
        <v>19</v>
      </c>
    </row>
    <row r="421" spans="1:15" x14ac:dyDescent="0.35">
      <c r="A421" s="2" t="s">
        <v>536</v>
      </c>
      <c r="B421" s="2">
        <v>210.5</v>
      </c>
      <c r="C421" s="2" t="s">
        <v>20</v>
      </c>
      <c r="D421" s="2">
        <v>616</v>
      </c>
      <c r="E421" s="2">
        <v>20020</v>
      </c>
      <c r="F421" s="2">
        <v>616</v>
      </c>
      <c r="G421" s="2">
        <v>887</v>
      </c>
      <c r="H421" s="2" t="s">
        <v>537</v>
      </c>
      <c r="I421" s="2">
        <f>VLOOKUP(H421,[1]Customers!$A:$B,2,FALSE)</f>
        <v>2618</v>
      </c>
      <c r="J421" s="2">
        <v>45218</v>
      </c>
      <c r="K421" s="2" t="s">
        <v>538</v>
      </c>
      <c r="L421" s="2">
        <v>976.22</v>
      </c>
      <c r="N421" s="3" t="s">
        <v>19</v>
      </c>
    </row>
    <row r="422" spans="1:15" x14ac:dyDescent="0.35">
      <c r="A422" s="2" t="s">
        <v>539</v>
      </c>
      <c r="B422" s="2">
        <v>211</v>
      </c>
      <c r="C422" s="2" t="s">
        <v>16</v>
      </c>
      <c r="D422" s="2">
        <v>968</v>
      </c>
      <c r="E422" s="2">
        <v>20020</v>
      </c>
      <c r="G422" s="2">
        <v>887</v>
      </c>
      <c r="H422" s="2" t="s">
        <v>537</v>
      </c>
      <c r="I422" s="2">
        <f>VLOOKUP(H422,[1]Customers!$A:$B,2,FALSE)</f>
        <v>2618</v>
      </c>
      <c r="J422" s="2">
        <v>45218</v>
      </c>
      <c r="K422" s="2" t="s">
        <v>540</v>
      </c>
      <c r="M422" s="2">
        <v>2367.3000000000002</v>
      </c>
      <c r="N422" s="3" t="s">
        <v>19</v>
      </c>
    </row>
    <row r="423" spans="1:15" x14ac:dyDescent="0.35">
      <c r="A423" s="2" t="s">
        <v>539</v>
      </c>
      <c r="B423" s="2">
        <v>211.5</v>
      </c>
      <c r="C423" s="2" t="s">
        <v>20</v>
      </c>
      <c r="D423" s="2">
        <v>616</v>
      </c>
      <c r="E423" s="2">
        <v>20020</v>
      </c>
      <c r="F423" s="2">
        <v>616</v>
      </c>
      <c r="G423" s="2">
        <v>887</v>
      </c>
      <c r="H423" s="2" t="s">
        <v>537</v>
      </c>
      <c r="I423" s="2">
        <f>VLOOKUP(H423,[1]Customers!$A:$B,2,FALSE)</f>
        <v>2618</v>
      </c>
      <c r="J423" s="2">
        <v>45218</v>
      </c>
      <c r="K423" s="2" t="s">
        <v>540</v>
      </c>
      <c r="L423" s="2">
        <v>2367.3000000000002</v>
      </c>
      <c r="N423" s="3" t="s">
        <v>19</v>
      </c>
    </row>
    <row r="424" spans="1:15" x14ac:dyDescent="0.35">
      <c r="A424" s="2" t="s">
        <v>541</v>
      </c>
      <c r="B424" s="2">
        <v>212</v>
      </c>
      <c r="C424" s="2" t="s">
        <v>16</v>
      </c>
      <c r="D424" s="2">
        <v>968</v>
      </c>
      <c r="E424" s="2">
        <v>20020</v>
      </c>
      <c r="G424" s="2">
        <v>887</v>
      </c>
      <c r="H424" s="2" t="s">
        <v>537</v>
      </c>
      <c r="I424" s="2">
        <f>VLOOKUP(H424,[1]Customers!$A:$B,2,FALSE)</f>
        <v>2618</v>
      </c>
      <c r="J424" s="2">
        <v>45218</v>
      </c>
      <c r="K424" s="2" t="s">
        <v>542</v>
      </c>
      <c r="M424" s="2">
        <v>1027.0999999999999</v>
      </c>
      <c r="N424" s="3" t="s">
        <v>19</v>
      </c>
    </row>
    <row r="425" spans="1:15" x14ac:dyDescent="0.35">
      <c r="A425" s="2" t="s">
        <v>541</v>
      </c>
      <c r="B425" s="2">
        <v>212.5</v>
      </c>
      <c r="C425" s="2" t="s">
        <v>20</v>
      </c>
      <c r="D425" s="2">
        <v>616</v>
      </c>
      <c r="E425" s="2">
        <v>20020</v>
      </c>
      <c r="F425" s="2">
        <v>616</v>
      </c>
      <c r="G425" s="2">
        <v>887</v>
      </c>
      <c r="H425" s="2" t="s">
        <v>537</v>
      </c>
      <c r="I425" s="2">
        <f>VLOOKUP(H425,[1]Customers!$A:$B,2,FALSE)</f>
        <v>2618</v>
      </c>
      <c r="J425" s="2">
        <v>45218</v>
      </c>
      <c r="K425" s="2" t="s">
        <v>542</v>
      </c>
      <c r="L425" s="2">
        <v>1027.0999999999999</v>
      </c>
      <c r="N425" s="3" t="s">
        <v>19</v>
      </c>
    </row>
    <row r="426" spans="1:15" x14ac:dyDescent="0.35">
      <c r="A426" s="2" t="s">
        <v>543</v>
      </c>
      <c r="B426" s="2">
        <v>213</v>
      </c>
      <c r="C426" s="2" t="s">
        <v>16</v>
      </c>
      <c r="D426" s="2">
        <v>968</v>
      </c>
      <c r="E426" s="2">
        <v>20020</v>
      </c>
      <c r="G426" s="2">
        <v>498</v>
      </c>
      <c r="H426" s="2" t="s">
        <v>544</v>
      </c>
      <c r="I426" s="2">
        <f>VLOOKUP(H426,[1]Customers!$A:$B,2,FALSE)</f>
        <v>3360</v>
      </c>
      <c r="J426" s="2">
        <v>45607</v>
      </c>
      <c r="M426" s="2">
        <v>10742.29</v>
      </c>
      <c r="N426" s="3" t="s">
        <v>19</v>
      </c>
    </row>
    <row r="427" spans="1:15" x14ac:dyDescent="0.35">
      <c r="A427" s="2" t="s">
        <v>543</v>
      </c>
      <c r="B427" s="2">
        <v>213.5</v>
      </c>
      <c r="C427" s="2" t="s">
        <v>20</v>
      </c>
      <c r="D427" s="2">
        <v>616</v>
      </c>
      <c r="E427" s="2">
        <v>20020</v>
      </c>
      <c r="F427" s="2">
        <v>616</v>
      </c>
      <c r="G427" s="2">
        <v>498</v>
      </c>
      <c r="H427" s="2" t="s">
        <v>544</v>
      </c>
      <c r="I427" s="2">
        <f>VLOOKUP(H427,[1]Customers!$A:$B,2,FALSE)</f>
        <v>3360</v>
      </c>
      <c r="J427" s="2">
        <v>45607</v>
      </c>
      <c r="L427" s="2">
        <v>10742.29</v>
      </c>
      <c r="N427" s="3" t="s">
        <v>19</v>
      </c>
    </row>
    <row r="428" spans="1:15" x14ac:dyDescent="0.35">
      <c r="A428" s="2" t="s">
        <v>545</v>
      </c>
      <c r="B428" s="2">
        <v>214</v>
      </c>
      <c r="C428" s="2" t="s">
        <v>16</v>
      </c>
      <c r="D428" s="2">
        <v>968</v>
      </c>
      <c r="E428" s="2">
        <v>20020</v>
      </c>
      <c r="G428" s="2">
        <v>621</v>
      </c>
      <c r="H428" s="2" t="s">
        <v>544</v>
      </c>
      <c r="I428" s="2">
        <f>VLOOKUP(H428,[1]Customers!$A:$B,2,FALSE)</f>
        <v>3360</v>
      </c>
      <c r="J428" s="2">
        <v>45484</v>
      </c>
      <c r="M428" s="2">
        <v>22989.96</v>
      </c>
      <c r="N428" s="3" t="s">
        <v>19</v>
      </c>
    </row>
    <row r="429" spans="1:15" x14ac:dyDescent="0.35">
      <c r="A429" s="2" t="s">
        <v>545</v>
      </c>
      <c r="B429" s="2">
        <v>214.5</v>
      </c>
      <c r="C429" s="2" t="s">
        <v>20</v>
      </c>
      <c r="D429" s="2">
        <v>616</v>
      </c>
      <c r="E429" s="2">
        <v>20020</v>
      </c>
      <c r="F429" s="2">
        <v>616</v>
      </c>
      <c r="G429" s="2">
        <v>621</v>
      </c>
      <c r="H429" s="2" t="s">
        <v>544</v>
      </c>
      <c r="I429" s="2">
        <f>VLOOKUP(H429,[1]Customers!$A:$B,2,FALSE)</f>
        <v>3360</v>
      </c>
      <c r="J429" s="2">
        <v>45484</v>
      </c>
      <c r="L429" s="2">
        <v>22989.96</v>
      </c>
      <c r="N429" s="3" t="s">
        <v>19</v>
      </c>
    </row>
    <row r="430" spans="1:15" x14ac:dyDescent="0.35">
      <c r="A430" s="2" t="s">
        <v>546</v>
      </c>
      <c r="B430" s="2">
        <v>215</v>
      </c>
      <c r="C430" s="2" t="s">
        <v>16</v>
      </c>
      <c r="D430" s="2">
        <v>968</v>
      </c>
      <c r="E430" s="2">
        <v>20020</v>
      </c>
      <c r="G430" s="2">
        <v>1337</v>
      </c>
      <c r="H430" s="2" t="s">
        <v>547</v>
      </c>
      <c r="I430" s="2">
        <f>VLOOKUP(H430,[1]Customers!$A:$B,2,FALSE)</f>
        <v>3362</v>
      </c>
      <c r="J430" s="2">
        <v>44768</v>
      </c>
      <c r="K430" s="2" t="s">
        <v>548</v>
      </c>
      <c r="M430" s="2">
        <v>3278.72</v>
      </c>
      <c r="N430" s="3" t="s">
        <v>19</v>
      </c>
    </row>
    <row r="431" spans="1:15" x14ac:dyDescent="0.35">
      <c r="A431" s="2" t="s">
        <v>546</v>
      </c>
      <c r="B431" s="2">
        <v>215.5</v>
      </c>
      <c r="C431" s="2" t="s">
        <v>20</v>
      </c>
      <c r="D431" s="2">
        <v>616</v>
      </c>
      <c r="E431" s="2">
        <v>20020</v>
      </c>
      <c r="F431" s="2">
        <v>616</v>
      </c>
      <c r="G431" s="2">
        <v>1337</v>
      </c>
      <c r="H431" s="2" t="s">
        <v>547</v>
      </c>
      <c r="I431" s="2">
        <f>VLOOKUP(H431,[1]Customers!$A:$B,2,FALSE)</f>
        <v>3362</v>
      </c>
      <c r="J431" s="2">
        <v>44768</v>
      </c>
      <c r="K431" s="2" t="s">
        <v>548</v>
      </c>
      <c r="L431" s="2">
        <v>3278.72</v>
      </c>
      <c r="N431" s="3" t="s">
        <v>19</v>
      </c>
    </row>
    <row r="432" spans="1:15" x14ac:dyDescent="0.35">
      <c r="A432" s="2" t="s">
        <v>549</v>
      </c>
      <c r="B432" s="2">
        <v>216</v>
      </c>
      <c r="C432" s="2" t="s">
        <v>16</v>
      </c>
      <c r="D432" s="2">
        <v>968</v>
      </c>
      <c r="E432" s="2">
        <v>20020</v>
      </c>
      <c r="G432" s="2">
        <v>1155</v>
      </c>
      <c r="H432" s="2" t="s">
        <v>547</v>
      </c>
      <c r="I432" s="2">
        <f>VLOOKUP(H432,[1]Customers!$A:$B,2,FALSE)</f>
        <v>3362</v>
      </c>
      <c r="J432" s="2">
        <v>44950</v>
      </c>
      <c r="K432" s="2" t="s">
        <v>550</v>
      </c>
      <c r="M432" s="2">
        <v>7657.62</v>
      </c>
      <c r="N432" s="3" t="s">
        <v>19</v>
      </c>
    </row>
    <row r="433" spans="1:14" x14ac:dyDescent="0.35">
      <c r="A433" s="2" t="s">
        <v>549</v>
      </c>
      <c r="B433" s="2">
        <v>216.5</v>
      </c>
      <c r="C433" s="2" t="s">
        <v>20</v>
      </c>
      <c r="D433" s="2">
        <v>616</v>
      </c>
      <c r="E433" s="2">
        <v>20020</v>
      </c>
      <c r="F433" s="2">
        <v>616</v>
      </c>
      <c r="G433" s="2">
        <v>1155</v>
      </c>
      <c r="H433" s="2" t="s">
        <v>547</v>
      </c>
      <c r="I433" s="2">
        <f>VLOOKUP(H433,[1]Customers!$A:$B,2,FALSE)</f>
        <v>3362</v>
      </c>
      <c r="J433" s="2">
        <v>44950</v>
      </c>
      <c r="K433" s="2" t="s">
        <v>550</v>
      </c>
      <c r="L433" s="2">
        <v>7657.62</v>
      </c>
      <c r="N433" s="3" t="s">
        <v>19</v>
      </c>
    </row>
    <row r="434" spans="1:14" x14ac:dyDescent="0.35">
      <c r="A434" s="2" t="s">
        <v>551</v>
      </c>
      <c r="B434" s="2">
        <v>217</v>
      </c>
      <c r="C434" s="2" t="s">
        <v>16</v>
      </c>
      <c r="D434" s="2">
        <v>968</v>
      </c>
      <c r="E434" s="2">
        <v>20020</v>
      </c>
      <c r="G434" s="2">
        <v>1155</v>
      </c>
      <c r="H434" s="2" t="s">
        <v>547</v>
      </c>
      <c r="I434" s="2">
        <f>VLOOKUP(H434,[1]Customers!$A:$B,2,FALSE)</f>
        <v>3362</v>
      </c>
      <c r="J434" s="2">
        <v>44950</v>
      </c>
      <c r="K434" s="2" t="s">
        <v>552</v>
      </c>
      <c r="M434" s="2">
        <v>1380.42</v>
      </c>
      <c r="N434" s="3" t="s">
        <v>19</v>
      </c>
    </row>
    <row r="435" spans="1:14" x14ac:dyDescent="0.35">
      <c r="A435" s="2" t="s">
        <v>551</v>
      </c>
      <c r="B435" s="2">
        <v>217.5</v>
      </c>
      <c r="C435" s="2" t="s">
        <v>20</v>
      </c>
      <c r="D435" s="2">
        <v>616</v>
      </c>
      <c r="E435" s="2">
        <v>20020</v>
      </c>
      <c r="F435" s="2">
        <v>616</v>
      </c>
      <c r="G435" s="2">
        <v>1155</v>
      </c>
      <c r="H435" s="2" t="s">
        <v>547</v>
      </c>
      <c r="I435" s="2">
        <f>VLOOKUP(H435,[1]Customers!$A:$B,2,FALSE)</f>
        <v>3362</v>
      </c>
      <c r="J435" s="2">
        <v>44950</v>
      </c>
      <c r="K435" s="2" t="s">
        <v>552</v>
      </c>
      <c r="L435" s="2">
        <v>1380.42</v>
      </c>
      <c r="N435" s="3" t="s">
        <v>19</v>
      </c>
    </row>
    <row r="436" spans="1:14" x14ac:dyDescent="0.35">
      <c r="A436" s="2" t="s">
        <v>553</v>
      </c>
      <c r="B436" s="2">
        <v>218</v>
      </c>
      <c r="C436" s="2" t="s">
        <v>16</v>
      </c>
      <c r="D436" s="2">
        <v>968</v>
      </c>
      <c r="E436" s="2">
        <v>20020</v>
      </c>
      <c r="G436" s="2">
        <v>1155</v>
      </c>
      <c r="H436" s="2" t="s">
        <v>547</v>
      </c>
      <c r="I436" s="2">
        <f>VLOOKUP(H436,[1]Customers!$A:$B,2,FALSE)</f>
        <v>3362</v>
      </c>
      <c r="J436" s="2">
        <v>44950</v>
      </c>
      <c r="K436" s="2" t="s">
        <v>554</v>
      </c>
      <c r="M436" s="2">
        <v>5344.63</v>
      </c>
      <c r="N436" s="3" t="s">
        <v>19</v>
      </c>
    </row>
    <row r="437" spans="1:14" x14ac:dyDescent="0.35">
      <c r="A437" s="2" t="s">
        <v>553</v>
      </c>
      <c r="B437" s="2">
        <v>218.5</v>
      </c>
      <c r="C437" s="2" t="s">
        <v>20</v>
      </c>
      <c r="D437" s="2">
        <v>616</v>
      </c>
      <c r="E437" s="2">
        <v>20020</v>
      </c>
      <c r="F437" s="2">
        <v>616</v>
      </c>
      <c r="G437" s="2">
        <v>1155</v>
      </c>
      <c r="H437" s="2" t="s">
        <v>547</v>
      </c>
      <c r="I437" s="2">
        <f>VLOOKUP(H437,[1]Customers!$A:$B,2,FALSE)</f>
        <v>3362</v>
      </c>
      <c r="J437" s="2">
        <v>44950</v>
      </c>
      <c r="K437" s="2" t="s">
        <v>554</v>
      </c>
      <c r="L437" s="2">
        <v>5344.63</v>
      </c>
      <c r="N437" s="3" t="s">
        <v>19</v>
      </c>
    </row>
    <row r="438" spans="1:14" x14ac:dyDescent="0.35">
      <c r="A438" s="2" t="s">
        <v>555</v>
      </c>
      <c r="B438" s="2">
        <v>219</v>
      </c>
      <c r="C438" s="2" t="s">
        <v>16</v>
      </c>
      <c r="D438" s="2">
        <v>968</v>
      </c>
      <c r="E438" s="2">
        <v>20020</v>
      </c>
      <c r="G438" s="2">
        <v>1337</v>
      </c>
      <c r="H438" s="2" t="s">
        <v>547</v>
      </c>
      <c r="I438" s="2">
        <f>VLOOKUP(H438,[1]Customers!$A:$B,2,FALSE)</f>
        <v>3362</v>
      </c>
      <c r="J438" s="2">
        <v>44768</v>
      </c>
      <c r="K438" s="2" t="s">
        <v>556</v>
      </c>
      <c r="M438" s="2">
        <v>340</v>
      </c>
      <c r="N438" s="3" t="s">
        <v>19</v>
      </c>
    </row>
    <row r="439" spans="1:14" x14ac:dyDescent="0.35">
      <c r="A439" s="2" t="s">
        <v>555</v>
      </c>
      <c r="B439" s="2">
        <v>219.5</v>
      </c>
      <c r="C439" s="2" t="s">
        <v>20</v>
      </c>
      <c r="D439" s="2">
        <v>616</v>
      </c>
      <c r="E439" s="2">
        <v>20020</v>
      </c>
      <c r="F439" s="2">
        <v>616</v>
      </c>
      <c r="G439" s="2">
        <v>1337</v>
      </c>
      <c r="H439" s="2" t="s">
        <v>547</v>
      </c>
      <c r="I439" s="2">
        <f>VLOOKUP(H439,[1]Customers!$A:$B,2,FALSE)</f>
        <v>3362</v>
      </c>
      <c r="J439" s="2">
        <v>44768</v>
      </c>
      <c r="K439" s="2" t="s">
        <v>556</v>
      </c>
      <c r="L439" s="2">
        <v>340</v>
      </c>
      <c r="N439" s="3" t="s">
        <v>19</v>
      </c>
    </row>
    <row r="440" spans="1:14" x14ac:dyDescent="0.35">
      <c r="A440" s="2" t="s">
        <v>557</v>
      </c>
      <c r="B440" s="2">
        <v>220</v>
      </c>
      <c r="C440" s="2" t="s">
        <v>16</v>
      </c>
      <c r="D440" s="2">
        <v>968</v>
      </c>
      <c r="E440" s="2">
        <v>20020</v>
      </c>
      <c r="G440" s="2">
        <v>1155</v>
      </c>
      <c r="H440" s="2" t="s">
        <v>547</v>
      </c>
      <c r="I440" s="2">
        <f>VLOOKUP(H440,[1]Customers!$A:$B,2,FALSE)</f>
        <v>3362</v>
      </c>
      <c r="J440" s="2">
        <v>44950</v>
      </c>
      <c r="K440" s="2" t="s">
        <v>558</v>
      </c>
      <c r="M440" s="2">
        <v>6819.94</v>
      </c>
      <c r="N440" s="3" t="s">
        <v>19</v>
      </c>
    </row>
    <row r="441" spans="1:14" x14ac:dyDescent="0.35">
      <c r="A441" s="2" t="s">
        <v>557</v>
      </c>
      <c r="B441" s="2">
        <v>220.5</v>
      </c>
      <c r="C441" s="2" t="s">
        <v>20</v>
      </c>
      <c r="D441" s="2">
        <v>616</v>
      </c>
      <c r="E441" s="2">
        <v>20020</v>
      </c>
      <c r="F441" s="2">
        <v>616</v>
      </c>
      <c r="G441" s="2">
        <v>1155</v>
      </c>
      <c r="H441" s="2" t="s">
        <v>547</v>
      </c>
      <c r="I441" s="2">
        <f>VLOOKUP(H441,[1]Customers!$A:$B,2,FALSE)</f>
        <v>3362</v>
      </c>
      <c r="J441" s="2">
        <v>44950</v>
      </c>
      <c r="K441" s="2" t="s">
        <v>558</v>
      </c>
      <c r="L441" s="2">
        <v>6819.94</v>
      </c>
      <c r="N441" s="3" t="s">
        <v>19</v>
      </c>
    </row>
    <row r="442" spans="1:14" x14ac:dyDescent="0.35">
      <c r="A442" s="2" t="s">
        <v>559</v>
      </c>
      <c r="B442" s="2">
        <v>221</v>
      </c>
      <c r="C442" s="2" t="s">
        <v>16</v>
      </c>
      <c r="D442" s="2">
        <v>968</v>
      </c>
      <c r="E442" s="2">
        <v>20020</v>
      </c>
      <c r="G442" s="2">
        <v>1337</v>
      </c>
      <c r="H442" s="2" t="s">
        <v>547</v>
      </c>
      <c r="I442" s="2">
        <f>VLOOKUP(H442,[1]Customers!$A:$B,2,FALSE)</f>
        <v>3362</v>
      </c>
      <c r="J442" s="2">
        <v>44768</v>
      </c>
      <c r="K442" s="2" t="s">
        <v>560</v>
      </c>
      <c r="M442" s="2">
        <v>5788.39</v>
      </c>
      <c r="N442" s="3" t="s">
        <v>19</v>
      </c>
    </row>
    <row r="443" spans="1:14" x14ac:dyDescent="0.35">
      <c r="A443" s="2" t="s">
        <v>559</v>
      </c>
      <c r="B443" s="2">
        <v>221.5</v>
      </c>
      <c r="C443" s="2" t="s">
        <v>20</v>
      </c>
      <c r="D443" s="2">
        <v>616</v>
      </c>
      <c r="E443" s="2">
        <v>20020</v>
      </c>
      <c r="F443" s="2">
        <v>616</v>
      </c>
      <c r="G443" s="2">
        <v>1337</v>
      </c>
      <c r="H443" s="2" t="s">
        <v>547</v>
      </c>
      <c r="I443" s="2">
        <f>VLOOKUP(H443,[1]Customers!$A:$B,2,FALSE)</f>
        <v>3362</v>
      </c>
      <c r="J443" s="2">
        <v>44768</v>
      </c>
      <c r="K443" s="2" t="s">
        <v>560</v>
      </c>
      <c r="L443" s="2">
        <v>5788.39</v>
      </c>
      <c r="N443" s="3" t="s">
        <v>19</v>
      </c>
    </row>
    <row r="444" spans="1:14" x14ac:dyDescent="0.35">
      <c r="A444" s="2" t="s">
        <v>561</v>
      </c>
      <c r="B444" s="2">
        <v>222</v>
      </c>
      <c r="C444" s="2" t="s">
        <v>16</v>
      </c>
      <c r="D444" s="2">
        <v>968</v>
      </c>
      <c r="E444" s="2">
        <v>20020</v>
      </c>
      <c r="G444" s="2">
        <v>1155</v>
      </c>
      <c r="H444" s="2" t="s">
        <v>547</v>
      </c>
      <c r="I444" s="2">
        <f>VLOOKUP(H444,[1]Customers!$A:$B,2,FALSE)</f>
        <v>3362</v>
      </c>
      <c r="J444" s="2">
        <v>44950</v>
      </c>
      <c r="K444" s="2" t="s">
        <v>556</v>
      </c>
      <c r="M444" s="2">
        <v>18969.36</v>
      </c>
      <c r="N444" s="3" t="s">
        <v>19</v>
      </c>
    </row>
    <row r="445" spans="1:14" x14ac:dyDescent="0.35">
      <c r="A445" s="2" t="s">
        <v>561</v>
      </c>
      <c r="B445" s="2">
        <v>222.5</v>
      </c>
      <c r="C445" s="2" t="s">
        <v>20</v>
      </c>
      <c r="D445" s="2">
        <v>616</v>
      </c>
      <c r="E445" s="2">
        <v>20020</v>
      </c>
      <c r="F445" s="2">
        <v>616</v>
      </c>
      <c r="G445" s="2">
        <v>1155</v>
      </c>
      <c r="H445" s="2" t="s">
        <v>547</v>
      </c>
      <c r="I445" s="2">
        <f>VLOOKUP(H445,[1]Customers!$A:$B,2,FALSE)</f>
        <v>3362</v>
      </c>
      <c r="J445" s="2">
        <v>44950</v>
      </c>
      <c r="K445" s="2" t="s">
        <v>556</v>
      </c>
      <c r="L445" s="2">
        <v>18969.36</v>
      </c>
      <c r="N445" s="3" t="s">
        <v>19</v>
      </c>
    </row>
    <row r="446" spans="1:14" x14ac:dyDescent="0.35">
      <c r="A446" s="2" t="s">
        <v>562</v>
      </c>
      <c r="B446" s="2">
        <v>223</v>
      </c>
      <c r="C446" s="2" t="s">
        <v>16</v>
      </c>
      <c r="D446" s="2">
        <v>968</v>
      </c>
      <c r="E446" s="2">
        <v>20020</v>
      </c>
      <c r="G446" s="2">
        <v>1155</v>
      </c>
      <c r="H446" s="2" t="s">
        <v>547</v>
      </c>
      <c r="I446" s="2">
        <f>VLOOKUP(H446,[1]Customers!$A:$B,2,FALSE)</f>
        <v>3362</v>
      </c>
      <c r="J446" s="2">
        <v>44950</v>
      </c>
      <c r="K446" s="2" t="s">
        <v>560</v>
      </c>
      <c r="M446" s="2">
        <v>4210.8599999999997</v>
      </c>
      <c r="N446" s="3" t="s">
        <v>19</v>
      </c>
    </row>
    <row r="447" spans="1:14" x14ac:dyDescent="0.35">
      <c r="A447" s="2" t="s">
        <v>562</v>
      </c>
      <c r="B447" s="2">
        <v>223.5</v>
      </c>
      <c r="C447" s="2" t="s">
        <v>20</v>
      </c>
      <c r="D447" s="2">
        <v>616</v>
      </c>
      <c r="E447" s="2">
        <v>20020</v>
      </c>
      <c r="F447" s="2">
        <v>616</v>
      </c>
      <c r="G447" s="2">
        <v>1155</v>
      </c>
      <c r="H447" s="2" t="s">
        <v>547</v>
      </c>
      <c r="I447" s="2">
        <f>VLOOKUP(H447,[1]Customers!$A:$B,2,FALSE)</f>
        <v>3362</v>
      </c>
      <c r="J447" s="2">
        <v>44950</v>
      </c>
      <c r="K447" s="2" t="s">
        <v>560</v>
      </c>
      <c r="L447" s="2">
        <v>4210.8599999999997</v>
      </c>
      <c r="N447" s="3" t="s">
        <v>19</v>
      </c>
    </row>
    <row r="448" spans="1:14" ht="15" customHeight="1" x14ac:dyDescent="0.35">
      <c r="A448" s="2" t="s">
        <v>563</v>
      </c>
      <c r="B448" s="2">
        <v>224</v>
      </c>
      <c r="C448" s="2" t="s">
        <v>16</v>
      </c>
      <c r="D448" s="2">
        <v>968</v>
      </c>
      <c r="E448" s="2">
        <v>20020</v>
      </c>
      <c r="G448" s="2">
        <v>1337</v>
      </c>
      <c r="H448" s="2" t="s">
        <v>547</v>
      </c>
      <c r="I448" s="2">
        <f>VLOOKUP(H448,[1]Customers!$A:$B,2,FALSE)</f>
        <v>3362</v>
      </c>
      <c r="J448" s="2">
        <v>44768</v>
      </c>
      <c r="K448" s="2" t="s">
        <v>558</v>
      </c>
      <c r="M448" s="2">
        <v>9374.91</v>
      </c>
      <c r="N448" s="3" t="s">
        <v>19</v>
      </c>
    </row>
    <row r="449" spans="1:14" x14ac:dyDescent="0.35">
      <c r="A449" s="2" t="s">
        <v>563</v>
      </c>
      <c r="B449" s="2">
        <v>224.5</v>
      </c>
      <c r="C449" s="2" t="s">
        <v>20</v>
      </c>
      <c r="D449" s="2">
        <v>616</v>
      </c>
      <c r="E449" s="2">
        <v>20020</v>
      </c>
      <c r="F449" s="2">
        <v>616</v>
      </c>
      <c r="G449" s="2">
        <v>1337</v>
      </c>
      <c r="H449" s="2" t="s">
        <v>547</v>
      </c>
      <c r="I449" s="2">
        <f>VLOOKUP(H449,[1]Customers!$A:$B,2,FALSE)</f>
        <v>3362</v>
      </c>
      <c r="J449" s="2">
        <v>44768</v>
      </c>
      <c r="K449" s="2" t="s">
        <v>558</v>
      </c>
      <c r="L449" s="2">
        <v>9374.91</v>
      </c>
      <c r="N449" s="3" t="s">
        <v>19</v>
      </c>
    </row>
    <row r="450" spans="1:14" x14ac:dyDescent="0.35">
      <c r="A450" s="2" t="s">
        <v>564</v>
      </c>
      <c r="B450" s="2">
        <v>225</v>
      </c>
      <c r="C450" s="2" t="s">
        <v>16</v>
      </c>
      <c r="D450" s="2">
        <v>968</v>
      </c>
      <c r="E450" s="2">
        <v>20020</v>
      </c>
      <c r="G450" s="2">
        <v>1155</v>
      </c>
      <c r="H450" s="2" t="s">
        <v>547</v>
      </c>
      <c r="I450" s="2">
        <f>VLOOKUP(H450,[1]Customers!$A:$B,2,FALSE)</f>
        <v>3362</v>
      </c>
      <c r="J450" s="2">
        <v>44950</v>
      </c>
      <c r="K450" s="2" t="s">
        <v>565</v>
      </c>
      <c r="M450" s="2">
        <v>4196.33</v>
      </c>
      <c r="N450" s="3" t="s">
        <v>19</v>
      </c>
    </row>
    <row r="451" spans="1:14" x14ac:dyDescent="0.35">
      <c r="A451" s="2" t="s">
        <v>564</v>
      </c>
      <c r="B451" s="2">
        <v>225.5</v>
      </c>
      <c r="C451" s="2" t="s">
        <v>20</v>
      </c>
      <c r="D451" s="2">
        <v>616</v>
      </c>
      <c r="E451" s="2">
        <v>20020</v>
      </c>
      <c r="F451" s="2">
        <v>616</v>
      </c>
      <c r="G451" s="2">
        <v>1155</v>
      </c>
      <c r="H451" s="2" t="s">
        <v>547</v>
      </c>
      <c r="I451" s="2">
        <f>VLOOKUP(H451,[1]Customers!$A:$B,2,FALSE)</f>
        <v>3362</v>
      </c>
      <c r="J451" s="2">
        <v>44950</v>
      </c>
      <c r="K451" s="2" t="s">
        <v>565</v>
      </c>
      <c r="L451" s="2">
        <v>4196.33</v>
      </c>
      <c r="N451" s="3" t="s">
        <v>19</v>
      </c>
    </row>
    <row r="452" spans="1:14" x14ac:dyDescent="0.35">
      <c r="A452" s="2" t="s">
        <v>566</v>
      </c>
      <c r="B452" s="2">
        <v>226</v>
      </c>
      <c r="C452" s="2" t="s">
        <v>16</v>
      </c>
      <c r="D452" s="2">
        <v>968</v>
      </c>
      <c r="E452" s="2">
        <v>20020</v>
      </c>
      <c r="G452" s="2">
        <v>1337</v>
      </c>
      <c r="H452" s="2" t="s">
        <v>547</v>
      </c>
      <c r="I452" s="2">
        <f>VLOOKUP(H452,[1]Customers!$A:$B,2,FALSE)</f>
        <v>3362</v>
      </c>
      <c r="J452" s="2">
        <v>44768</v>
      </c>
      <c r="K452" s="2" t="s">
        <v>550</v>
      </c>
      <c r="M452" s="2">
        <v>256.45999999999998</v>
      </c>
      <c r="N452" s="3" t="s">
        <v>19</v>
      </c>
    </row>
    <row r="453" spans="1:14" x14ac:dyDescent="0.35">
      <c r="A453" s="2" t="s">
        <v>566</v>
      </c>
      <c r="B453" s="2">
        <v>226.5</v>
      </c>
      <c r="C453" s="2" t="s">
        <v>20</v>
      </c>
      <c r="D453" s="2">
        <v>616</v>
      </c>
      <c r="E453" s="2">
        <v>20020</v>
      </c>
      <c r="F453" s="2">
        <v>616</v>
      </c>
      <c r="G453" s="2">
        <v>1337</v>
      </c>
      <c r="H453" s="2" t="s">
        <v>547</v>
      </c>
      <c r="I453" s="2">
        <f>VLOOKUP(H453,[1]Customers!$A:$B,2,FALSE)</f>
        <v>3362</v>
      </c>
      <c r="J453" s="2">
        <v>44768</v>
      </c>
      <c r="K453" s="2" t="s">
        <v>550</v>
      </c>
      <c r="L453" s="2">
        <v>256.45999999999998</v>
      </c>
      <c r="N453" s="3" t="s">
        <v>19</v>
      </c>
    </row>
    <row r="454" spans="1:14" x14ac:dyDescent="0.35">
      <c r="A454" s="2" t="s">
        <v>567</v>
      </c>
      <c r="B454" s="2">
        <v>227</v>
      </c>
      <c r="C454" s="2" t="s">
        <v>16</v>
      </c>
      <c r="D454" s="2">
        <v>968</v>
      </c>
      <c r="E454" s="2">
        <v>20020</v>
      </c>
      <c r="G454" s="2">
        <v>1337</v>
      </c>
      <c r="H454" s="2" t="s">
        <v>547</v>
      </c>
      <c r="I454" s="2">
        <f>VLOOKUP(H454,[1]Customers!$A:$B,2,FALSE)</f>
        <v>3362</v>
      </c>
      <c r="J454" s="2">
        <v>44768</v>
      </c>
      <c r="K454" s="2" t="s">
        <v>552</v>
      </c>
      <c r="M454" s="2">
        <v>1897.57</v>
      </c>
      <c r="N454" s="3" t="s">
        <v>19</v>
      </c>
    </row>
    <row r="455" spans="1:14" x14ac:dyDescent="0.35">
      <c r="A455" s="2" t="s">
        <v>567</v>
      </c>
      <c r="B455" s="2">
        <v>227.5</v>
      </c>
      <c r="C455" s="2" t="s">
        <v>20</v>
      </c>
      <c r="D455" s="2">
        <v>616</v>
      </c>
      <c r="E455" s="2">
        <v>20020</v>
      </c>
      <c r="F455" s="2">
        <v>616</v>
      </c>
      <c r="G455" s="2">
        <v>1337</v>
      </c>
      <c r="H455" s="2" t="s">
        <v>547</v>
      </c>
      <c r="I455" s="2">
        <f>VLOOKUP(H455,[1]Customers!$A:$B,2,FALSE)</f>
        <v>3362</v>
      </c>
      <c r="J455" s="2">
        <v>44768</v>
      </c>
      <c r="K455" s="2" t="s">
        <v>552</v>
      </c>
      <c r="L455" s="2">
        <v>1897.57</v>
      </c>
      <c r="N455" s="3" t="s">
        <v>19</v>
      </c>
    </row>
    <row r="456" spans="1:14" x14ac:dyDescent="0.35">
      <c r="A456" s="2" t="s">
        <v>568</v>
      </c>
      <c r="B456" s="2">
        <v>228</v>
      </c>
      <c r="C456" s="2" t="s">
        <v>16</v>
      </c>
      <c r="D456" s="2">
        <v>968</v>
      </c>
      <c r="E456" s="2">
        <v>20020</v>
      </c>
      <c r="G456" s="2">
        <v>1155</v>
      </c>
      <c r="H456" s="2" t="s">
        <v>547</v>
      </c>
      <c r="I456" s="2">
        <f>VLOOKUP(H456,[1]Customers!$A:$B,2,FALSE)</f>
        <v>3362</v>
      </c>
      <c r="J456" s="2">
        <v>44950</v>
      </c>
      <c r="K456" s="2" t="s">
        <v>569</v>
      </c>
      <c r="M456" s="2">
        <v>1853.27</v>
      </c>
      <c r="N456" s="3" t="s">
        <v>19</v>
      </c>
    </row>
    <row r="457" spans="1:14" x14ac:dyDescent="0.35">
      <c r="A457" s="2" t="s">
        <v>568</v>
      </c>
      <c r="B457" s="2">
        <v>228.5</v>
      </c>
      <c r="C457" s="2" t="s">
        <v>20</v>
      </c>
      <c r="D457" s="2">
        <v>616</v>
      </c>
      <c r="E457" s="2">
        <v>20020</v>
      </c>
      <c r="F457" s="2">
        <v>616</v>
      </c>
      <c r="G457" s="2">
        <v>1155</v>
      </c>
      <c r="H457" s="2" t="s">
        <v>547</v>
      </c>
      <c r="I457" s="2">
        <f>VLOOKUP(H457,[1]Customers!$A:$B,2,FALSE)</f>
        <v>3362</v>
      </c>
      <c r="J457" s="2">
        <v>44950</v>
      </c>
      <c r="K457" s="2" t="s">
        <v>569</v>
      </c>
      <c r="L457" s="2">
        <v>1853.27</v>
      </c>
      <c r="N457" s="3" t="s">
        <v>19</v>
      </c>
    </row>
    <row r="458" spans="1:14" x14ac:dyDescent="0.35">
      <c r="A458" s="2" t="s">
        <v>570</v>
      </c>
      <c r="B458" s="2">
        <v>229</v>
      </c>
      <c r="C458" s="2" t="s">
        <v>16</v>
      </c>
      <c r="D458" s="2">
        <v>968</v>
      </c>
      <c r="E458" s="2">
        <v>20020</v>
      </c>
      <c r="G458" s="2">
        <v>1155</v>
      </c>
      <c r="H458" s="2" t="s">
        <v>547</v>
      </c>
      <c r="I458" s="2">
        <f>VLOOKUP(H458,[1]Customers!$A:$B,2,FALSE)</f>
        <v>3362</v>
      </c>
      <c r="J458" s="2">
        <v>44950</v>
      </c>
      <c r="K458" s="2" t="s">
        <v>548</v>
      </c>
      <c r="M458" s="2">
        <v>2385.16</v>
      </c>
      <c r="N458" s="3" t="s">
        <v>19</v>
      </c>
    </row>
    <row r="459" spans="1:14" x14ac:dyDescent="0.35">
      <c r="A459" s="2" t="s">
        <v>570</v>
      </c>
      <c r="B459" s="2">
        <v>229.5</v>
      </c>
      <c r="C459" s="2" t="s">
        <v>20</v>
      </c>
      <c r="D459" s="2">
        <v>616</v>
      </c>
      <c r="E459" s="2">
        <v>20020</v>
      </c>
      <c r="F459" s="2">
        <v>616</v>
      </c>
      <c r="G459" s="2">
        <v>1155</v>
      </c>
      <c r="H459" s="2" t="s">
        <v>547</v>
      </c>
      <c r="I459" s="2">
        <f>VLOOKUP(H459,[1]Customers!$A:$B,2,FALSE)</f>
        <v>3362</v>
      </c>
      <c r="J459" s="2">
        <v>44950</v>
      </c>
      <c r="K459" s="2" t="s">
        <v>548</v>
      </c>
      <c r="L459" s="2">
        <v>2385.16</v>
      </c>
      <c r="N459" s="3" t="s">
        <v>19</v>
      </c>
    </row>
    <row r="460" spans="1:14" x14ac:dyDescent="0.35">
      <c r="A460" s="2" t="s">
        <v>571</v>
      </c>
      <c r="B460" s="2">
        <v>230</v>
      </c>
      <c r="C460" s="2" t="s">
        <v>16</v>
      </c>
      <c r="D460" s="2">
        <v>968</v>
      </c>
      <c r="E460" s="2">
        <v>20020</v>
      </c>
      <c r="G460" s="2">
        <v>1337</v>
      </c>
      <c r="H460" s="2" t="s">
        <v>547</v>
      </c>
      <c r="I460" s="2">
        <f>VLOOKUP(H460,[1]Customers!$A:$B,2,FALSE)</f>
        <v>3362</v>
      </c>
      <c r="J460" s="2">
        <v>44768</v>
      </c>
      <c r="K460" s="2" t="s">
        <v>569</v>
      </c>
      <c r="M460" s="2">
        <v>3592</v>
      </c>
      <c r="N460" s="3" t="s">
        <v>19</v>
      </c>
    </row>
    <row r="461" spans="1:14" x14ac:dyDescent="0.35">
      <c r="A461" s="2" t="s">
        <v>571</v>
      </c>
      <c r="B461" s="2">
        <v>230.5</v>
      </c>
      <c r="C461" s="2" t="s">
        <v>20</v>
      </c>
      <c r="D461" s="2">
        <v>616</v>
      </c>
      <c r="E461" s="2">
        <v>20020</v>
      </c>
      <c r="F461" s="2">
        <v>616</v>
      </c>
      <c r="G461" s="2">
        <v>1337</v>
      </c>
      <c r="H461" s="2" t="s">
        <v>547</v>
      </c>
      <c r="I461" s="2">
        <f>VLOOKUP(H461,[1]Customers!$A:$B,2,FALSE)</f>
        <v>3362</v>
      </c>
      <c r="J461" s="2">
        <v>44768</v>
      </c>
      <c r="K461" s="2" t="s">
        <v>569</v>
      </c>
      <c r="L461" s="2">
        <v>3592</v>
      </c>
      <c r="N461" s="3" t="s">
        <v>19</v>
      </c>
    </row>
    <row r="462" spans="1:14" x14ac:dyDescent="0.35">
      <c r="A462" s="2" t="s">
        <v>572</v>
      </c>
      <c r="B462" s="2">
        <v>231</v>
      </c>
      <c r="C462" s="2" t="s">
        <v>16</v>
      </c>
      <c r="D462" s="2">
        <v>968</v>
      </c>
      <c r="E462" s="2">
        <v>20020</v>
      </c>
      <c r="G462" s="2">
        <v>1337</v>
      </c>
      <c r="H462" s="2" t="s">
        <v>547</v>
      </c>
      <c r="I462" s="2">
        <f>VLOOKUP(H462,[1]Customers!$A:$B,2,FALSE)</f>
        <v>3362</v>
      </c>
      <c r="J462" s="2">
        <v>44768</v>
      </c>
      <c r="K462" s="2" t="s">
        <v>554</v>
      </c>
      <c r="M462" s="2">
        <v>7346.91</v>
      </c>
      <c r="N462" s="3" t="s">
        <v>19</v>
      </c>
    </row>
    <row r="463" spans="1:14" ht="15" customHeight="1" x14ac:dyDescent="0.35">
      <c r="A463" s="2" t="s">
        <v>572</v>
      </c>
      <c r="B463" s="2">
        <v>231.5</v>
      </c>
      <c r="C463" s="2" t="s">
        <v>20</v>
      </c>
      <c r="D463" s="2">
        <v>616</v>
      </c>
      <c r="E463" s="2">
        <v>20020</v>
      </c>
      <c r="F463" s="2">
        <v>616</v>
      </c>
      <c r="G463" s="2">
        <v>1337</v>
      </c>
      <c r="H463" s="2" t="s">
        <v>547</v>
      </c>
      <c r="I463" s="2">
        <f>VLOOKUP(H463,[1]Customers!$A:$B,2,FALSE)</f>
        <v>3362</v>
      </c>
      <c r="J463" s="2">
        <v>44768</v>
      </c>
      <c r="K463" s="2" t="s">
        <v>554</v>
      </c>
      <c r="L463" s="2">
        <v>7346.91</v>
      </c>
      <c r="N463" s="3" t="s">
        <v>19</v>
      </c>
    </row>
    <row r="464" spans="1:14" x14ac:dyDescent="0.35">
      <c r="A464" s="2" t="s">
        <v>573</v>
      </c>
      <c r="B464" s="2">
        <v>232</v>
      </c>
      <c r="C464" s="2" t="s">
        <v>16</v>
      </c>
      <c r="D464" s="2">
        <v>968</v>
      </c>
      <c r="E464" s="2">
        <v>20020</v>
      </c>
      <c r="G464" s="2">
        <v>386</v>
      </c>
      <c r="H464" s="2" t="s">
        <v>574</v>
      </c>
      <c r="I464" s="2">
        <f>VLOOKUP(H464,[1]Customers!$A:$B,2,FALSE)</f>
        <v>2645</v>
      </c>
      <c r="J464" s="2">
        <v>45719</v>
      </c>
      <c r="K464" s="2" t="s">
        <v>575</v>
      </c>
      <c r="M464" s="2">
        <v>1247.8800000000001</v>
      </c>
      <c r="N464" s="3" t="s">
        <v>19</v>
      </c>
    </row>
    <row r="465" spans="1:15" x14ac:dyDescent="0.35">
      <c r="A465" s="2" t="s">
        <v>573</v>
      </c>
      <c r="B465" s="2">
        <v>232.5</v>
      </c>
      <c r="C465" s="2" t="s">
        <v>20</v>
      </c>
      <c r="D465" s="2">
        <v>616</v>
      </c>
      <c r="E465" s="2">
        <v>20020</v>
      </c>
      <c r="F465" s="2">
        <v>616</v>
      </c>
      <c r="G465" s="2">
        <v>386</v>
      </c>
      <c r="H465" s="2" t="s">
        <v>574</v>
      </c>
      <c r="I465" s="2">
        <f>VLOOKUP(H465,[1]Customers!$A:$B,2,FALSE)</f>
        <v>2645</v>
      </c>
      <c r="J465" s="2">
        <v>45719</v>
      </c>
      <c r="K465" s="2" t="s">
        <v>575</v>
      </c>
      <c r="L465" s="2">
        <v>1247.8800000000001</v>
      </c>
      <c r="N465" s="3" t="s">
        <v>19</v>
      </c>
    </row>
    <row r="466" spans="1:15" x14ac:dyDescent="0.35">
      <c r="A466" s="2" t="s">
        <v>576</v>
      </c>
      <c r="B466" s="2">
        <v>233</v>
      </c>
      <c r="C466" s="2" t="s">
        <v>16</v>
      </c>
      <c r="D466" s="2">
        <v>968</v>
      </c>
      <c r="E466" s="2">
        <v>20020</v>
      </c>
      <c r="G466" s="2">
        <v>326</v>
      </c>
      <c r="H466" s="2" t="s">
        <v>577</v>
      </c>
      <c r="I466" s="2">
        <f>VLOOKUP(H466,[1]Customers!$A:$B,2,FALSE)</f>
        <v>2499</v>
      </c>
      <c r="J466" s="2">
        <v>45779</v>
      </c>
      <c r="K466" s="2" t="s">
        <v>578</v>
      </c>
      <c r="M466" s="2">
        <v>477.68</v>
      </c>
      <c r="N466" s="3" t="s">
        <v>19</v>
      </c>
    </row>
    <row r="467" spans="1:15" x14ac:dyDescent="0.35">
      <c r="A467" s="2" t="s">
        <v>576</v>
      </c>
      <c r="B467" s="2">
        <v>233.5</v>
      </c>
      <c r="C467" s="2" t="s">
        <v>20</v>
      </c>
      <c r="D467" s="2">
        <v>616</v>
      </c>
      <c r="E467" s="2">
        <v>20020</v>
      </c>
      <c r="F467" s="2">
        <v>616</v>
      </c>
      <c r="G467" s="2">
        <v>326</v>
      </c>
      <c r="H467" s="2" t="s">
        <v>577</v>
      </c>
      <c r="I467" s="2">
        <f>VLOOKUP(H467,[1]Customers!$A:$B,2,FALSE)</f>
        <v>2499</v>
      </c>
      <c r="J467" s="2">
        <v>45779</v>
      </c>
      <c r="K467" s="2" t="s">
        <v>578</v>
      </c>
      <c r="L467" s="2">
        <v>477.68</v>
      </c>
      <c r="N467" s="3" t="s">
        <v>19</v>
      </c>
    </row>
    <row r="468" spans="1:15" x14ac:dyDescent="0.35">
      <c r="A468" s="2" t="s">
        <v>579</v>
      </c>
      <c r="B468" s="2">
        <v>234</v>
      </c>
      <c r="C468" s="2" t="s">
        <v>16</v>
      </c>
      <c r="D468" s="2">
        <v>968</v>
      </c>
      <c r="E468" s="2">
        <v>20020</v>
      </c>
      <c r="G468" s="2">
        <v>538</v>
      </c>
      <c r="H468" s="2" t="s">
        <v>580</v>
      </c>
      <c r="I468" s="2">
        <f>VLOOKUP(H468,[1]Customers!$A:$B,2,FALSE)</f>
        <v>2752</v>
      </c>
      <c r="J468" s="2">
        <v>45567</v>
      </c>
      <c r="M468" s="2">
        <v>6643.72</v>
      </c>
      <c r="N468" s="3" t="s">
        <v>19</v>
      </c>
    </row>
    <row r="469" spans="1:15" x14ac:dyDescent="0.35">
      <c r="A469" s="2" t="s">
        <v>579</v>
      </c>
      <c r="B469" s="2">
        <v>234.5</v>
      </c>
      <c r="C469" s="2" t="s">
        <v>20</v>
      </c>
      <c r="D469" s="2">
        <v>616</v>
      </c>
      <c r="E469" s="2">
        <v>20020</v>
      </c>
      <c r="F469" s="2">
        <v>616</v>
      </c>
      <c r="G469" s="2">
        <v>538</v>
      </c>
      <c r="H469" s="2" t="s">
        <v>580</v>
      </c>
      <c r="I469" s="2">
        <f>VLOOKUP(H469,[1]Customers!$A:$B,2,FALSE)</f>
        <v>2752</v>
      </c>
      <c r="J469" s="2">
        <v>45567</v>
      </c>
      <c r="L469" s="2">
        <v>6643.72</v>
      </c>
      <c r="N469" s="3" t="s">
        <v>19</v>
      </c>
    </row>
    <row r="470" spans="1:15" x14ac:dyDescent="0.35">
      <c r="A470" s="2" t="s">
        <v>581</v>
      </c>
      <c r="B470" s="2">
        <v>235</v>
      </c>
      <c r="C470" s="2" t="s">
        <v>16</v>
      </c>
      <c r="D470" s="2">
        <v>968</v>
      </c>
      <c r="E470" s="2">
        <v>20020</v>
      </c>
      <c r="G470" s="2">
        <v>595</v>
      </c>
      <c r="H470" s="2" t="s">
        <v>582</v>
      </c>
      <c r="I470" s="2">
        <f>VLOOKUP(H470,[1]Customers!$A:$B,2,FALSE)</f>
        <v>3365</v>
      </c>
      <c r="J470" s="2">
        <v>45510</v>
      </c>
      <c r="K470" s="2" t="s">
        <v>583</v>
      </c>
      <c r="M470" s="2">
        <v>329.6</v>
      </c>
      <c r="N470" s="3" t="s">
        <v>19</v>
      </c>
    </row>
    <row r="471" spans="1:15" x14ac:dyDescent="0.35">
      <c r="A471" s="2" t="s">
        <v>581</v>
      </c>
      <c r="B471" s="2">
        <v>235.5</v>
      </c>
      <c r="C471" s="2" t="s">
        <v>20</v>
      </c>
      <c r="D471" s="2">
        <v>616</v>
      </c>
      <c r="E471" s="2">
        <v>20020</v>
      </c>
      <c r="F471" s="2">
        <v>616</v>
      </c>
      <c r="G471" s="2">
        <v>595</v>
      </c>
      <c r="H471" s="2" t="s">
        <v>582</v>
      </c>
      <c r="I471" s="2">
        <f>VLOOKUP(H471,[1]Customers!$A:$B,2,FALSE)</f>
        <v>3365</v>
      </c>
      <c r="J471" s="2">
        <v>45510</v>
      </c>
      <c r="K471" s="2" t="s">
        <v>583</v>
      </c>
      <c r="L471" s="2">
        <v>329.6</v>
      </c>
      <c r="N471" s="3" t="s">
        <v>19</v>
      </c>
    </row>
    <row r="472" spans="1:15" x14ac:dyDescent="0.35">
      <c r="A472" s="2" t="s">
        <v>584</v>
      </c>
      <c r="B472" s="2">
        <v>236</v>
      </c>
      <c r="C472" s="2" t="s">
        <v>16</v>
      </c>
      <c r="D472" s="2">
        <v>968</v>
      </c>
      <c r="E472" s="2">
        <v>20020</v>
      </c>
      <c r="G472" s="2">
        <v>726</v>
      </c>
      <c r="H472" s="2" t="s">
        <v>585</v>
      </c>
      <c r="I472" s="2">
        <f>VLOOKUP(H472,[1]Customers!$A:$B,2,FALSE)</f>
        <v>2619</v>
      </c>
      <c r="J472" s="2">
        <v>45379</v>
      </c>
      <c r="K472" s="2" t="s">
        <v>586</v>
      </c>
      <c r="M472" s="2">
        <v>689</v>
      </c>
      <c r="N472" s="3" t="s">
        <v>19</v>
      </c>
      <c r="O472" s="2">
        <v>36351</v>
      </c>
    </row>
    <row r="473" spans="1:15" x14ac:dyDescent="0.35">
      <c r="A473" s="2" t="s">
        <v>584</v>
      </c>
      <c r="B473" s="2">
        <v>236.5</v>
      </c>
      <c r="C473" s="2" t="s">
        <v>20</v>
      </c>
      <c r="D473" s="2">
        <v>616</v>
      </c>
      <c r="E473" s="2">
        <v>20020</v>
      </c>
      <c r="F473" s="2">
        <v>616</v>
      </c>
      <c r="G473" s="2">
        <v>726</v>
      </c>
      <c r="H473" s="2" t="s">
        <v>585</v>
      </c>
      <c r="I473" s="2">
        <f>VLOOKUP(H473,[1]Customers!$A:$B,2,FALSE)</f>
        <v>2619</v>
      </c>
      <c r="J473" s="2">
        <v>45379</v>
      </c>
      <c r="K473" s="2" t="s">
        <v>586</v>
      </c>
      <c r="L473" s="2">
        <v>689</v>
      </c>
      <c r="N473" s="3" t="s">
        <v>19</v>
      </c>
      <c r="O473" s="2">
        <v>36351</v>
      </c>
    </row>
    <row r="474" spans="1:15" x14ac:dyDescent="0.35">
      <c r="A474" s="2" t="s">
        <v>587</v>
      </c>
      <c r="B474" s="2">
        <v>237</v>
      </c>
      <c r="C474" s="2" t="s">
        <v>16</v>
      </c>
      <c r="D474" s="2">
        <v>968</v>
      </c>
      <c r="E474" s="2">
        <v>20020</v>
      </c>
      <c r="G474" s="2">
        <v>1191</v>
      </c>
      <c r="H474" s="2" t="s">
        <v>588</v>
      </c>
      <c r="I474" s="2">
        <f>VLOOKUP(H474,[1]Customers!$A:$B,2,FALSE)</f>
        <v>3367</v>
      </c>
      <c r="J474" s="2">
        <v>44914</v>
      </c>
      <c r="K474" s="2" t="s">
        <v>589</v>
      </c>
      <c r="M474" s="2">
        <v>506.98</v>
      </c>
      <c r="N474" s="3" t="s">
        <v>19</v>
      </c>
    </row>
    <row r="475" spans="1:15" ht="15" customHeight="1" x14ac:dyDescent="0.35">
      <c r="A475" s="2" t="s">
        <v>587</v>
      </c>
      <c r="B475" s="2">
        <v>237.5</v>
      </c>
      <c r="C475" s="2" t="s">
        <v>20</v>
      </c>
      <c r="D475" s="2">
        <v>616</v>
      </c>
      <c r="E475" s="2">
        <v>20020</v>
      </c>
      <c r="F475" s="2">
        <v>616</v>
      </c>
      <c r="G475" s="2">
        <v>1191</v>
      </c>
      <c r="H475" s="2" t="s">
        <v>588</v>
      </c>
      <c r="I475" s="2">
        <f>VLOOKUP(H475,[1]Customers!$A:$B,2,FALSE)</f>
        <v>3367</v>
      </c>
      <c r="J475" s="2">
        <v>44914</v>
      </c>
      <c r="K475" s="2" t="s">
        <v>589</v>
      </c>
      <c r="L475" s="2">
        <v>506.98</v>
      </c>
      <c r="N475" s="3" t="s">
        <v>19</v>
      </c>
    </row>
    <row r="476" spans="1:15" x14ac:dyDescent="0.35">
      <c r="A476" s="2" t="s">
        <v>590</v>
      </c>
      <c r="B476" s="2">
        <v>238</v>
      </c>
      <c r="C476" s="2" t="s">
        <v>16</v>
      </c>
      <c r="D476" s="2">
        <v>968</v>
      </c>
      <c r="E476" s="2">
        <v>20020</v>
      </c>
      <c r="G476" s="2">
        <v>455</v>
      </c>
      <c r="H476" s="2" t="s">
        <v>591</v>
      </c>
      <c r="I476" s="2">
        <f>VLOOKUP(H476,[1]Customers!$A:$B,2,FALSE)</f>
        <v>3368</v>
      </c>
      <c r="J476" s="2">
        <v>45650</v>
      </c>
      <c r="K476" s="2" t="s">
        <v>592</v>
      </c>
      <c r="M476" s="2">
        <v>1995</v>
      </c>
      <c r="N476" s="3" t="s">
        <v>19</v>
      </c>
    </row>
    <row r="477" spans="1:15" x14ac:dyDescent="0.35">
      <c r="A477" s="2" t="s">
        <v>590</v>
      </c>
      <c r="B477" s="2">
        <v>238.5</v>
      </c>
      <c r="C477" s="2" t="s">
        <v>20</v>
      </c>
      <c r="D477" s="2">
        <v>616</v>
      </c>
      <c r="E477" s="2">
        <v>20020</v>
      </c>
      <c r="F477" s="2">
        <v>616</v>
      </c>
      <c r="G477" s="2">
        <v>455</v>
      </c>
      <c r="H477" s="2" t="s">
        <v>591</v>
      </c>
      <c r="I477" s="2">
        <f>VLOOKUP(H477,[1]Customers!$A:$B,2,FALSE)</f>
        <v>3368</v>
      </c>
      <c r="J477" s="2">
        <v>45650</v>
      </c>
      <c r="K477" s="2" t="s">
        <v>592</v>
      </c>
      <c r="L477" s="2">
        <v>1995</v>
      </c>
      <c r="N477" s="3" t="s">
        <v>19</v>
      </c>
    </row>
    <row r="478" spans="1:15" x14ac:dyDescent="0.35">
      <c r="A478" s="2" t="s">
        <v>593</v>
      </c>
      <c r="B478" s="2">
        <v>239</v>
      </c>
      <c r="C478" s="2" t="s">
        <v>16</v>
      </c>
      <c r="D478" s="2">
        <v>968</v>
      </c>
      <c r="E478" s="2">
        <v>20020</v>
      </c>
      <c r="G478" s="2">
        <v>305</v>
      </c>
      <c r="H478" s="2" t="s">
        <v>591</v>
      </c>
      <c r="I478" s="2">
        <f>VLOOKUP(H478,[1]Customers!$A:$B,2,FALSE)</f>
        <v>3368</v>
      </c>
      <c r="J478" s="2">
        <v>45800</v>
      </c>
      <c r="K478" s="2" t="s">
        <v>594</v>
      </c>
      <c r="M478" s="2">
        <v>346648.83</v>
      </c>
      <c r="N478" s="3" t="s">
        <v>19</v>
      </c>
    </row>
    <row r="479" spans="1:15" x14ac:dyDescent="0.35">
      <c r="A479" s="2" t="s">
        <v>593</v>
      </c>
      <c r="B479" s="2">
        <v>239.5</v>
      </c>
      <c r="C479" s="2" t="s">
        <v>20</v>
      </c>
      <c r="D479" s="2">
        <v>616</v>
      </c>
      <c r="E479" s="2">
        <v>20020</v>
      </c>
      <c r="F479" s="2">
        <v>616</v>
      </c>
      <c r="G479" s="2">
        <v>305</v>
      </c>
      <c r="H479" s="2" t="s">
        <v>591</v>
      </c>
      <c r="I479" s="2">
        <f>VLOOKUP(H479,[1]Customers!$A:$B,2,FALSE)</f>
        <v>3368</v>
      </c>
      <c r="J479" s="2">
        <v>45800</v>
      </c>
      <c r="K479" s="2" t="s">
        <v>594</v>
      </c>
      <c r="L479" s="2">
        <v>346648.83</v>
      </c>
      <c r="N479" s="3" t="s">
        <v>19</v>
      </c>
    </row>
    <row r="480" spans="1:15" x14ac:dyDescent="0.35">
      <c r="A480" s="2" t="s">
        <v>595</v>
      </c>
      <c r="B480" s="2">
        <v>240</v>
      </c>
      <c r="C480" s="2" t="s">
        <v>16</v>
      </c>
      <c r="D480" s="2">
        <v>968</v>
      </c>
      <c r="E480" s="2">
        <v>20020</v>
      </c>
      <c r="G480" s="2">
        <v>404</v>
      </c>
      <c r="H480" s="2" t="s">
        <v>591</v>
      </c>
      <c r="I480" s="2">
        <f>VLOOKUP(H480,[1]Customers!$A:$B,2,FALSE)</f>
        <v>3368</v>
      </c>
      <c r="J480" s="2">
        <v>45701</v>
      </c>
      <c r="K480" s="2" t="s">
        <v>596</v>
      </c>
      <c r="M480" s="2">
        <v>3975.37</v>
      </c>
      <c r="N480" s="3" t="s">
        <v>19</v>
      </c>
    </row>
    <row r="481" spans="1:15" x14ac:dyDescent="0.35">
      <c r="A481" s="2" t="s">
        <v>595</v>
      </c>
      <c r="B481" s="2">
        <v>240.5</v>
      </c>
      <c r="C481" s="2" t="s">
        <v>20</v>
      </c>
      <c r="D481" s="2">
        <v>616</v>
      </c>
      <c r="E481" s="2">
        <v>20020</v>
      </c>
      <c r="F481" s="2">
        <v>616</v>
      </c>
      <c r="G481" s="2">
        <v>404</v>
      </c>
      <c r="H481" s="2" t="s">
        <v>591</v>
      </c>
      <c r="I481" s="2">
        <f>VLOOKUP(H481,[1]Customers!$A:$B,2,FALSE)</f>
        <v>3368</v>
      </c>
      <c r="J481" s="2">
        <v>45701</v>
      </c>
      <c r="K481" s="2" t="s">
        <v>596</v>
      </c>
      <c r="L481" s="2">
        <v>3975.37</v>
      </c>
      <c r="N481" s="3" t="s">
        <v>19</v>
      </c>
    </row>
    <row r="482" spans="1:15" x14ac:dyDescent="0.35">
      <c r="A482" s="2" t="s">
        <v>597</v>
      </c>
      <c r="B482" s="2">
        <v>241</v>
      </c>
      <c r="C482" s="2" t="s">
        <v>16</v>
      </c>
      <c r="D482" s="2">
        <v>968</v>
      </c>
      <c r="E482" s="2">
        <v>20020</v>
      </c>
      <c r="G482" s="2">
        <v>1958</v>
      </c>
      <c r="H482" s="2" t="s">
        <v>591</v>
      </c>
      <c r="I482" s="2">
        <f>VLOOKUP(H482,[1]Customers!$A:$B,2,FALSE)</f>
        <v>3368</v>
      </c>
      <c r="J482" s="2">
        <v>44147</v>
      </c>
      <c r="K482" s="2" t="s">
        <v>598</v>
      </c>
      <c r="M482" s="2">
        <v>11048.62</v>
      </c>
      <c r="N482" s="3" t="s">
        <v>19</v>
      </c>
      <c r="O482" s="2" t="s">
        <v>599</v>
      </c>
    </row>
    <row r="483" spans="1:15" x14ac:dyDescent="0.35">
      <c r="A483" s="2" t="s">
        <v>597</v>
      </c>
      <c r="B483" s="2">
        <v>241.5</v>
      </c>
      <c r="C483" s="2" t="s">
        <v>20</v>
      </c>
      <c r="D483" s="2">
        <v>616</v>
      </c>
      <c r="E483" s="2">
        <v>20020</v>
      </c>
      <c r="F483" s="2">
        <v>616</v>
      </c>
      <c r="G483" s="2">
        <v>1958</v>
      </c>
      <c r="H483" s="2" t="s">
        <v>591</v>
      </c>
      <c r="I483" s="2">
        <f>VLOOKUP(H483,[1]Customers!$A:$B,2,FALSE)</f>
        <v>3368</v>
      </c>
      <c r="J483" s="2">
        <v>44147</v>
      </c>
      <c r="K483" s="2" t="s">
        <v>598</v>
      </c>
      <c r="L483" s="2">
        <v>11048.62</v>
      </c>
      <c r="N483" s="3" t="s">
        <v>19</v>
      </c>
      <c r="O483" s="2" t="s">
        <v>599</v>
      </c>
    </row>
    <row r="484" spans="1:15" x14ac:dyDescent="0.35">
      <c r="A484" s="2" t="s">
        <v>600</v>
      </c>
      <c r="B484" s="2">
        <v>242</v>
      </c>
      <c r="C484" s="2" t="s">
        <v>16</v>
      </c>
      <c r="D484" s="2">
        <v>968</v>
      </c>
      <c r="E484" s="2">
        <v>20020</v>
      </c>
      <c r="G484" s="2">
        <v>463</v>
      </c>
      <c r="H484" s="2" t="s">
        <v>601</v>
      </c>
      <c r="I484" s="2">
        <f>VLOOKUP(H484,[1]Customers!$A:$B,2,FALSE)</f>
        <v>3564</v>
      </c>
      <c r="J484" s="2">
        <v>45642</v>
      </c>
      <c r="K484" s="2" t="s">
        <v>602</v>
      </c>
      <c r="M484" s="2">
        <v>14924.64</v>
      </c>
      <c r="N484" s="3" t="s">
        <v>19</v>
      </c>
    </row>
    <row r="485" spans="1:15" x14ac:dyDescent="0.35">
      <c r="A485" s="2" t="s">
        <v>600</v>
      </c>
      <c r="B485" s="2">
        <v>242.5</v>
      </c>
      <c r="C485" s="2" t="s">
        <v>20</v>
      </c>
      <c r="D485" s="2">
        <v>616</v>
      </c>
      <c r="E485" s="2">
        <v>20020</v>
      </c>
      <c r="F485" s="2">
        <v>616</v>
      </c>
      <c r="G485" s="2">
        <v>463</v>
      </c>
      <c r="H485" s="2" t="s">
        <v>601</v>
      </c>
      <c r="I485" s="2">
        <f>VLOOKUP(H485,[1]Customers!$A:$B,2,FALSE)</f>
        <v>3564</v>
      </c>
      <c r="J485" s="2">
        <v>45642</v>
      </c>
      <c r="K485" s="2" t="s">
        <v>602</v>
      </c>
      <c r="L485" s="2">
        <v>14924.64</v>
      </c>
      <c r="N485" s="3" t="s">
        <v>19</v>
      </c>
    </row>
    <row r="486" spans="1:15" x14ac:dyDescent="0.35">
      <c r="A486" s="2" t="s">
        <v>603</v>
      </c>
      <c r="B486" s="2">
        <v>243</v>
      </c>
      <c r="C486" s="2" t="s">
        <v>16</v>
      </c>
      <c r="D486" s="2">
        <v>968</v>
      </c>
      <c r="E486" s="2">
        <v>20020</v>
      </c>
      <c r="G486" s="2">
        <v>372</v>
      </c>
      <c r="H486" s="2" t="s">
        <v>604</v>
      </c>
      <c r="I486" s="2">
        <f>VLOOKUP(H486,[1]Customers!$A:$B,2,FALSE)</f>
        <v>2178</v>
      </c>
      <c r="J486" s="2">
        <v>45733</v>
      </c>
      <c r="K486" s="2" t="s">
        <v>605</v>
      </c>
      <c r="M486" s="2">
        <v>41797.64</v>
      </c>
      <c r="N486" s="3" t="s">
        <v>19</v>
      </c>
    </row>
    <row r="487" spans="1:15" x14ac:dyDescent="0.35">
      <c r="A487" s="2" t="s">
        <v>603</v>
      </c>
      <c r="B487" s="2">
        <v>243.5</v>
      </c>
      <c r="C487" s="2" t="s">
        <v>20</v>
      </c>
      <c r="D487" s="2">
        <v>616</v>
      </c>
      <c r="E487" s="2">
        <v>20020</v>
      </c>
      <c r="F487" s="2">
        <v>616</v>
      </c>
      <c r="G487" s="2">
        <v>372</v>
      </c>
      <c r="H487" s="2" t="s">
        <v>604</v>
      </c>
      <c r="I487" s="2">
        <f>VLOOKUP(H487,[1]Customers!$A:$B,2,FALSE)</f>
        <v>2178</v>
      </c>
      <c r="J487" s="2">
        <v>45733</v>
      </c>
      <c r="K487" s="2" t="s">
        <v>605</v>
      </c>
      <c r="L487" s="2">
        <v>41797.64</v>
      </c>
      <c r="N487" s="3" t="s">
        <v>19</v>
      </c>
    </row>
    <row r="488" spans="1:15" x14ac:dyDescent="0.35">
      <c r="A488" s="2" t="s">
        <v>606</v>
      </c>
      <c r="B488" s="2">
        <v>244</v>
      </c>
      <c r="C488" s="2" t="s">
        <v>16</v>
      </c>
      <c r="D488" s="2">
        <v>968</v>
      </c>
      <c r="E488" s="2">
        <v>20020</v>
      </c>
      <c r="G488" s="2">
        <v>505</v>
      </c>
      <c r="H488" s="2" t="s">
        <v>607</v>
      </c>
      <c r="I488" s="2">
        <f>VLOOKUP(H488,[1]Customers!$A:$B,2,FALSE)</f>
        <v>3412</v>
      </c>
      <c r="J488" s="2">
        <v>45600</v>
      </c>
      <c r="K488" s="2" t="s">
        <v>608</v>
      </c>
      <c r="M488" s="2">
        <v>44614.29</v>
      </c>
      <c r="N488" s="3" t="s">
        <v>19</v>
      </c>
    </row>
    <row r="489" spans="1:15" x14ac:dyDescent="0.35">
      <c r="A489" s="2" t="s">
        <v>606</v>
      </c>
      <c r="B489" s="2">
        <v>244.5</v>
      </c>
      <c r="C489" s="2" t="s">
        <v>20</v>
      </c>
      <c r="D489" s="2">
        <v>616</v>
      </c>
      <c r="E489" s="2">
        <v>20020</v>
      </c>
      <c r="F489" s="2">
        <v>616</v>
      </c>
      <c r="G489" s="2">
        <v>505</v>
      </c>
      <c r="H489" s="2" t="s">
        <v>607</v>
      </c>
      <c r="I489" s="2">
        <f>VLOOKUP(H489,[1]Customers!$A:$B,2,FALSE)</f>
        <v>3412</v>
      </c>
      <c r="J489" s="2">
        <v>45600</v>
      </c>
      <c r="K489" s="2" t="s">
        <v>608</v>
      </c>
      <c r="L489" s="2">
        <v>44614.29</v>
      </c>
      <c r="N489" s="3" t="s">
        <v>19</v>
      </c>
    </row>
    <row r="490" spans="1:15" x14ac:dyDescent="0.35">
      <c r="A490" s="2" t="s">
        <v>609</v>
      </c>
      <c r="B490" s="2">
        <v>245</v>
      </c>
      <c r="C490" s="2" t="s">
        <v>16</v>
      </c>
      <c r="D490" s="2">
        <v>968</v>
      </c>
      <c r="E490" s="2">
        <v>20020</v>
      </c>
      <c r="G490" s="2">
        <v>305</v>
      </c>
      <c r="H490" s="2" t="s">
        <v>607</v>
      </c>
      <c r="I490" s="2">
        <f>VLOOKUP(H490,[1]Customers!$A:$B,2,FALSE)</f>
        <v>3412</v>
      </c>
      <c r="J490" s="2">
        <v>45800</v>
      </c>
      <c r="K490" s="2" t="s">
        <v>608</v>
      </c>
      <c r="M490" s="2">
        <v>177412.72</v>
      </c>
      <c r="N490" s="3" t="s">
        <v>19</v>
      </c>
    </row>
    <row r="491" spans="1:15" x14ac:dyDescent="0.35">
      <c r="A491" s="2" t="s">
        <v>609</v>
      </c>
      <c r="B491" s="2">
        <v>245.5</v>
      </c>
      <c r="C491" s="2" t="s">
        <v>20</v>
      </c>
      <c r="D491" s="2">
        <v>616</v>
      </c>
      <c r="E491" s="2">
        <v>20020</v>
      </c>
      <c r="F491" s="2">
        <v>616</v>
      </c>
      <c r="G491" s="2">
        <v>305</v>
      </c>
      <c r="H491" s="2" t="s">
        <v>607</v>
      </c>
      <c r="I491" s="2">
        <f>VLOOKUP(H491,[1]Customers!$A:$B,2,FALSE)</f>
        <v>3412</v>
      </c>
      <c r="J491" s="2">
        <v>45800</v>
      </c>
      <c r="K491" s="2" t="s">
        <v>608</v>
      </c>
      <c r="L491" s="2">
        <v>177412.72</v>
      </c>
      <c r="N491" s="3" t="s">
        <v>19</v>
      </c>
    </row>
    <row r="492" spans="1:15" x14ac:dyDescent="0.35">
      <c r="A492" s="2" t="s">
        <v>610</v>
      </c>
      <c r="B492" s="2">
        <v>246</v>
      </c>
      <c r="C492" s="2" t="s">
        <v>16</v>
      </c>
      <c r="D492" s="2">
        <v>968</v>
      </c>
      <c r="E492" s="2">
        <v>20020</v>
      </c>
      <c r="G492" s="2">
        <v>348</v>
      </c>
      <c r="H492" s="2" t="s">
        <v>611</v>
      </c>
      <c r="I492" s="2">
        <f>VLOOKUP(H492,[1]Customers!$A:$B,2,FALSE)</f>
        <v>2358</v>
      </c>
      <c r="J492" s="2">
        <v>45757</v>
      </c>
      <c r="K492" s="2" t="s">
        <v>612</v>
      </c>
      <c r="M492" s="2">
        <v>247.37</v>
      </c>
      <c r="N492" s="3" t="s">
        <v>19</v>
      </c>
      <c r="O492" s="2">
        <v>647</v>
      </c>
    </row>
    <row r="493" spans="1:15" x14ac:dyDescent="0.35">
      <c r="A493" s="2" t="s">
        <v>610</v>
      </c>
      <c r="B493" s="2">
        <v>246.5</v>
      </c>
      <c r="C493" s="2" t="s">
        <v>20</v>
      </c>
      <c r="D493" s="2">
        <v>616</v>
      </c>
      <c r="E493" s="2">
        <v>20020</v>
      </c>
      <c r="F493" s="2">
        <v>616</v>
      </c>
      <c r="G493" s="2">
        <v>348</v>
      </c>
      <c r="H493" s="2" t="s">
        <v>611</v>
      </c>
      <c r="I493" s="2">
        <f>VLOOKUP(H493,[1]Customers!$A:$B,2,FALSE)</f>
        <v>2358</v>
      </c>
      <c r="J493" s="2">
        <v>45757</v>
      </c>
      <c r="K493" s="2" t="s">
        <v>612</v>
      </c>
      <c r="L493" s="2">
        <v>247.37</v>
      </c>
      <c r="N493" s="3" t="s">
        <v>19</v>
      </c>
      <c r="O493" s="2">
        <v>647</v>
      </c>
    </row>
    <row r="494" spans="1:15" x14ac:dyDescent="0.35">
      <c r="A494" s="2" t="s">
        <v>613</v>
      </c>
      <c r="B494" s="2">
        <v>247</v>
      </c>
      <c r="C494" s="2" t="s">
        <v>16</v>
      </c>
      <c r="D494" s="2">
        <v>968</v>
      </c>
      <c r="E494" s="2">
        <v>20020</v>
      </c>
      <c r="G494" s="2">
        <v>351</v>
      </c>
      <c r="H494" s="2" t="s">
        <v>614</v>
      </c>
      <c r="I494" s="2">
        <f>VLOOKUP(H494,[1]Customers!$A:$B,2,FALSE)</f>
        <v>2337</v>
      </c>
      <c r="J494" s="2">
        <v>45754</v>
      </c>
      <c r="K494" s="2" t="s">
        <v>615</v>
      </c>
      <c r="M494" s="2">
        <v>88140.03</v>
      </c>
      <c r="N494" s="3" t="s">
        <v>19</v>
      </c>
    </row>
    <row r="495" spans="1:15" x14ac:dyDescent="0.35">
      <c r="A495" s="2" t="s">
        <v>613</v>
      </c>
      <c r="B495" s="2">
        <v>247.5</v>
      </c>
      <c r="C495" s="2" t="s">
        <v>20</v>
      </c>
      <c r="D495" s="2">
        <v>616</v>
      </c>
      <c r="E495" s="2">
        <v>20020</v>
      </c>
      <c r="F495" s="2">
        <v>616</v>
      </c>
      <c r="G495" s="2">
        <v>351</v>
      </c>
      <c r="H495" s="2" t="s">
        <v>614</v>
      </c>
      <c r="I495" s="2">
        <f>VLOOKUP(H495,[1]Customers!$A:$B,2,FALSE)</f>
        <v>2337</v>
      </c>
      <c r="J495" s="2">
        <v>45754</v>
      </c>
      <c r="K495" s="2" t="s">
        <v>615</v>
      </c>
      <c r="L495" s="2">
        <v>88140.03</v>
      </c>
      <c r="N495" s="3" t="s">
        <v>19</v>
      </c>
    </row>
    <row r="496" spans="1:15" x14ac:dyDescent="0.35">
      <c r="A496" s="2" t="s">
        <v>616</v>
      </c>
      <c r="B496" s="2">
        <v>248</v>
      </c>
      <c r="C496" s="2" t="s">
        <v>16</v>
      </c>
      <c r="D496" s="2">
        <v>968</v>
      </c>
      <c r="E496" s="2">
        <v>20020</v>
      </c>
      <c r="G496" s="2">
        <v>355</v>
      </c>
      <c r="H496" s="2" t="s">
        <v>617</v>
      </c>
      <c r="I496" s="2">
        <f>VLOOKUP(H496,[1]Customers!$A:$B,2,FALSE)</f>
        <v>2335</v>
      </c>
      <c r="J496" s="2">
        <v>45750</v>
      </c>
      <c r="K496" s="2" t="s">
        <v>618</v>
      </c>
      <c r="M496" s="2">
        <v>461.84</v>
      </c>
      <c r="N496" s="3" t="s">
        <v>19</v>
      </c>
    </row>
    <row r="497" spans="1:14" x14ac:dyDescent="0.35">
      <c r="A497" s="2" t="s">
        <v>616</v>
      </c>
      <c r="B497" s="2">
        <v>248.5</v>
      </c>
      <c r="C497" s="2" t="s">
        <v>20</v>
      </c>
      <c r="D497" s="2">
        <v>616</v>
      </c>
      <c r="E497" s="2">
        <v>20020</v>
      </c>
      <c r="F497" s="2">
        <v>616</v>
      </c>
      <c r="G497" s="2">
        <v>355</v>
      </c>
      <c r="H497" s="2" t="s">
        <v>617</v>
      </c>
      <c r="I497" s="2">
        <f>VLOOKUP(H497,[1]Customers!$A:$B,2,FALSE)</f>
        <v>2335</v>
      </c>
      <c r="J497" s="2">
        <v>45750</v>
      </c>
      <c r="K497" s="2" t="s">
        <v>618</v>
      </c>
      <c r="L497" s="2">
        <v>461.84</v>
      </c>
      <c r="N497" s="3" t="s">
        <v>19</v>
      </c>
    </row>
    <row r="498" spans="1:14" x14ac:dyDescent="0.35">
      <c r="A498" s="2" t="s">
        <v>619</v>
      </c>
      <c r="B498" s="2">
        <v>249</v>
      </c>
      <c r="C498" s="2" t="s">
        <v>16</v>
      </c>
      <c r="D498" s="2">
        <v>968</v>
      </c>
      <c r="E498" s="2">
        <v>20020</v>
      </c>
      <c r="G498" s="2">
        <v>279</v>
      </c>
      <c r="H498" s="2" t="s">
        <v>620</v>
      </c>
      <c r="I498" s="2">
        <f>VLOOKUP(H498,[1]Customers!$A:$B,2,FALSE)</f>
        <v>596</v>
      </c>
      <c r="J498" s="2">
        <v>45826</v>
      </c>
      <c r="K498" s="2" t="s">
        <v>621</v>
      </c>
      <c r="M498" s="2">
        <v>642.17999999999995</v>
      </c>
      <c r="N498" s="3" t="s">
        <v>19</v>
      </c>
    </row>
    <row r="499" spans="1:14" x14ac:dyDescent="0.35">
      <c r="A499" s="2" t="s">
        <v>619</v>
      </c>
      <c r="B499" s="2">
        <v>249.5</v>
      </c>
      <c r="C499" s="2" t="s">
        <v>20</v>
      </c>
      <c r="D499" s="2">
        <v>616</v>
      </c>
      <c r="E499" s="2">
        <v>20020</v>
      </c>
      <c r="F499" s="2">
        <v>616</v>
      </c>
      <c r="G499" s="2">
        <v>279</v>
      </c>
      <c r="H499" s="2" t="s">
        <v>620</v>
      </c>
      <c r="I499" s="2">
        <f>VLOOKUP(H499,[1]Customers!$A:$B,2,FALSE)</f>
        <v>596</v>
      </c>
      <c r="J499" s="2">
        <v>45826</v>
      </c>
      <c r="K499" s="2" t="s">
        <v>621</v>
      </c>
      <c r="L499" s="2">
        <v>642.17999999999995</v>
      </c>
      <c r="N499" s="3" t="s">
        <v>19</v>
      </c>
    </row>
    <row r="500" spans="1:14" x14ac:dyDescent="0.35">
      <c r="A500" s="2" t="s">
        <v>622</v>
      </c>
      <c r="B500" s="2">
        <v>250</v>
      </c>
      <c r="C500" s="2" t="s">
        <v>16</v>
      </c>
      <c r="D500" s="2">
        <v>968</v>
      </c>
      <c r="E500" s="2">
        <v>20020</v>
      </c>
      <c r="G500" s="2">
        <v>272</v>
      </c>
      <c r="H500" s="2" t="s">
        <v>620</v>
      </c>
      <c r="I500" s="2">
        <f>VLOOKUP(H500,[1]Customers!$A:$B,2,FALSE)</f>
        <v>596</v>
      </c>
      <c r="J500" s="2">
        <v>45833</v>
      </c>
      <c r="K500" s="2" t="s">
        <v>623</v>
      </c>
      <c r="M500" s="2">
        <v>36000</v>
      </c>
      <c r="N500" s="3" t="s">
        <v>19</v>
      </c>
    </row>
    <row r="501" spans="1:14" x14ac:dyDescent="0.35">
      <c r="A501" s="2" t="s">
        <v>622</v>
      </c>
      <c r="B501" s="2">
        <v>250.5</v>
      </c>
      <c r="C501" s="2" t="s">
        <v>20</v>
      </c>
      <c r="D501" s="2">
        <v>616</v>
      </c>
      <c r="E501" s="2">
        <v>20020</v>
      </c>
      <c r="F501" s="2">
        <v>616</v>
      </c>
      <c r="G501" s="2">
        <v>272</v>
      </c>
      <c r="H501" s="2" t="s">
        <v>620</v>
      </c>
      <c r="I501" s="2">
        <f>VLOOKUP(H501,[1]Customers!$A:$B,2,FALSE)</f>
        <v>596</v>
      </c>
      <c r="J501" s="2">
        <v>45833</v>
      </c>
      <c r="K501" s="2" t="s">
        <v>623</v>
      </c>
      <c r="L501" s="2">
        <v>36000</v>
      </c>
      <c r="N501" s="3" t="s">
        <v>19</v>
      </c>
    </row>
    <row r="502" spans="1:14" ht="15" customHeight="1" x14ac:dyDescent="0.35">
      <c r="A502" s="2" t="s">
        <v>624</v>
      </c>
      <c r="B502" s="2">
        <v>251</v>
      </c>
      <c r="C502" s="2" t="s">
        <v>16</v>
      </c>
      <c r="D502" s="2">
        <v>968</v>
      </c>
      <c r="E502" s="2">
        <v>20020</v>
      </c>
      <c r="G502" s="2">
        <v>330</v>
      </c>
      <c r="H502" s="2" t="s">
        <v>620</v>
      </c>
      <c r="I502" s="2">
        <f>VLOOKUP(H502,[1]Customers!$A:$B,2,FALSE)</f>
        <v>596</v>
      </c>
      <c r="J502" s="2">
        <v>45775</v>
      </c>
      <c r="K502" s="2" t="s">
        <v>625</v>
      </c>
      <c r="M502" s="2">
        <v>40720</v>
      </c>
      <c r="N502" s="3" t="s">
        <v>19</v>
      </c>
    </row>
    <row r="503" spans="1:14" x14ac:dyDescent="0.35">
      <c r="A503" s="2" t="s">
        <v>624</v>
      </c>
      <c r="B503" s="2">
        <v>251.5</v>
      </c>
      <c r="C503" s="2" t="s">
        <v>20</v>
      </c>
      <c r="D503" s="2">
        <v>616</v>
      </c>
      <c r="E503" s="2">
        <v>20020</v>
      </c>
      <c r="F503" s="2">
        <v>616</v>
      </c>
      <c r="G503" s="2">
        <v>330</v>
      </c>
      <c r="H503" s="2" t="s">
        <v>620</v>
      </c>
      <c r="I503" s="2">
        <f>VLOOKUP(H503,[1]Customers!$A:$B,2,FALSE)</f>
        <v>596</v>
      </c>
      <c r="J503" s="2">
        <v>45775</v>
      </c>
      <c r="K503" s="2" t="s">
        <v>625</v>
      </c>
      <c r="L503" s="2">
        <v>40720</v>
      </c>
      <c r="N503" s="3" t="s">
        <v>19</v>
      </c>
    </row>
    <row r="504" spans="1:14" x14ac:dyDescent="0.35">
      <c r="A504" s="2" t="s">
        <v>626</v>
      </c>
      <c r="B504" s="2">
        <v>252</v>
      </c>
      <c r="C504" s="2" t="s">
        <v>16</v>
      </c>
      <c r="D504" s="2">
        <v>968</v>
      </c>
      <c r="E504" s="2">
        <v>20020</v>
      </c>
      <c r="G504" s="2">
        <v>321</v>
      </c>
      <c r="H504" s="2" t="s">
        <v>627</v>
      </c>
      <c r="I504" s="2">
        <f>VLOOKUP(H504,[1]Customers!$A:$B,2,FALSE)</f>
        <v>2445</v>
      </c>
      <c r="J504" s="2">
        <v>45784</v>
      </c>
      <c r="K504" s="2" t="s">
        <v>628</v>
      </c>
      <c r="M504" s="2">
        <v>937.85</v>
      </c>
      <c r="N504" s="3" t="s">
        <v>19</v>
      </c>
    </row>
    <row r="505" spans="1:14" x14ac:dyDescent="0.35">
      <c r="A505" s="2" t="s">
        <v>626</v>
      </c>
      <c r="B505" s="2">
        <v>252.5</v>
      </c>
      <c r="C505" s="2" t="s">
        <v>20</v>
      </c>
      <c r="D505" s="2">
        <v>616</v>
      </c>
      <c r="E505" s="2">
        <v>20020</v>
      </c>
      <c r="F505" s="2">
        <v>616</v>
      </c>
      <c r="G505" s="2">
        <v>321</v>
      </c>
      <c r="H505" s="2" t="s">
        <v>627</v>
      </c>
      <c r="I505" s="2">
        <f>VLOOKUP(H505,[1]Customers!$A:$B,2,FALSE)</f>
        <v>2445</v>
      </c>
      <c r="J505" s="2">
        <v>45784</v>
      </c>
      <c r="K505" s="2" t="s">
        <v>628</v>
      </c>
      <c r="L505" s="2">
        <v>937.85</v>
      </c>
      <c r="N505" s="3" t="s">
        <v>19</v>
      </c>
    </row>
    <row r="506" spans="1:14" x14ac:dyDescent="0.35">
      <c r="A506" s="2" t="s">
        <v>629</v>
      </c>
      <c r="B506" s="2">
        <v>253</v>
      </c>
      <c r="C506" s="2" t="s">
        <v>16</v>
      </c>
      <c r="D506" s="2">
        <v>968</v>
      </c>
      <c r="E506" s="2">
        <v>20020</v>
      </c>
      <c r="G506" s="2">
        <v>315</v>
      </c>
      <c r="H506" s="2" t="s">
        <v>630</v>
      </c>
      <c r="I506" s="2">
        <f>VLOOKUP(H506,[1]Customers!$A:$B,2,FALSE)</f>
        <v>1934</v>
      </c>
      <c r="J506" s="2">
        <v>45790</v>
      </c>
      <c r="K506" s="2" t="s">
        <v>631</v>
      </c>
      <c r="M506" s="2">
        <v>13250.94</v>
      </c>
      <c r="N506" s="3" t="s">
        <v>19</v>
      </c>
    </row>
    <row r="507" spans="1:14" x14ac:dyDescent="0.35">
      <c r="A507" s="2" t="s">
        <v>629</v>
      </c>
      <c r="B507" s="2">
        <v>253.5</v>
      </c>
      <c r="C507" s="2" t="s">
        <v>20</v>
      </c>
      <c r="D507" s="2">
        <v>616</v>
      </c>
      <c r="E507" s="2">
        <v>20020</v>
      </c>
      <c r="F507" s="2">
        <v>616</v>
      </c>
      <c r="G507" s="2">
        <v>315</v>
      </c>
      <c r="H507" s="2" t="s">
        <v>630</v>
      </c>
      <c r="I507" s="2">
        <f>VLOOKUP(H507,[1]Customers!$A:$B,2,FALSE)</f>
        <v>1934</v>
      </c>
      <c r="J507" s="2">
        <v>45790</v>
      </c>
      <c r="K507" s="2" t="s">
        <v>631</v>
      </c>
      <c r="L507" s="2">
        <v>13250.94</v>
      </c>
      <c r="N507" s="3" t="s">
        <v>19</v>
      </c>
    </row>
    <row r="508" spans="1:14" x14ac:dyDescent="0.35">
      <c r="A508" s="2" t="s">
        <v>632</v>
      </c>
      <c r="B508" s="2">
        <v>254</v>
      </c>
      <c r="C508" s="2" t="s">
        <v>16</v>
      </c>
      <c r="D508" s="2">
        <v>968</v>
      </c>
      <c r="E508" s="2">
        <v>20020</v>
      </c>
      <c r="G508" s="2">
        <v>438</v>
      </c>
      <c r="H508" s="2" t="s">
        <v>630</v>
      </c>
      <c r="I508" s="2">
        <f>VLOOKUP(H508,[1]Customers!$A:$B,2,FALSE)</f>
        <v>1934</v>
      </c>
      <c r="J508" s="2">
        <v>45667</v>
      </c>
      <c r="M508" s="2">
        <v>8145.33</v>
      </c>
      <c r="N508" s="3" t="s">
        <v>19</v>
      </c>
    </row>
    <row r="509" spans="1:14" x14ac:dyDescent="0.35">
      <c r="A509" s="2" t="s">
        <v>632</v>
      </c>
      <c r="B509" s="2">
        <v>254.5</v>
      </c>
      <c r="C509" s="2" t="s">
        <v>20</v>
      </c>
      <c r="D509" s="2">
        <v>616</v>
      </c>
      <c r="E509" s="2">
        <v>20020</v>
      </c>
      <c r="F509" s="2">
        <v>616</v>
      </c>
      <c r="G509" s="2">
        <v>438</v>
      </c>
      <c r="H509" s="2" t="s">
        <v>630</v>
      </c>
      <c r="I509" s="2">
        <f>VLOOKUP(H509,[1]Customers!$A:$B,2,FALSE)</f>
        <v>1934</v>
      </c>
      <c r="J509" s="2">
        <v>45667</v>
      </c>
      <c r="L509" s="2">
        <v>8145.33</v>
      </c>
      <c r="N509" s="3" t="s">
        <v>19</v>
      </c>
    </row>
    <row r="510" spans="1:14" x14ac:dyDescent="0.35">
      <c r="A510" s="2" t="s">
        <v>633</v>
      </c>
      <c r="B510" s="2">
        <v>255</v>
      </c>
      <c r="C510" s="2" t="s">
        <v>16</v>
      </c>
      <c r="D510" s="2">
        <v>968</v>
      </c>
      <c r="E510" s="2">
        <v>20020</v>
      </c>
      <c r="G510" s="2">
        <v>368</v>
      </c>
      <c r="H510" s="2" t="s">
        <v>630</v>
      </c>
      <c r="I510" s="2">
        <f>VLOOKUP(H510,[1]Customers!$A:$B,2,FALSE)</f>
        <v>1934</v>
      </c>
      <c r="J510" s="2">
        <v>45737</v>
      </c>
      <c r="K510" s="2" t="s">
        <v>634</v>
      </c>
      <c r="M510" s="2">
        <v>2811.65</v>
      </c>
      <c r="N510" s="3" t="s">
        <v>19</v>
      </c>
    </row>
    <row r="511" spans="1:14" x14ac:dyDescent="0.35">
      <c r="A511" s="2" t="s">
        <v>633</v>
      </c>
      <c r="B511" s="2">
        <v>255.5</v>
      </c>
      <c r="C511" s="2" t="s">
        <v>20</v>
      </c>
      <c r="D511" s="2">
        <v>616</v>
      </c>
      <c r="E511" s="2">
        <v>20020</v>
      </c>
      <c r="F511" s="2">
        <v>616</v>
      </c>
      <c r="G511" s="2">
        <v>368</v>
      </c>
      <c r="H511" s="2" t="s">
        <v>630</v>
      </c>
      <c r="I511" s="2">
        <f>VLOOKUP(H511,[1]Customers!$A:$B,2,FALSE)</f>
        <v>1934</v>
      </c>
      <c r="J511" s="2">
        <v>45737</v>
      </c>
      <c r="K511" s="2" t="s">
        <v>634</v>
      </c>
      <c r="L511" s="2">
        <v>2811.65</v>
      </c>
      <c r="N511" s="3" t="s">
        <v>19</v>
      </c>
    </row>
    <row r="512" spans="1:14" x14ac:dyDescent="0.35">
      <c r="A512" s="2" t="s">
        <v>635</v>
      </c>
      <c r="B512" s="2">
        <v>256</v>
      </c>
      <c r="C512" s="2" t="s">
        <v>16</v>
      </c>
      <c r="D512" s="2">
        <v>968</v>
      </c>
      <c r="E512" s="2">
        <v>20020</v>
      </c>
      <c r="G512" s="2">
        <v>307</v>
      </c>
      <c r="H512" s="2" t="s">
        <v>636</v>
      </c>
      <c r="I512" s="2">
        <f>VLOOKUP(H512,[1]Customers!$A:$B,2,FALSE)</f>
        <v>1554</v>
      </c>
      <c r="J512" s="2">
        <v>45798</v>
      </c>
      <c r="K512" s="2" t="s">
        <v>637</v>
      </c>
      <c r="M512" s="2">
        <v>3015.86</v>
      </c>
      <c r="N512" s="3" t="s">
        <v>19</v>
      </c>
    </row>
    <row r="513" spans="1:14" x14ac:dyDescent="0.35">
      <c r="A513" s="2" t="s">
        <v>635</v>
      </c>
      <c r="B513" s="2">
        <v>256.5</v>
      </c>
      <c r="C513" s="2" t="s">
        <v>20</v>
      </c>
      <c r="D513" s="2">
        <v>616</v>
      </c>
      <c r="E513" s="2">
        <v>20020</v>
      </c>
      <c r="F513" s="2">
        <v>616</v>
      </c>
      <c r="G513" s="2">
        <v>307</v>
      </c>
      <c r="H513" s="2" t="s">
        <v>636</v>
      </c>
      <c r="I513" s="2">
        <f>VLOOKUP(H513,[1]Customers!$A:$B,2,FALSE)</f>
        <v>1554</v>
      </c>
      <c r="J513" s="2">
        <v>45798</v>
      </c>
      <c r="K513" s="2" t="s">
        <v>637</v>
      </c>
      <c r="L513" s="2">
        <v>3015.86</v>
      </c>
      <c r="N513" s="3" t="s">
        <v>19</v>
      </c>
    </row>
    <row r="514" spans="1:14" x14ac:dyDescent="0.35">
      <c r="A514" s="2" t="s">
        <v>638</v>
      </c>
      <c r="B514" s="2">
        <v>257</v>
      </c>
      <c r="C514" s="2" t="s">
        <v>16</v>
      </c>
      <c r="D514" s="2">
        <v>968</v>
      </c>
      <c r="E514" s="2">
        <v>20020</v>
      </c>
      <c r="G514" s="2">
        <v>356</v>
      </c>
      <c r="H514" s="2" t="s">
        <v>636</v>
      </c>
      <c r="I514" s="2">
        <f>VLOOKUP(H514,[1]Customers!$A:$B,2,FALSE)</f>
        <v>1554</v>
      </c>
      <c r="J514" s="2">
        <v>45749</v>
      </c>
      <c r="K514" s="2" t="s">
        <v>639</v>
      </c>
      <c r="M514" s="2">
        <v>2918.06</v>
      </c>
      <c r="N514" s="3" t="s">
        <v>19</v>
      </c>
    </row>
    <row r="515" spans="1:14" x14ac:dyDescent="0.35">
      <c r="A515" s="2" t="s">
        <v>638</v>
      </c>
      <c r="B515" s="2">
        <v>257.5</v>
      </c>
      <c r="C515" s="2" t="s">
        <v>20</v>
      </c>
      <c r="D515" s="2">
        <v>616</v>
      </c>
      <c r="E515" s="2">
        <v>20020</v>
      </c>
      <c r="F515" s="2">
        <v>616</v>
      </c>
      <c r="G515" s="2">
        <v>356</v>
      </c>
      <c r="H515" s="2" t="s">
        <v>636</v>
      </c>
      <c r="I515" s="2">
        <f>VLOOKUP(H515,[1]Customers!$A:$B,2,FALSE)</f>
        <v>1554</v>
      </c>
      <c r="J515" s="2">
        <v>45749</v>
      </c>
      <c r="K515" s="2" t="s">
        <v>639</v>
      </c>
      <c r="L515" s="2">
        <v>2918.06</v>
      </c>
      <c r="N515" s="3" t="s">
        <v>19</v>
      </c>
    </row>
    <row r="516" spans="1:14" x14ac:dyDescent="0.35">
      <c r="A516" s="2" t="s">
        <v>640</v>
      </c>
      <c r="B516" s="2">
        <v>258</v>
      </c>
      <c r="C516" s="2" t="s">
        <v>16</v>
      </c>
      <c r="D516" s="2">
        <v>968</v>
      </c>
      <c r="E516" s="2">
        <v>20020</v>
      </c>
      <c r="G516" s="2">
        <v>368</v>
      </c>
      <c r="H516" s="2" t="s">
        <v>636</v>
      </c>
      <c r="I516" s="2">
        <f>VLOOKUP(H516,[1]Customers!$A:$B,2,FALSE)</f>
        <v>1554</v>
      </c>
      <c r="J516" s="2">
        <v>45737</v>
      </c>
      <c r="K516" s="2" t="s">
        <v>637</v>
      </c>
      <c r="M516" s="2">
        <v>24977.25</v>
      </c>
      <c r="N516" s="3" t="s">
        <v>19</v>
      </c>
    </row>
    <row r="517" spans="1:14" x14ac:dyDescent="0.35">
      <c r="A517" s="2" t="s">
        <v>640</v>
      </c>
      <c r="B517" s="2">
        <v>258.5</v>
      </c>
      <c r="C517" s="2" t="s">
        <v>20</v>
      </c>
      <c r="D517" s="2">
        <v>616</v>
      </c>
      <c r="E517" s="2">
        <v>20020</v>
      </c>
      <c r="F517" s="2">
        <v>616</v>
      </c>
      <c r="G517" s="2">
        <v>368</v>
      </c>
      <c r="H517" s="2" t="s">
        <v>636</v>
      </c>
      <c r="I517" s="2">
        <f>VLOOKUP(H517,[1]Customers!$A:$B,2,FALSE)</f>
        <v>1554</v>
      </c>
      <c r="J517" s="2">
        <v>45737</v>
      </c>
      <c r="K517" s="2" t="s">
        <v>637</v>
      </c>
      <c r="L517" s="2">
        <v>24977.25</v>
      </c>
      <c r="N517" s="3" t="s">
        <v>19</v>
      </c>
    </row>
    <row r="518" spans="1:14" x14ac:dyDescent="0.35">
      <c r="A518" s="2" t="s">
        <v>641</v>
      </c>
      <c r="B518" s="2">
        <v>259</v>
      </c>
      <c r="C518" s="2" t="s">
        <v>16</v>
      </c>
      <c r="D518" s="2">
        <v>968</v>
      </c>
      <c r="E518" s="2">
        <v>20020</v>
      </c>
      <c r="G518" s="2">
        <v>566</v>
      </c>
      <c r="H518" s="2" t="s">
        <v>642</v>
      </c>
      <c r="I518" s="2">
        <f>VLOOKUP(H518,[1]Customers!$A:$B,2,FALSE)</f>
        <v>1720</v>
      </c>
      <c r="J518" s="2">
        <v>45539</v>
      </c>
      <c r="K518" s="2" t="s">
        <v>643</v>
      </c>
      <c r="M518" s="2">
        <v>229426.76</v>
      </c>
      <c r="N518" s="3" t="s">
        <v>19</v>
      </c>
    </row>
    <row r="519" spans="1:14" x14ac:dyDescent="0.35">
      <c r="A519" s="2" t="s">
        <v>641</v>
      </c>
      <c r="B519" s="2">
        <v>259.5</v>
      </c>
      <c r="C519" s="2" t="s">
        <v>20</v>
      </c>
      <c r="D519" s="2">
        <v>616</v>
      </c>
      <c r="E519" s="2">
        <v>20020</v>
      </c>
      <c r="F519" s="2">
        <v>616</v>
      </c>
      <c r="G519" s="2">
        <v>566</v>
      </c>
      <c r="H519" s="2" t="s">
        <v>642</v>
      </c>
      <c r="I519" s="2">
        <f>VLOOKUP(H519,[1]Customers!$A:$B,2,FALSE)</f>
        <v>1720</v>
      </c>
      <c r="J519" s="2">
        <v>45539</v>
      </c>
      <c r="K519" s="2" t="s">
        <v>643</v>
      </c>
      <c r="L519" s="2">
        <v>229426.76</v>
      </c>
      <c r="N519" s="3" t="s">
        <v>19</v>
      </c>
    </row>
    <row r="520" spans="1:14" x14ac:dyDescent="0.35">
      <c r="A520" s="2" t="s">
        <v>644</v>
      </c>
      <c r="B520" s="2">
        <v>260</v>
      </c>
      <c r="C520" s="2" t="s">
        <v>16</v>
      </c>
      <c r="D520" s="2">
        <v>968</v>
      </c>
      <c r="E520" s="2">
        <v>20020</v>
      </c>
      <c r="G520" s="2">
        <v>378</v>
      </c>
      <c r="H520" s="2" t="s">
        <v>642</v>
      </c>
      <c r="I520" s="2">
        <f>VLOOKUP(H520,[1]Customers!$A:$B,2,FALSE)</f>
        <v>1720</v>
      </c>
      <c r="J520" s="2">
        <v>45727</v>
      </c>
      <c r="K520" s="2" t="s">
        <v>643</v>
      </c>
      <c r="M520" s="2">
        <v>144265.54999999999</v>
      </c>
      <c r="N520" s="3" t="s">
        <v>19</v>
      </c>
    </row>
    <row r="521" spans="1:14" x14ac:dyDescent="0.35">
      <c r="A521" s="2" t="s">
        <v>644</v>
      </c>
      <c r="B521" s="2">
        <v>260.5</v>
      </c>
      <c r="C521" s="2" t="s">
        <v>20</v>
      </c>
      <c r="D521" s="2">
        <v>616</v>
      </c>
      <c r="E521" s="2">
        <v>20020</v>
      </c>
      <c r="F521" s="2">
        <v>616</v>
      </c>
      <c r="G521" s="2">
        <v>378</v>
      </c>
      <c r="H521" s="2" t="s">
        <v>642</v>
      </c>
      <c r="I521" s="2">
        <f>VLOOKUP(H521,[1]Customers!$A:$B,2,FALSE)</f>
        <v>1720</v>
      </c>
      <c r="J521" s="2">
        <v>45727</v>
      </c>
      <c r="K521" s="2" t="s">
        <v>643</v>
      </c>
      <c r="L521" s="2">
        <v>144265.54999999999</v>
      </c>
      <c r="N521" s="3" t="s">
        <v>19</v>
      </c>
    </row>
    <row r="522" spans="1:14" x14ac:dyDescent="0.35">
      <c r="A522" s="2" t="s">
        <v>645</v>
      </c>
      <c r="B522" s="2">
        <v>261</v>
      </c>
      <c r="C522" s="2" t="s">
        <v>16</v>
      </c>
      <c r="D522" s="2">
        <v>968</v>
      </c>
      <c r="E522" s="2">
        <v>20020</v>
      </c>
      <c r="G522" s="2">
        <v>273</v>
      </c>
      <c r="H522" s="2" t="s">
        <v>642</v>
      </c>
      <c r="I522" s="2">
        <f>VLOOKUP(H522,[1]Customers!$A:$B,2,FALSE)</f>
        <v>1720</v>
      </c>
      <c r="J522" s="2">
        <v>45832</v>
      </c>
      <c r="K522" s="2" t="s">
        <v>643</v>
      </c>
      <c r="M522" s="2">
        <v>167862.47</v>
      </c>
      <c r="N522" s="3" t="s">
        <v>19</v>
      </c>
    </row>
    <row r="523" spans="1:14" x14ac:dyDescent="0.35">
      <c r="A523" s="2" t="s">
        <v>645</v>
      </c>
      <c r="B523" s="2">
        <v>261.5</v>
      </c>
      <c r="C523" s="2" t="s">
        <v>20</v>
      </c>
      <c r="D523" s="2">
        <v>616</v>
      </c>
      <c r="E523" s="2">
        <v>20020</v>
      </c>
      <c r="F523" s="2">
        <v>616</v>
      </c>
      <c r="G523" s="2">
        <v>273</v>
      </c>
      <c r="H523" s="2" t="s">
        <v>642</v>
      </c>
      <c r="I523" s="2">
        <f>VLOOKUP(H523,[1]Customers!$A:$B,2,FALSE)</f>
        <v>1720</v>
      </c>
      <c r="J523" s="2">
        <v>45832</v>
      </c>
      <c r="K523" s="2" t="s">
        <v>643</v>
      </c>
      <c r="L523" s="2">
        <v>167862.47</v>
      </c>
      <c r="N523" s="3" t="s">
        <v>19</v>
      </c>
    </row>
    <row r="524" spans="1:14" x14ac:dyDescent="0.35">
      <c r="A524" s="2" t="s">
        <v>646</v>
      </c>
      <c r="B524" s="2">
        <v>262</v>
      </c>
      <c r="C524" s="2" t="s">
        <v>16</v>
      </c>
      <c r="D524" s="2">
        <v>968</v>
      </c>
      <c r="E524" s="2">
        <v>20020</v>
      </c>
      <c r="G524" s="2">
        <v>457</v>
      </c>
      <c r="H524" s="2" t="s">
        <v>642</v>
      </c>
      <c r="I524" s="2">
        <f>VLOOKUP(H524,[1]Customers!$A:$B,2,FALSE)</f>
        <v>1720</v>
      </c>
      <c r="J524" s="2">
        <v>45648</v>
      </c>
      <c r="K524" s="2" t="s">
        <v>643</v>
      </c>
      <c r="M524" s="2">
        <v>151960.56</v>
      </c>
      <c r="N524" s="3" t="s">
        <v>19</v>
      </c>
    </row>
    <row r="525" spans="1:14" x14ac:dyDescent="0.35">
      <c r="A525" s="2" t="s">
        <v>646</v>
      </c>
      <c r="B525" s="2">
        <v>262.5</v>
      </c>
      <c r="C525" s="2" t="s">
        <v>20</v>
      </c>
      <c r="D525" s="2">
        <v>616</v>
      </c>
      <c r="E525" s="2">
        <v>20020</v>
      </c>
      <c r="F525" s="2">
        <v>616</v>
      </c>
      <c r="G525" s="2">
        <v>457</v>
      </c>
      <c r="H525" s="2" t="s">
        <v>642</v>
      </c>
      <c r="I525" s="2">
        <f>VLOOKUP(H525,[1]Customers!$A:$B,2,FALSE)</f>
        <v>1720</v>
      </c>
      <c r="J525" s="2">
        <v>45648</v>
      </c>
      <c r="K525" s="2" t="s">
        <v>643</v>
      </c>
      <c r="L525" s="2">
        <v>151960.56</v>
      </c>
      <c r="N525" s="3" t="s">
        <v>19</v>
      </c>
    </row>
    <row r="526" spans="1:14" x14ac:dyDescent="0.35">
      <c r="A526" s="2" t="s">
        <v>647</v>
      </c>
      <c r="B526" s="2">
        <v>263</v>
      </c>
      <c r="C526" s="2" t="s">
        <v>16</v>
      </c>
      <c r="D526" s="2">
        <v>968</v>
      </c>
      <c r="E526" s="2">
        <v>20020</v>
      </c>
      <c r="G526" s="2">
        <v>452</v>
      </c>
      <c r="H526" s="2" t="s">
        <v>642</v>
      </c>
      <c r="I526" s="2">
        <f>VLOOKUP(H526,[1]Customers!$A:$B,2,FALSE)</f>
        <v>1720</v>
      </c>
      <c r="J526" s="2">
        <v>45653</v>
      </c>
      <c r="K526" s="2" t="s">
        <v>643</v>
      </c>
      <c r="M526" s="2">
        <v>151960.56</v>
      </c>
      <c r="N526" s="3" t="s">
        <v>19</v>
      </c>
    </row>
    <row r="527" spans="1:14" x14ac:dyDescent="0.35">
      <c r="A527" s="2" t="s">
        <v>647</v>
      </c>
      <c r="B527" s="2">
        <v>263.5</v>
      </c>
      <c r="C527" s="2" t="s">
        <v>20</v>
      </c>
      <c r="D527" s="2">
        <v>616</v>
      </c>
      <c r="E527" s="2">
        <v>20020</v>
      </c>
      <c r="F527" s="2">
        <v>616</v>
      </c>
      <c r="G527" s="2">
        <v>452</v>
      </c>
      <c r="H527" s="2" t="s">
        <v>642</v>
      </c>
      <c r="I527" s="2">
        <f>VLOOKUP(H527,[1]Customers!$A:$B,2,FALSE)</f>
        <v>1720</v>
      </c>
      <c r="J527" s="2">
        <v>45653</v>
      </c>
      <c r="K527" s="2" t="s">
        <v>643</v>
      </c>
      <c r="L527" s="2">
        <v>151960.56</v>
      </c>
      <c r="N527" s="3" t="s">
        <v>19</v>
      </c>
    </row>
    <row r="528" spans="1:14" x14ac:dyDescent="0.35">
      <c r="A528" s="2" t="s">
        <v>648</v>
      </c>
      <c r="B528" s="2">
        <v>264</v>
      </c>
      <c r="C528" s="2" t="s">
        <v>16</v>
      </c>
      <c r="D528" s="2">
        <v>968</v>
      </c>
      <c r="E528" s="2">
        <v>20020</v>
      </c>
      <c r="G528" s="2">
        <v>417</v>
      </c>
      <c r="H528" s="2" t="s">
        <v>642</v>
      </c>
      <c r="I528" s="2">
        <f>VLOOKUP(H528,[1]Customers!$A:$B,2,FALSE)</f>
        <v>1720</v>
      </c>
      <c r="J528" s="2">
        <v>45688</v>
      </c>
      <c r="K528" s="2" t="s">
        <v>649</v>
      </c>
      <c r="M528" s="2">
        <v>60599.53</v>
      </c>
      <c r="N528" s="3" t="s">
        <v>19</v>
      </c>
    </row>
    <row r="529" spans="1:15" x14ac:dyDescent="0.35">
      <c r="A529" s="2" t="s">
        <v>648</v>
      </c>
      <c r="B529" s="2">
        <v>264.5</v>
      </c>
      <c r="C529" s="2" t="s">
        <v>20</v>
      </c>
      <c r="D529" s="2">
        <v>616</v>
      </c>
      <c r="E529" s="2">
        <v>20020</v>
      </c>
      <c r="F529" s="2">
        <v>616</v>
      </c>
      <c r="G529" s="2">
        <v>417</v>
      </c>
      <c r="H529" s="2" t="s">
        <v>642</v>
      </c>
      <c r="I529" s="2">
        <f>VLOOKUP(H529,[1]Customers!$A:$B,2,FALSE)</f>
        <v>1720</v>
      </c>
      <c r="J529" s="2">
        <v>45688</v>
      </c>
      <c r="K529" s="2" t="s">
        <v>649</v>
      </c>
      <c r="L529" s="2">
        <v>60599.53</v>
      </c>
      <c r="N529" s="3" t="s">
        <v>19</v>
      </c>
    </row>
    <row r="530" spans="1:15" x14ac:dyDescent="0.35">
      <c r="A530" s="2" t="s">
        <v>650</v>
      </c>
      <c r="B530" s="2">
        <v>265</v>
      </c>
      <c r="C530" s="2" t="s">
        <v>16</v>
      </c>
      <c r="D530" s="2">
        <v>968</v>
      </c>
      <c r="E530" s="2">
        <v>20020</v>
      </c>
      <c r="G530" s="2">
        <v>288</v>
      </c>
      <c r="H530" s="2" t="s">
        <v>651</v>
      </c>
      <c r="I530" s="2">
        <f>VLOOKUP(H530,[1]Customers!$A:$B,2,FALSE)</f>
        <v>2357</v>
      </c>
      <c r="J530" s="2">
        <v>45817</v>
      </c>
      <c r="K530" s="2" t="s">
        <v>652</v>
      </c>
      <c r="M530" s="2">
        <v>14459.3</v>
      </c>
      <c r="N530" s="3" t="s">
        <v>19</v>
      </c>
    </row>
    <row r="531" spans="1:15" x14ac:dyDescent="0.35">
      <c r="A531" s="2" t="s">
        <v>650</v>
      </c>
      <c r="B531" s="2">
        <v>265.5</v>
      </c>
      <c r="C531" s="2" t="s">
        <v>20</v>
      </c>
      <c r="D531" s="2">
        <v>616</v>
      </c>
      <c r="E531" s="2">
        <v>20020</v>
      </c>
      <c r="F531" s="2">
        <v>616</v>
      </c>
      <c r="G531" s="2">
        <v>288</v>
      </c>
      <c r="H531" s="2" t="s">
        <v>651</v>
      </c>
      <c r="I531" s="2">
        <f>VLOOKUP(H531,[1]Customers!$A:$B,2,FALSE)</f>
        <v>2357</v>
      </c>
      <c r="J531" s="2">
        <v>45817</v>
      </c>
      <c r="K531" s="2" t="s">
        <v>652</v>
      </c>
      <c r="L531" s="2">
        <v>14459.3</v>
      </c>
      <c r="N531" s="3" t="s">
        <v>19</v>
      </c>
    </row>
    <row r="532" spans="1:15" x14ac:dyDescent="0.35">
      <c r="A532" s="2" t="s">
        <v>653</v>
      </c>
      <c r="B532" s="2">
        <v>266</v>
      </c>
      <c r="C532" s="2" t="s">
        <v>16</v>
      </c>
      <c r="D532" s="2">
        <v>968</v>
      </c>
      <c r="E532" s="2">
        <v>20020</v>
      </c>
      <c r="G532" s="2">
        <v>271</v>
      </c>
      <c r="H532" s="4" t="s">
        <v>654</v>
      </c>
      <c r="I532" s="2">
        <f>VLOOKUP(H532,[1]Customers!$A:$B,2,FALSE)</f>
        <v>2443</v>
      </c>
      <c r="J532" s="2">
        <v>45834</v>
      </c>
      <c r="M532" s="2">
        <v>15346.06</v>
      </c>
      <c r="N532" s="3" t="s">
        <v>19</v>
      </c>
    </row>
    <row r="533" spans="1:15" x14ac:dyDescent="0.35">
      <c r="A533" s="2" t="s">
        <v>653</v>
      </c>
      <c r="B533" s="2">
        <v>266.5</v>
      </c>
      <c r="C533" s="2" t="s">
        <v>20</v>
      </c>
      <c r="D533" s="2">
        <v>616</v>
      </c>
      <c r="E533" s="2">
        <v>20020</v>
      </c>
      <c r="F533" s="2">
        <v>616</v>
      </c>
      <c r="G533" s="2">
        <v>271</v>
      </c>
      <c r="H533" s="4" t="s">
        <v>654</v>
      </c>
      <c r="I533" s="2">
        <f>VLOOKUP(H533,[1]Customers!$A:$B,2,FALSE)</f>
        <v>2443</v>
      </c>
      <c r="J533" s="2">
        <v>45834</v>
      </c>
      <c r="L533" s="2">
        <v>15346.06</v>
      </c>
      <c r="N533" s="3" t="s">
        <v>19</v>
      </c>
    </row>
    <row r="534" spans="1:15" x14ac:dyDescent="0.35">
      <c r="A534" s="2" t="s">
        <v>655</v>
      </c>
      <c r="B534" s="2">
        <v>267</v>
      </c>
      <c r="C534" s="2" t="s">
        <v>16</v>
      </c>
      <c r="D534" s="2">
        <v>968</v>
      </c>
      <c r="E534" s="2">
        <v>20020</v>
      </c>
      <c r="G534" s="2">
        <v>347</v>
      </c>
      <c r="H534" s="2" t="s">
        <v>656</v>
      </c>
      <c r="I534" s="2">
        <f>VLOOKUP(H534,[1]Customers!$A:$B,2,FALSE)</f>
        <v>2377</v>
      </c>
      <c r="J534" s="2">
        <v>45758</v>
      </c>
      <c r="K534" s="2" t="s">
        <v>657</v>
      </c>
      <c r="M534" s="2">
        <v>460.8</v>
      </c>
      <c r="N534" s="3" t="s">
        <v>19</v>
      </c>
    </row>
    <row r="535" spans="1:15" x14ac:dyDescent="0.35">
      <c r="A535" s="2" t="s">
        <v>655</v>
      </c>
      <c r="B535" s="2">
        <v>267.5</v>
      </c>
      <c r="C535" s="2" t="s">
        <v>20</v>
      </c>
      <c r="D535" s="2">
        <v>616</v>
      </c>
      <c r="E535" s="2">
        <v>20020</v>
      </c>
      <c r="F535" s="2">
        <v>616</v>
      </c>
      <c r="G535" s="2">
        <v>347</v>
      </c>
      <c r="H535" s="2" t="s">
        <v>656</v>
      </c>
      <c r="I535" s="2">
        <f>VLOOKUP(H535,[1]Customers!$A:$B,2,FALSE)</f>
        <v>2377</v>
      </c>
      <c r="J535" s="2">
        <v>45758</v>
      </c>
      <c r="K535" s="2" t="s">
        <v>657</v>
      </c>
      <c r="L535" s="2">
        <v>460.8</v>
      </c>
      <c r="N535" s="3" t="s">
        <v>19</v>
      </c>
    </row>
    <row r="536" spans="1:15" x14ac:dyDescent="0.35">
      <c r="A536" s="2" t="s">
        <v>658</v>
      </c>
      <c r="B536" s="2">
        <v>268</v>
      </c>
      <c r="C536" s="2" t="s">
        <v>16</v>
      </c>
      <c r="D536" s="2">
        <v>968</v>
      </c>
      <c r="E536" s="2">
        <v>20020</v>
      </c>
      <c r="G536" s="2">
        <v>498</v>
      </c>
      <c r="H536" s="2" t="s">
        <v>659</v>
      </c>
      <c r="I536" s="2">
        <f>VLOOKUP(H536,[1]Customers!$A:$B,2,FALSE)</f>
        <v>2894</v>
      </c>
      <c r="J536" s="2">
        <v>45607</v>
      </c>
      <c r="M536" s="2">
        <v>400000</v>
      </c>
      <c r="N536" s="3" t="s">
        <v>19</v>
      </c>
    </row>
    <row r="537" spans="1:15" ht="14.5" customHeight="1" x14ac:dyDescent="0.35">
      <c r="A537" s="2" t="s">
        <v>658</v>
      </c>
      <c r="B537" s="2">
        <v>268.5</v>
      </c>
      <c r="C537" s="2" t="s">
        <v>20</v>
      </c>
      <c r="D537" s="2">
        <v>616</v>
      </c>
      <c r="E537" s="2">
        <v>20020</v>
      </c>
      <c r="F537" s="2">
        <v>616</v>
      </c>
      <c r="G537" s="2">
        <v>498</v>
      </c>
      <c r="H537" s="2" t="s">
        <v>659</v>
      </c>
      <c r="I537" s="2">
        <f>VLOOKUP(H537,[1]Customers!$A:$B,2,FALSE)</f>
        <v>2894</v>
      </c>
      <c r="J537" s="2">
        <v>45607</v>
      </c>
      <c r="L537" s="2">
        <v>400000</v>
      </c>
      <c r="N537" s="3" t="s">
        <v>19</v>
      </c>
    </row>
    <row r="538" spans="1:15" x14ac:dyDescent="0.35">
      <c r="A538" s="2" t="s">
        <v>660</v>
      </c>
      <c r="B538" s="2">
        <v>269</v>
      </c>
      <c r="C538" s="2" t="s">
        <v>16</v>
      </c>
      <c r="D538" s="2">
        <v>968</v>
      </c>
      <c r="E538" s="2">
        <v>20020</v>
      </c>
      <c r="G538" s="2">
        <v>434</v>
      </c>
      <c r="H538" s="2" t="s">
        <v>661</v>
      </c>
      <c r="I538" s="2">
        <f>VLOOKUP(H538,[1]Customers!$A:$B,2,FALSE)</f>
        <v>2457</v>
      </c>
      <c r="J538" s="2">
        <v>45671</v>
      </c>
      <c r="K538" s="2" t="s">
        <v>662</v>
      </c>
      <c r="M538" s="2">
        <v>-1938.25</v>
      </c>
      <c r="N538" s="3" t="s">
        <v>19</v>
      </c>
      <c r="O538" s="2">
        <v>439</v>
      </c>
    </row>
    <row r="539" spans="1:15" x14ac:dyDescent="0.35">
      <c r="A539" s="2" t="s">
        <v>660</v>
      </c>
      <c r="B539" s="2">
        <v>269.5</v>
      </c>
      <c r="C539" s="2" t="s">
        <v>20</v>
      </c>
      <c r="D539" s="2">
        <v>616</v>
      </c>
      <c r="E539" s="2">
        <v>20020</v>
      </c>
      <c r="F539" s="2">
        <v>616</v>
      </c>
      <c r="G539" s="2">
        <v>434</v>
      </c>
      <c r="H539" s="2" t="s">
        <v>661</v>
      </c>
      <c r="I539" s="2">
        <f>VLOOKUP(H539,[1]Customers!$A:$B,2,FALSE)</f>
        <v>2457</v>
      </c>
      <c r="J539" s="2">
        <v>45671</v>
      </c>
      <c r="K539" s="2" t="s">
        <v>662</v>
      </c>
      <c r="L539" s="2">
        <v>-1938.25</v>
      </c>
      <c r="N539" s="3" t="s">
        <v>19</v>
      </c>
      <c r="O539" s="2">
        <v>439</v>
      </c>
    </row>
    <row r="540" spans="1:15" x14ac:dyDescent="0.35">
      <c r="A540" s="2" t="s">
        <v>663</v>
      </c>
      <c r="B540" s="2">
        <v>270</v>
      </c>
      <c r="C540" s="2" t="s">
        <v>16</v>
      </c>
      <c r="D540" s="2">
        <v>968</v>
      </c>
      <c r="E540" s="2">
        <v>20020</v>
      </c>
      <c r="G540" s="2">
        <v>313</v>
      </c>
      <c r="H540" s="2" t="s">
        <v>661</v>
      </c>
      <c r="I540" s="2">
        <f>VLOOKUP(H540,[1]Customers!$A:$B,2,FALSE)</f>
        <v>2457</v>
      </c>
      <c r="J540" s="2">
        <v>45792</v>
      </c>
      <c r="K540" s="2" t="s">
        <v>664</v>
      </c>
      <c r="M540" s="2">
        <v>16667.37</v>
      </c>
      <c r="N540" s="3" t="s">
        <v>19</v>
      </c>
    </row>
    <row r="541" spans="1:15" x14ac:dyDescent="0.35">
      <c r="A541" s="2" t="s">
        <v>663</v>
      </c>
      <c r="B541" s="2">
        <v>270.5</v>
      </c>
      <c r="C541" s="2" t="s">
        <v>20</v>
      </c>
      <c r="D541" s="2">
        <v>616</v>
      </c>
      <c r="E541" s="2">
        <v>20020</v>
      </c>
      <c r="F541" s="2">
        <v>616</v>
      </c>
      <c r="G541" s="2">
        <v>313</v>
      </c>
      <c r="H541" s="2" t="s">
        <v>661</v>
      </c>
      <c r="I541" s="2">
        <f>VLOOKUP(H541,[1]Customers!$A:$B,2,FALSE)</f>
        <v>2457</v>
      </c>
      <c r="J541" s="2">
        <v>45792</v>
      </c>
      <c r="K541" s="2" t="s">
        <v>664</v>
      </c>
      <c r="L541" s="2">
        <v>16667.37</v>
      </c>
      <c r="N541" s="3" t="s">
        <v>19</v>
      </c>
    </row>
    <row r="542" spans="1:15" x14ac:dyDescent="0.35">
      <c r="A542" s="2" t="s">
        <v>665</v>
      </c>
      <c r="B542" s="2">
        <v>271</v>
      </c>
      <c r="C542" s="2" t="s">
        <v>16</v>
      </c>
      <c r="D542" s="2">
        <v>968</v>
      </c>
      <c r="E542" s="2">
        <v>20020</v>
      </c>
      <c r="G542" s="2">
        <v>298</v>
      </c>
      <c r="H542" s="2" t="s">
        <v>666</v>
      </c>
      <c r="I542" s="2">
        <f>VLOOKUP(H542,[1]Customers!$A:$B,2,FALSE)</f>
        <v>2481</v>
      </c>
      <c r="J542" s="2">
        <v>45807</v>
      </c>
      <c r="K542" s="2" t="s">
        <v>667</v>
      </c>
      <c r="M542" s="2">
        <v>43586.55</v>
      </c>
      <c r="N542" s="3" t="s">
        <v>19</v>
      </c>
    </row>
    <row r="543" spans="1:15" x14ac:dyDescent="0.35">
      <c r="A543" s="2" t="s">
        <v>665</v>
      </c>
      <c r="B543" s="2">
        <v>271.5</v>
      </c>
      <c r="C543" s="2" t="s">
        <v>20</v>
      </c>
      <c r="D543" s="2">
        <v>616</v>
      </c>
      <c r="E543" s="2">
        <v>20020</v>
      </c>
      <c r="F543" s="2">
        <v>616</v>
      </c>
      <c r="G543" s="2">
        <v>298</v>
      </c>
      <c r="H543" s="2" t="s">
        <v>666</v>
      </c>
      <c r="I543" s="2">
        <f>VLOOKUP(H543,[1]Customers!$A:$B,2,FALSE)</f>
        <v>2481</v>
      </c>
      <c r="J543" s="2">
        <v>45807</v>
      </c>
      <c r="K543" s="2" t="s">
        <v>667</v>
      </c>
      <c r="L543" s="2">
        <v>43586.55</v>
      </c>
      <c r="N543" s="3" t="s">
        <v>19</v>
      </c>
    </row>
    <row r="544" spans="1:15" x14ac:dyDescent="0.35">
      <c r="A544" s="2" t="s">
        <v>668</v>
      </c>
      <c r="B544" s="2">
        <v>272</v>
      </c>
      <c r="C544" s="2" t="s">
        <v>16</v>
      </c>
      <c r="D544" s="2">
        <v>968</v>
      </c>
      <c r="E544" s="2">
        <v>20020</v>
      </c>
      <c r="G544" s="2">
        <v>284</v>
      </c>
      <c r="H544" s="2" t="s">
        <v>666</v>
      </c>
      <c r="I544" s="2">
        <f>VLOOKUP(H544,[1]Customers!$A:$B,2,FALSE)</f>
        <v>2481</v>
      </c>
      <c r="J544" s="2">
        <v>45821</v>
      </c>
      <c r="M544" s="2">
        <v>84253.07</v>
      </c>
      <c r="N544" s="3" t="s">
        <v>19</v>
      </c>
    </row>
    <row r="545" spans="1:15" x14ac:dyDescent="0.35">
      <c r="A545" s="2" t="s">
        <v>668</v>
      </c>
      <c r="B545" s="2">
        <v>272.5</v>
      </c>
      <c r="C545" s="2" t="s">
        <v>20</v>
      </c>
      <c r="D545" s="2">
        <v>616</v>
      </c>
      <c r="E545" s="2">
        <v>20020</v>
      </c>
      <c r="F545" s="2">
        <v>616</v>
      </c>
      <c r="G545" s="2">
        <v>284</v>
      </c>
      <c r="H545" s="2" t="s">
        <v>666</v>
      </c>
      <c r="I545" s="2">
        <f>VLOOKUP(H545,[1]Customers!$A:$B,2,FALSE)</f>
        <v>2481</v>
      </c>
      <c r="J545" s="2">
        <v>45821</v>
      </c>
      <c r="L545" s="2">
        <v>84253.07</v>
      </c>
      <c r="N545" s="3" t="s">
        <v>19</v>
      </c>
    </row>
    <row r="546" spans="1:15" x14ac:dyDescent="0.35">
      <c r="A546" s="2" t="s">
        <v>669</v>
      </c>
      <c r="B546" s="2">
        <v>273</v>
      </c>
      <c r="C546" s="2" t="s">
        <v>16</v>
      </c>
      <c r="D546" s="2">
        <v>968</v>
      </c>
      <c r="E546" s="2">
        <v>20020</v>
      </c>
      <c r="G546" s="2">
        <v>288</v>
      </c>
      <c r="H546" s="2" t="s">
        <v>666</v>
      </c>
      <c r="I546" s="2">
        <f>VLOOKUP(H546,[1]Customers!$A:$B,2,FALSE)</f>
        <v>2481</v>
      </c>
      <c r="J546" s="2">
        <v>45817</v>
      </c>
      <c r="K546" s="2" t="s">
        <v>667</v>
      </c>
      <c r="M546" s="2">
        <v>127333.02</v>
      </c>
      <c r="N546" s="3" t="s">
        <v>19</v>
      </c>
    </row>
    <row r="547" spans="1:15" x14ac:dyDescent="0.35">
      <c r="A547" s="2" t="s">
        <v>669</v>
      </c>
      <c r="B547" s="2">
        <v>273.5</v>
      </c>
      <c r="C547" s="2" t="s">
        <v>20</v>
      </c>
      <c r="D547" s="2">
        <v>616</v>
      </c>
      <c r="E547" s="2">
        <v>20020</v>
      </c>
      <c r="F547" s="2">
        <v>616</v>
      </c>
      <c r="G547" s="2">
        <v>288</v>
      </c>
      <c r="H547" s="2" t="s">
        <v>666</v>
      </c>
      <c r="I547" s="2">
        <f>VLOOKUP(H547,[1]Customers!$A:$B,2,FALSE)</f>
        <v>2481</v>
      </c>
      <c r="J547" s="2">
        <v>45817</v>
      </c>
      <c r="K547" s="2" t="s">
        <v>667</v>
      </c>
      <c r="L547" s="2">
        <v>127333.02</v>
      </c>
      <c r="N547" s="3" t="s">
        <v>19</v>
      </c>
    </row>
    <row r="548" spans="1:15" x14ac:dyDescent="0.35">
      <c r="A548" s="2" t="s">
        <v>670</v>
      </c>
      <c r="B548" s="2">
        <v>274</v>
      </c>
      <c r="C548" s="2" t="s">
        <v>16</v>
      </c>
      <c r="D548" s="2">
        <v>968</v>
      </c>
      <c r="E548" s="2">
        <v>20020</v>
      </c>
      <c r="G548" s="2">
        <v>456</v>
      </c>
      <c r="H548" s="2" t="s">
        <v>671</v>
      </c>
      <c r="I548" s="2">
        <f>VLOOKUP(H548,[1]Customers!$A:$B,2,FALSE)</f>
        <v>3375</v>
      </c>
      <c r="J548" s="2">
        <v>45649</v>
      </c>
      <c r="M548" s="2">
        <v>3839.1</v>
      </c>
      <c r="N548" s="3" t="s">
        <v>19</v>
      </c>
    </row>
    <row r="549" spans="1:15" x14ac:dyDescent="0.35">
      <c r="A549" s="2" t="s">
        <v>670</v>
      </c>
      <c r="B549" s="2">
        <v>274.5</v>
      </c>
      <c r="C549" s="2" t="s">
        <v>20</v>
      </c>
      <c r="D549" s="2">
        <v>616</v>
      </c>
      <c r="E549" s="2">
        <v>20020</v>
      </c>
      <c r="F549" s="2">
        <v>616</v>
      </c>
      <c r="G549" s="2">
        <v>456</v>
      </c>
      <c r="H549" s="2" t="s">
        <v>671</v>
      </c>
      <c r="I549" s="2">
        <f>VLOOKUP(H549,[1]Customers!$A:$B,2,FALSE)</f>
        <v>3375</v>
      </c>
      <c r="J549" s="2">
        <v>45649</v>
      </c>
      <c r="L549" s="2">
        <v>3839.1</v>
      </c>
      <c r="N549" s="3" t="s">
        <v>19</v>
      </c>
    </row>
    <row r="550" spans="1:15" x14ac:dyDescent="0.35">
      <c r="A550" s="2" t="s">
        <v>672</v>
      </c>
      <c r="B550" s="2">
        <v>275</v>
      </c>
      <c r="C550" s="2" t="s">
        <v>16</v>
      </c>
      <c r="D550" s="2">
        <v>968</v>
      </c>
      <c r="E550" s="2">
        <v>20020</v>
      </c>
      <c r="G550" s="2">
        <v>369</v>
      </c>
      <c r="H550" s="2" t="s">
        <v>671</v>
      </c>
      <c r="I550" s="2">
        <f>VLOOKUP(H550,[1]Customers!$A:$B,2,FALSE)</f>
        <v>3375</v>
      </c>
      <c r="J550" s="2">
        <v>45736</v>
      </c>
      <c r="K550" s="2" t="s">
        <v>673</v>
      </c>
      <c r="M550" s="2">
        <v>58186.15</v>
      </c>
      <c r="N550" s="3" t="s">
        <v>19</v>
      </c>
    </row>
    <row r="551" spans="1:15" x14ac:dyDescent="0.35">
      <c r="A551" s="2" t="s">
        <v>672</v>
      </c>
      <c r="B551" s="2">
        <v>275.5</v>
      </c>
      <c r="C551" s="2" t="s">
        <v>20</v>
      </c>
      <c r="D551" s="2">
        <v>616</v>
      </c>
      <c r="E551" s="2">
        <v>20020</v>
      </c>
      <c r="F551" s="2">
        <v>616</v>
      </c>
      <c r="G551" s="2">
        <v>369</v>
      </c>
      <c r="H551" s="2" t="s">
        <v>671</v>
      </c>
      <c r="I551" s="2">
        <f>VLOOKUP(H551,[1]Customers!$A:$B,2,FALSE)</f>
        <v>3375</v>
      </c>
      <c r="J551" s="2">
        <v>45736</v>
      </c>
      <c r="K551" s="2" t="s">
        <v>673</v>
      </c>
      <c r="L551" s="2">
        <v>58186.15</v>
      </c>
      <c r="N551" s="3" t="s">
        <v>19</v>
      </c>
    </row>
    <row r="552" spans="1:15" x14ac:dyDescent="0.35">
      <c r="A552" s="2" t="s">
        <v>674</v>
      </c>
      <c r="B552" s="2">
        <v>276</v>
      </c>
      <c r="C552" s="2" t="s">
        <v>16</v>
      </c>
      <c r="D552" s="2">
        <v>968</v>
      </c>
      <c r="E552" s="2">
        <v>20020</v>
      </c>
      <c r="G552" s="2">
        <v>615</v>
      </c>
      <c r="H552" s="2" t="s">
        <v>671</v>
      </c>
      <c r="I552" s="2">
        <f>VLOOKUP(H552,[1]Customers!$A:$B,2,FALSE)</f>
        <v>3375</v>
      </c>
      <c r="J552" s="2">
        <v>45490</v>
      </c>
      <c r="K552" s="2" t="s">
        <v>675</v>
      </c>
      <c r="M552" s="2">
        <v>12418.99</v>
      </c>
      <c r="N552" s="3" t="s">
        <v>19</v>
      </c>
    </row>
    <row r="553" spans="1:15" x14ac:dyDescent="0.35">
      <c r="A553" s="2" t="s">
        <v>674</v>
      </c>
      <c r="B553" s="2">
        <v>276.5</v>
      </c>
      <c r="C553" s="2" t="s">
        <v>20</v>
      </c>
      <c r="D553" s="2">
        <v>616</v>
      </c>
      <c r="E553" s="2">
        <v>20020</v>
      </c>
      <c r="F553" s="2">
        <v>616</v>
      </c>
      <c r="G553" s="2">
        <v>615</v>
      </c>
      <c r="H553" s="2" t="s">
        <v>671</v>
      </c>
      <c r="I553" s="2">
        <f>VLOOKUP(H553,[1]Customers!$A:$B,2,FALSE)</f>
        <v>3375</v>
      </c>
      <c r="J553" s="2">
        <v>45490</v>
      </c>
      <c r="K553" s="2" t="s">
        <v>675</v>
      </c>
      <c r="L553" s="2">
        <v>12418.99</v>
      </c>
      <c r="N553" s="3" t="s">
        <v>19</v>
      </c>
    </row>
    <row r="554" spans="1:15" x14ac:dyDescent="0.35">
      <c r="A554" s="2" t="s">
        <v>676</v>
      </c>
      <c r="B554" s="2">
        <v>277</v>
      </c>
      <c r="C554" s="2" t="s">
        <v>16</v>
      </c>
      <c r="D554" s="2">
        <v>968</v>
      </c>
      <c r="E554" s="2">
        <v>20020</v>
      </c>
      <c r="G554" s="2">
        <v>299</v>
      </c>
      <c r="H554" s="2" t="s">
        <v>677</v>
      </c>
      <c r="I554" s="2">
        <f>VLOOKUP(H554,[1]Customers!$A:$B,2,FALSE)</f>
        <v>2528</v>
      </c>
      <c r="J554" s="2">
        <v>45806</v>
      </c>
      <c r="K554" s="2" t="s">
        <v>678</v>
      </c>
      <c r="M554" s="2">
        <v>7288.72</v>
      </c>
      <c r="N554" s="3" t="s">
        <v>19</v>
      </c>
    </row>
    <row r="555" spans="1:15" x14ac:dyDescent="0.35">
      <c r="A555" s="2" t="s">
        <v>676</v>
      </c>
      <c r="B555" s="2">
        <v>277.5</v>
      </c>
      <c r="C555" s="2" t="s">
        <v>20</v>
      </c>
      <c r="D555" s="2">
        <v>616</v>
      </c>
      <c r="E555" s="2">
        <v>20020</v>
      </c>
      <c r="F555" s="2">
        <v>616</v>
      </c>
      <c r="G555" s="2">
        <v>299</v>
      </c>
      <c r="H555" s="2" t="s">
        <v>677</v>
      </c>
      <c r="I555" s="2">
        <f>VLOOKUP(H555,[1]Customers!$A:$B,2,FALSE)</f>
        <v>2528</v>
      </c>
      <c r="J555" s="2">
        <v>45806</v>
      </c>
      <c r="K555" s="2" t="s">
        <v>678</v>
      </c>
      <c r="L555" s="2">
        <v>7288.72</v>
      </c>
      <c r="N555" s="3" t="s">
        <v>19</v>
      </c>
    </row>
    <row r="556" spans="1:15" x14ac:dyDescent="0.35">
      <c r="A556" s="2" t="s">
        <v>679</v>
      </c>
      <c r="B556" s="2">
        <v>278</v>
      </c>
      <c r="C556" s="2" t="s">
        <v>16</v>
      </c>
      <c r="D556" s="2">
        <v>968</v>
      </c>
      <c r="E556" s="2">
        <v>20020</v>
      </c>
      <c r="G556" s="2">
        <v>672</v>
      </c>
      <c r="H556" s="2" t="s">
        <v>680</v>
      </c>
      <c r="I556" s="2">
        <f>VLOOKUP(H556,[1]Customers!$A:$B,2,FALSE)</f>
        <v>3547</v>
      </c>
      <c r="J556" s="2">
        <v>45433</v>
      </c>
      <c r="K556" s="2" t="s">
        <v>681</v>
      </c>
      <c r="M556" s="2">
        <v>4260</v>
      </c>
      <c r="N556" s="3" t="s">
        <v>19</v>
      </c>
      <c r="O556" s="2">
        <v>36199</v>
      </c>
    </row>
    <row r="557" spans="1:15" x14ac:dyDescent="0.35">
      <c r="A557" s="2" t="s">
        <v>679</v>
      </c>
      <c r="B557" s="2">
        <v>278.5</v>
      </c>
      <c r="C557" s="2" t="s">
        <v>20</v>
      </c>
      <c r="D557" s="2">
        <v>616</v>
      </c>
      <c r="E557" s="2">
        <v>20020</v>
      </c>
      <c r="F557" s="2">
        <v>616</v>
      </c>
      <c r="G557" s="2">
        <v>672</v>
      </c>
      <c r="H557" s="2" t="s">
        <v>680</v>
      </c>
      <c r="I557" s="2">
        <f>VLOOKUP(H557,[1]Customers!$A:$B,2,FALSE)</f>
        <v>3547</v>
      </c>
      <c r="J557" s="2">
        <v>45433</v>
      </c>
      <c r="K557" s="2" t="s">
        <v>681</v>
      </c>
      <c r="L557" s="2">
        <v>4260</v>
      </c>
      <c r="N557" s="3" t="s">
        <v>19</v>
      </c>
      <c r="O557" s="2">
        <v>36199</v>
      </c>
    </row>
    <row r="558" spans="1:15" x14ac:dyDescent="0.35">
      <c r="A558" s="2" t="s">
        <v>682</v>
      </c>
      <c r="B558" s="2">
        <v>279</v>
      </c>
      <c r="C558" s="2" t="s">
        <v>16</v>
      </c>
      <c r="D558" s="2">
        <v>968</v>
      </c>
      <c r="E558" s="2">
        <v>20020</v>
      </c>
      <c r="G558" s="2">
        <v>350</v>
      </c>
      <c r="H558" s="2" t="s">
        <v>683</v>
      </c>
      <c r="I558" s="2">
        <f>VLOOKUP(H558,[1]Customers!$A:$B,2,FALSE)</f>
        <v>2273</v>
      </c>
      <c r="J558" s="2">
        <v>45755</v>
      </c>
      <c r="K558" s="2" t="s">
        <v>684</v>
      </c>
      <c r="M558" s="2">
        <v>4658.01</v>
      </c>
      <c r="N558" s="3" t="s">
        <v>19</v>
      </c>
    </row>
    <row r="559" spans="1:15" ht="15" customHeight="1" x14ac:dyDescent="0.35">
      <c r="A559" s="2" t="s">
        <v>682</v>
      </c>
      <c r="B559" s="2">
        <v>279.5</v>
      </c>
      <c r="C559" s="2" t="s">
        <v>20</v>
      </c>
      <c r="D559" s="2">
        <v>616</v>
      </c>
      <c r="E559" s="2">
        <v>20020</v>
      </c>
      <c r="F559" s="2">
        <v>616</v>
      </c>
      <c r="G559" s="2">
        <v>350</v>
      </c>
      <c r="H559" s="2" t="s">
        <v>683</v>
      </c>
      <c r="I559" s="2">
        <f>VLOOKUP(H559,[1]Customers!$A:$B,2,FALSE)</f>
        <v>2273</v>
      </c>
      <c r="J559" s="2">
        <v>45755</v>
      </c>
      <c r="K559" s="2" t="s">
        <v>684</v>
      </c>
      <c r="L559" s="2">
        <v>4658.01</v>
      </c>
      <c r="N559" s="3" t="s">
        <v>19</v>
      </c>
    </row>
    <row r="560" spans="1:15" ht="15" customHeight="1" x14ac:dyDescent="0.35">
      <c r="A560" s="2" t="s">
        <v>685</v>
      </c>
      <c r="B560" s="2">
        <v>280</v>
      </c>
      <c r="C560" s="2" t="s">
        <v>16</v>
      </c>
      <c r="D560" s="2">
        <v>968</v>
      </c>
      <c r="E560" s="2">
        <v>20020</v>
      </c>
      <c r="G560" s="2">
        <v>391</v>
      </c>
      <c r="H560" s="2" t="s">
        <v>686</v>
      </c>
      <c r="I560" s="2">
        <f>VLOOKUP(H560,[1]Customers!$A:$B,2,FALSE)</f>
        <v>632</v>
      </c>
      <c r="J560" s="2">
        <v>45714</v>
      </c>
      <c r="K560" s="2" t="s">
        <v>687</v>
      </c>
      <c r="M560" s="2">
        <v>2620.4499999999998</v>
      </c>
      <c r="N560" s="3" t="s">
        <v>19</v>
      </c>
      <c r="O560" s="2">
        <v>5331</v>
      </c>
    </row>
    <row r="561" spans="1:15" x14ac:dyDescent="0.35">
      <c r="A561" s="2" t="s">
        <v>685</v>
      </c>
      <c r="B561" s="2">
        <v>280.5</v>
      </c>
      <c r="C561" s="2" t="s">
        <v>20</v>
      </c>
      <c r="D561" s="2">
        <v>616</v>
      </c>
      <c r="E561" s="2">
        <v>20020</v>
      </c>
      <c r="F561" s="2">
        <v>616</v>
      </c>
      <c r="G561" s="2">
        <v>391</v>
      </c>
      <c r="H561" s="2" t="s">
        <v>686</v>
      </c>
      <c r="I561" s="2">
        <f>VLOOKUP(H561,[1]Customers!$A:$B,2,FALSE)</f>
        <v>632</v>
      </c>
      <c r="J561" s="2">
        <v>45714</v>
      </c>
      <c r="K561" s="2" t="s">
        <v>687</v>
      </c>
      <c r="L561" s="2">
        <v>2620.4499999999998</v>
      </c>
      <c r="N561" s="3" t="s">
        <v>19</v>
      </c>
      <c r="O561" s="2">
        <v>5331</v>
      </c>
    </row>
    <row r="562" spans="1:15" x14ac:dyDescent="0.35">
      <c r="A562" s="2" t="s">
        <v>688</v>
      </c>
      <c r="B562" s="2">
        <v>281</v>
      </c>
      <c r="C562" s="2" t="s">
        <v>16</v>
      </c>
      <c r="D562" s="2">
        <v>968</v>
      </c>
      <c r="E562" s="2">
        <v>20020</v>
      </c>
      <c r="G562" s="2">
        <v>431</v>
      </c>
      <c r="H562" s="2" t="s">
        <v>689</v>
      </c>
      <c r="I562" s="2">
        <f>VLOOKUP(H562,[1]Customers!$A:$B,2,FALSE)</f>
        <v>3377</v>
      </c>
      <c r="J562" s="2">
        <v>45674</v>
      </c>
      <c r="K562" s="2" t="s">
        <v>690</v>
      </c>
      <c r="M562" s="2">
        <v>196334.78</v>
      </c>
      <c r="N562" s="3" t="s">
        <v>19</v>
      </c>
    </row>
    <row r="563" spans="1:15" x14ac:dyDescent="0.35">
      <c r="A563" s="2" t="s">
        <v>688</v>
      </c>
      <c r="B563" s="2">
        <v>281.5</v>
      </c>
      <c r="C563" s="2" t="s">
        <v>20</v>
      </c>
      <c r="D563" s="2">
        <v>616</v>
      </c>
      <c r="E563" s="2">
        <v>20020</v>
      </c>
      <c r="F563" s="2">
        <v>616</v>
      </c>
      <c r="G563" s="2">
        <v>431</v>
      </c>
      <c r="H563" s="2" t="s">
        <v>689</v>
      </c>
      <c r="I563" s="2">
        <f>VLOOKUP(H563,[1]Customers!$A:$B,2,FALSE)</f>
        <v>3377</v>
      </c>
      <c r="J563" s="2">
        <v>45674</v>
      </c>
      <c r="K563" s="2" t="s">
        <v>690</v>
      </c>
      <c r="L563" s="2">
        <v>196334.78</v>
      </c>
      <c r="N563" s="3" t="s">
        <v>19</v>
      </c>
    </row>
    <row r="564" spans="1:15" ht="15" customHeight="1" x14ac:dyDescent="0.35">
      <c r="A564" s="2" t="s">
        <v>691</v>
      </c>
      <c r="B564" s="2">
        <v>282</v>
      </c>
      <c r="C564" s="2" t="s">
        <v>16</v>
      </c>
      <c r="D564" s="2">
        <v>968</v>
      </c>
      <c r="E564" s="2">
        <v>20020</v>
      </c>
      <c r="G564" s="2">
        <v>308</v>
      </c>
      <c r="H564" s="2" t="s">
        <v>692</v>
      </c>
      <c r="I564" s="2">
        <v>637</v>
      </c>
      <c r="J564" s="2">
        <v>45797</v>
      </c>
      <c r="K564" s="2" t="s">
        <v>693</v>
      </c>
      <c r="M564" s="2">
        <v>500000</v>
      </c>
      <c r="N564" s="3" t="s">
        <v>19</v>
      </c>
    </row>
    <row r="565" spans="1:15" x14ac:dyDescent="0.35">
      <c r="A565" s="2" t="s">
        <v>691</v>
      </c>
      <c r="B565" s="2">
        <v>282.5</v>
      </c>
      <c r="C565" s="2" t="s">
        <v>20</v>
      </c>
      <c r="D565" s="2">
        <v>616</v>
      </c>
      <c r="E565" s="2">
        <v>20020</v>
      </c>
      <c r="F565" s="2">
        <v>616</v>
      </c>
      <c r="G565" s="2">
        <v>308</v>
      </c>
      <c r="H565" s="2" t="s">
        <v>692</v>
      </c>
      <c r="I565" s="2">
        <v>637</v>
      </c>
      <c r="J565" s="2">
        <v>45797</v>
      </c>
      <c r="K565" s="2" t="s">
        <v>693</v>
      </c>
      <c r="L565" s="2">
        <v>500000</v>
      </c>
      <c r="N565" s="3" t="s">
        <v>19</v>
      </c>
    </row>
    <row r="566" spans="1:15" x14ac:dyDescent="0.35">
      <c r="A566" s="2" t="s">
        <v>694</v>
      </c>
      <c r="B566" s="2">
        <v>283</v>
      </c>
      <c r="C566" s="2" t="s">
        <v>16</v>
      </c>
      <c r="D566" s="2">
        <v>968</v>
      </c>
      <c r="E566" s="2">
        <v>20020</v>
      </c>
      <c r="G566" s="2">
        <v>377</v>
      </c>
      <c r="H566" s="2" t="s">
        <v>695</v>
      </c>
      <c r="I566" s="2">
        <f>VLOOKUP(H566,[1]Customers!$A:$B,2,FALSE)</f>
        <v>2162</v>
      </c>
      <c r="J566" s="2">
        <v>45728</v>
      </c>
      <c r="K566" s="2" t="s">
        <v>696</v>
      </c>
      <c r="M566" s="2">
        <v>9387.5400000000009</v>
      </c>
      <c r="N566" s="3" t="s">
        <v>19</v>
      </c>
    </row>
    <row r="567" spans="1:15" x14ac:dyDescent="0.35">
      <c r="A567" s="2" t="s">
        <v>694</v>
      </c>
      <c r="B567" s="2">
        <v>283.5</v>
      </c>
      <c r="C567" s="2" t="s">
        <v>20</v>
      </c>
      <c r="D567" s="2">
        <v>616</v>
      </c>
      <c r="E567" s="2">
        <v>20020</v>
      </c>
      <c r="F567" s="2">
        <v>616</v>
      </c>
      <c r="G567" s="2">
        <v>377</v>
      </c>
      <c r="H567" s="2" t="s">
        <v>695</v>
      </c>
      <c r="I567" s="2">
        <f>VLOOKUP(H567,[1]Customers!$A:$B,2,FALSE)</f>
        <v>2162</v>
      </c>
      <c r="J567" s="2">
        <v>45728</v>
      </c>
      <c r="K567" s="2" t="s">
        <v>696</v>
      </c>
      <c r="L567" s="2">
        <v>9387.5400000000009</v>
      </c>
      <c r="N567" s="3" t="s">
        <v>19</v>
      </c>
    </row>
    <row r="568" spans="1:15" x14ac:dyDescent="0.35">
      <c r="A568" s="2" t="s">
        <v>697</v>
      </c>
      <c r="B568" s="2">
        <v>284</v>
      </c>
      <c r="C568" s="2" t="s">
        <v>16</v>
      </c>
      <c r="D568" s="2">
        <v>968</v>
      </c>
      <c r="E568" s="2">
        <v>20020</v>
      </c>
      <c r="G568" s="2">
        <v>326</v>
      </c>
      <c r="H568" s="2" t="s">
        <v>698</v>
      </c>
      <c r="I568" s="2">
        <f>VLOOKUP(H568,[1]Customers!$A:$B,2,FALSE)</f>
        <v>2455</v>
      </c>
      <c r="J568" s="2">
        <v>45779</v>
      </c>
      <c r="K568" s="2" t="s">
        <v>699</v>
      </c>
      <c r="M568" s="2">
        <v>389.29</v>
      </c>
      <c r="N568" s="3" t="s">
        <v>19</v>
      </c>
    </row>
    <row r="569" spans="1:15" x14ac:dyDescent="0.35">
      <c r="A569" s="2" t="s">
        <v>697</v>
      </c>
      <c r="B569" s="2">
        <v>284.5</v>
      </c>
      <c r="C569" s="2" t="s">
        <v>20</v>
      </c>
      <c r="D569" s="2">
        <v>616</v>
      </c>
      <c r="E569" s="2">
        <v>20020</v>
      </c>
      <c r="F569" s="2">
        <v>616</v>
      </c>
      <c r="G569" s="2">
        <v>326</v>
      </c>
      <c r="H569" s="2" t="s">
        <v>698</v>
      </c>
      <c r="I569" s="2">
        <f>VLOOKUP(H569,[1]Customers!$A:$B,2,FALSE)</f>
        <v>2455</v>
      </c>
      <c r="J569" s="2">
        <v>45779</v>
      </c>
      <c r="K569" s="2" t="s">
        <v>699</v>
      </c>
      <c r="L569" s="2">
        <v>389.29</v>
      </c>
      <c r="N569" s="3" t="s">
        <v>19</v>
      </c>
    </row>
    <row r="570" spans="1:15" x14ac:dyDescent="0.35">
      <c r="A570" s="2" t="s">
        <v>700</v>
      </c>
      <c r="B570" s="2">
        <v>285</v>
      </c>
      <c r="C570" s="2" t="s">
        <v>16</v>
      </c>
      <c r="D570" s="2">
        <v>968</v>
      </c>
      <c r="E570" s="2">
        <v>20020</v>
      </c>
      <c r="G570" s="2">
        <v>371</v>
      </c>
      <c r="H570" s="2" t="s">
        <v>701</v>
      </c>
      <c r="I570" s="2">
        <f>VLOOKUP(H570,[1]Customers!$A:$B,2,FALSE)</f>
        <v>649</v>
      </c>
      <c r="J570" s="2">
        <v>45734</v>
      </c>
      <c r="K570" s="2" t="s">
        <v>702</v>
      </c>
      <c r="M570" s="2">
        <v>117244.46</v>
      </c>
      <c r="N570" s="3" t="s">
        <v>19</v>
      </c>
    </row>
    <row r="571" spans="1:15" x14ac:dyDescent="0.35">
      <c r="A571" s="2" t="s">
        <v>700</v>
      </c>
      <c r="B571" s="2">
        <v>285.5</v>
      </c>
      <c r="C571" s="2" t="s">
        <v>20</v>
      </c>
      <c r="D571" s="2">
        <v>616</v>
      </c>
      <c r="E571" s="2">
        <v>20020</v>
      </c>
      <c r="F571" s="2">
        <v>616</v>
      </c>
      <c r="G571" s="2">
        <v>371</v>
      </c>
      <c r="H571" s="2" t="s">
        <v>701</v>
      </c>
      <c r="I571" s="2">
        <f>VLOOKUP(H571,[1]Customers!$A:$B,2,FALSE)</f>
        <v>649</v>
      </c>
      <c r="J571" s="2">
        <v>45734</v>
      </c>
      <c r="K571" s="2" t="s">
        <v>702</v>
      </c>
      <c r="L571" s="2">
        <v>117244.46</v>
      </c>
      <c r="N571" s="3" t="s">
        <v>19</v>
      </c>
    </row>
    <row r="572" spans="1:15" x14ac:dyDescent="0.35">
      <c r="A572" s="2" t="s">
        <v>703</v>
      </c>
      <c r="B572" s="2">
        <v>286</v>
      </c>
      <c r="C572" s="2" t="s">
        <v>16</v>
      </c>
      <c r="D572" s="2">
        <v>968</v>
      </c>
      <c r="E572" s="2">
        <v>20020</v>
      </c>
      <c r="G572" s="2">
        <v>414</v>
      </c>
      <c r="H572" s="2" t="s">
        <v>701</v>
      </c>
      <c r="I572" s="2">
        <f>VLOOKUP(H572,[1]Customers!$A:$B,2,FALSE)</f>
        <v>649</v>
      </c>
      <c r="J572" s="2">
        <v>45691</v>
      </c>
      <c r="K572" s="2" t="s">
        <v>702</v>
      </c>
      <c r="M572" s="2">
        <v>9439.67</v>
      </c>
      <c r="N572" s="3" t="s">
        <v>19</v>
      </c>
    </row>
    <row r="573" spans="1:15" x14ac:dyDescent="0.35">
      <c r="A573" s="2" t="s">
        <v>703</v>
      </c>
      <c r="B573" s="2">
        <v>286.5</v>
      </c>
      <c r="C573" s="2" t="s">
        <v>20</v>
      </c>
      <c r="D573" s="2">
        <v>616</v>
      </c>
      <c r="E573" s="2">
        <v>20020</v>
      </c>
      <c r="F573" s="2">
        <v>616</v>
      </c>
      <c r="G573" s="2">
        <v>414</v>
      </c>
      <c r="H573" s="2" t="s">
        <v>701</v>
      </c>
      <c r="I573" s="2">
        <f>VLOOKUP(H573,[1]Customers!$A:$B,2,FALSE)</f>
        <v>649</v>
      </c>
      <c r="J573" s="2">
        <v>45691</v>
      </c>
      <c r="K573" s="2" t="s">
        <v>702</v>
      </c>
      <c r="L573" s="2">
        <v>9439.67</v>
      </c>
      <c r="N573" s="3" t="s">
        <v>19</v>
      </c>
    </row>
    <row r="574" spans="1:15" x14ac:dyDescent="0.35">
      <c r="A574" s="2" t="s">
        <v>704</v>
      </c>
      <c r="B574" s="2">
        <v>287</v>
      </c>
      <c r="C574" s="2" t="s">
        <v>16</v>
      </c>
      <c r="D574" s="2">
        <v>968</v>
      </c>
      <c r="E574" s="2">
        <v>20020</v>
      </c>
      <c r="G574" s="2">
        <v>286</v>
      </c>
      <c r="H574" s="2" t="s">
        <v>705</v>
      </c>
      <c r="I574" s="2">
        <f>VLOOKUP(H574,[1]Customers!$A:$B,2,FALSE)</f>
        <v>2336</v>
      </c>
      <c r="J574" s="2">
        <v>45819</v>
      </c>
      <c r="K574" s="2" t="s">
        <v>706</v>
      </c>
      <c r="M574" s="2">
        <v>4059.16</v>
      </c>
      <c r="N574" s="3" t="s">
        <v>19</v>
      </c>
    </row>
    <row r="575" spans="1:15" x14ac:dyDescent="0.35">
      <c r="A575" s="2" t="s">
        <v>704</v>
      </c>
      <c r="B575" s="2">
        <v>287.5</v>
      </c>
      <c r="C575" s="2" t="s">
        <v>20</v>
      </c>
      <c r="D575" s="2">
        <v>616</v>
      </c>
      <c r="E575" s="2">
        <v>20020</v>
      </c>
      <c r="F575" s="2">
        <v>616</v>
      </c>
      <c r="G575" s="2">
        <v>286</v>
      </c>
      <c r="H575" s="2" t="s">
        <v>705</v>
      </c>
      <c r="I575" s="2">
        <f>VLOOKUP(H575,[1]Customers!$A:$B,2,FALSE)</f>
        <v>2336</v>
      </c>
      <c r="J575" s="2">
        <v>45819</v>
      </c>
      <c r="K575" s="2" t="s">
        <v>706</v>
      </c>
      <c r="L575" s="2">
        <v>4059.16</v>
      </c>
      <c r="N575" s="3" t="s">
        <v>19</v>
      </c>
    </row>
    <row r="576" spans="1:15" x14ac:dyDescent="0.35">
      <c r="A576" s="2" t="s">
        <v>707</v>
      </c>
      <c r="B576" s="2">
        <v>288</v>
      </c>
      <c r="C576" s="2" t="s">
        <v>16</v>
      </c>
      <c r="D576" s="2">
        <v>968</v>
      </c>
      <c r="E576" s="2">
        <v>20020</v>
      </c>
      <c r="G576" s="2">
        <v>847</v>
      </c>
      <c r="H576" s="2" t="s">
        <v>708</v>
      </c>
      <c r="I576" s="2">
        <f>VLOOKUP(H576,[1]Customers!$A:$B,2,FALSE)</f>
        <v>3379</v>
      </c>
      <c r="J576" s="2">
        <v>45258</v>
      </c>
      <c r="K576" s="2" t="s">
        <v>709</v>
      </c>
      <c r="M576" s="2">
        <v>73.25</v>
      </c>
      <c r="N576" s="3" t="s">
        <v>19</v>
      </c>
    </row>
    <row r="577" spans="1:15" x14ac:dyDescent="0.35">
      <c r="A577" s="2" t="s">
        <v>707</v>
      </c>
      <c r="B577" s="2">
        <v>288.5</v>
      </c>
      <c r="C577" s="2" t="s">
        <v>20</v>
      </c>
      <c r="D577" s="2">
        <v>616</v>
      </c>
      <c r="E577" s="2">
        <v>20020</v>
      </c>
      <c r="F577" s="2">
        <v>616</v>
      </c>
      <c r="G577" s="2">
        <v>847</v>
      </c>
      <c r="H577" s="2" t="s">
        <v>708</v>
      </c>
      <c r="I577" s="2">
        <f>VLOOKUP(H577,[1]Customers!$A:$B,2,FALSE)</f>
        <v>3379</v>
      </c>
      <c r="J577" s="2">
        <v>45258</v>
      </c>
      <c r="K577" s="2" t="s">
        <v>709</v>
      </c>
      <c r="L577" s="2">
        <v>73.25</v>
      </c>
      <c r="N577" s="3" t="s">
        <v>19</v>
      </c>
    </row>
    <row r="578" spans="1:15" x14ac:dyDescent="0.35">
      <c r="A578" s="2" t="s">
        <v>710</v>
      </c>
      <c r="B578" s="2">
        <v>289</v>
      </c>
      <c r="C578" s="2" t="s">
        <v>16</v>
      </c>
      <c r="D578" s="2">
        <v>968</v>
      </c>
      <c r="E578" s="2">
        <v>20020</v>
      </c>
      <c r="G578" s="2">
        <v>365</v>
      </c>
      <c r="H578" s="2" t="s">
        <v>711</v>
      </c>
      <c r="I578" s="2">
        <f>VLOOKUP(H578,[1]Customers!$A:$B,2,FALSE)</f>
        <v>675</v>
      </c>
      <c r="J578" s="2">
        <v>45740</v>
      </c>
      <c r="K578" s="2" t="s">
        <v>712</v>
      </c>
      <c r="M578" s="2">
        <v>17719.990000000002</v>
      </c>
      <c r="N578" s="3" t="s">
        <v>19</v>
      </c>
    </row>
    <row r="579" spans="1:15" x14ac:dyDescent="0.35">
      <c r="A579" s="2" t="s">
        <v>710</v>
      </c>
      <c r="B579" s="2">
        <v>289.5</v>
      </c>
      <c r="C579" s="2" t="s">
        <v>20</v>
      </c>
      <c r="D579" s="2">
        <v>616</v>
      </c>
      <c r="E579" s="2">
        <v>20020</v>
      </c>
      <c r="F579" s="2">
        <v>616</v>
      </c>
      <c r="G579" s="2">
        <v>365</v>
      </c>
      <c r="H579" s="2" t="s">
        <v>711</v>
      </c>
      <c r="I579" s="2">
        <f>VLOOKUP(H579,[1]Customers!$A:$B,2,FALSE)</f>
        <v>675</v>
      </c>
      <c r="J579" s="2">
        <v>45740</v>
      </c>
      <c r="K579" s="2" t="s">
        <v>712</v>
      </c>
      <c r="L579" s="2">
        <v>17719.990000000002</v>
      </c>
      <c r="N579" s="3" t="s">
        <v>19</v>
      </c>
    </row>
    <row r="580" spans="1:15" x14ac:dyDescent="0.35">
      <c r="A580" s="2" t="s">
        <v>713</v>
      </c>
      <c r="B580" s="2">
        <v>290</v>
      </c>
      <c r="C580" s="2" t="s">
        <v>16</v>
      </c>
      <c r="D580" s="2">
        <v>968</v>
      </c>
      <c r="E580" s="2">
        <v>20020</v>
      </c>
      <c r="G580" s="2">
        <v>327</v>
      </c>
      <c r="H580" s="2" t="s">
        <v>714</v>
      </c>
      <c r="I580" s="2">
        <f>VLOOKUP(H580,[1]Customers!$A:$B,2,FALSE)</f>
        <v>2338</v>
      </c>
      <c r="J580" s="2">
        <v>45778</v>
      </c>
      <c r="K580" s="2" t="s">
        <v>715</v>
      </c>
      <c r="M580" s="2">
        <v>3401</v>
      </c>
      <c r="N580" s="3" t="s">
        <v>19</v>
      </c>
    </row>
    <row r="581" spans="1:15" x14ac:dyDescent="0.35">
      <c r="A581" s="2" t="s">
        <v>713</v>
      </c>
      <c r="B581" s="2">
        <v>290.5</v>
      </c>
      <c r="C581" s="2" t="s">
        <v>20</v>
      </c>
      <c r="D581" s="2">
        <v>616</v>
      </c>
      <c r="E581" s="2">
        <v>20020</v>
      </c>
      <c r="F581" s="2">
        <v>616</v>
      </c>
      <c r="G581" s="2">
        <v>327</v>
      </c>
      <c r="H581" s="2" t="s">
        <v>714</v>
      </c>
      <c r="I581" s="2">
        <f>VLOOKUP(H581,[1]Customers!$A:$B,2,FALSE)</f>
        <v>2338</v>
      </c>
      <c r="J581" s="2">
        <v>45778</v>
      </c>
      <c r="K581" s="2" t="s">
        <v>715</v>
      </c>
      <c r="L581" s="2">
        <v>3401</v>
      </c>
      <c r="N581" s="3" t="s">
        <v>19</v>
      </c>
    </row>
    <row r="582" spans="1:15" x14ac:dyDescent="0.35">
      <c r="A582" s="2" t="s">
        <v>716</v>
      </c>
      <c r="B582" s="2">
        <v>291</v>
      </c>
      <c r="C582" s="2" t="s">
        <v>16</v>
      </c>
      <c r="D582" s="2">
        <v>968</v>
      </c>
      <c r="E582" s="2">
        <v>20020</v>
      </c>
      <c r="G582" s="2">
        <v>376</v>
      </c>
      <c r="H582" s="2" t="s">
        <v>717</v>
      </c>
      <c r="I582" s="2">
        <v>2609</v>
      </c>
      <c r="J582" s="2">
        <v>45729</v>
      </c>
      <c r="K582" s="2" t="s">
        <v>718</v>
      </c>
      <c r="M582" s="2">
        <v>363954.02</v>
      </c>
      <c r="N582" s="3" t="s">
        <v>19</v>
      </c>
    </row>
    <row r="583" spans="1:15" x14ac:dyDescent="0.35">
      <c r="A583" s="2" t="s">
        <v>716</v>
      </c>
      <c r="B583" s="2">
        <v>291.5</v>
      </c>
      <c r="C583" s="2" t="s">
        <v>20</v>
      </c>
      <c r="D583" s="2">
        <v>616</v>
      </c>
      <c r="E583" s="2">
        <v>20020</v>
      </c>
      <c r="F583" s="2">
        <v>616</v>
      </c>
      <c r="G583" s="2">
        <v>376</v>
      </c>
      <c r="H583" s="2" t="s">
        <v>717</v>
      </c>
      <c r="I583" s="2">
        <v>2609</v>
      </c>
      <c r="J583" s="2">
        <v>45729</v>
      </c>
      <c r="K583" s="2" t="s">
        <v>718</v>
      </c>
      <c r="L583" s="2">
        <v>363954.02</v>
      </c>
      <c r="N583" s="3" t="s">
        <v>19</v>
      </c>
    </row>
    <row r="584" spans="1:15" x14ac:dyDescent="0.35">
      <c r="A584" s="2" t="s">
        <v>719</v>
      </c>
      <c r="B584" s="2">
        <v>292</v>
      </c>
      <c r="C584" s="2" t="s">
        <v>16</v>
      </c>
      <c r="D584" s="2">
        <v>968</v>
      </c>
      <c r="E584" s="2">
        <v>20020</v>
      </c>
      <c r="G584" s="2">
        <v>588</v>
      </c>
      <c r="H584" s="2" t="s">
        <v>717</v>
      </c>
      <c r="I584" s="2">
        <v>2609</v>
      </c>
      <c r="J584" s="2">
        <v>45517</v>
      </c>
      <c r="M584" s="2">
        <v>43.27</v>
      </c>
      <c r="N584" s="3" t="s">
        <v>19</v>
      </c>
      <c r="O584" s="2" t="s">
        <v>720</v>
      </c>
    </row>
    <row r="585" spans="1:15" x14ac:dyDescent="0.35">
      <c r="A585" s="2" t="s">
        <v>719</v>
      </c>
      <c r="B585" s="2">
        <v>292.5</v>
      </c>
      <c r="C585" s="2" t="s">
        <v>20</v>
      </c>
      <c r="D585" s="2">
        <v>616</v>
      </c>
      <c r="E585" s="2">
        <v>20020</v>
      </c>
      <c r="F585" s="2">
        <v>616</v>
      </c>
      <c r="G585" s="2">
        <v>588</v>
      </c>
      <c r="H585" s="2" t="s">
        <v>717</v>
      </c>
      <c r="I585" s="2">
        <v>2609</v>
      </c>
      <c r="J585" s="2">
        <v>45517</v>
      </c>
      <c r="L585" s="2">
        <v>43.27</v>
      </c>
      <c r="N585" s="3" t="s">
        <v>19</v>
      </c>
      <c r="O585" s="2" t="s">
        <v>720</v>
      </c>
    </row>
    <row r="586" spans="1:15" x14ac:dyDescent="0.35">
      <c r="A586" s="2" t="s">
        <v>721</v>
      </c>
      <c r="B586" s="2">
        <v>293</v>
      </c>
      <c r="C586" s="2" t="s">
        <v>16</v>
      </c>
      <c r="D586" s="2">
        <v>968</v>
      </c>
      <c r="E586" s="2">
        <v>20020</v>
      </c>
      <c r="G586" s="2">
        <v>438</v>
      </c>
      <c r="H586" s="2" t="s">
        <v>717</v>
      </c>
      <c r="I586" s="2">
        <v>2609</v>
      </c>
      <c r="J586" s="2">
        <v>45667</v>
      </c>
      <c r="K586" s="2" t="s">
        <v>722</v>
      </c>
      <c r="M586" s="2">
        <v>265313.38</v>
      </c>
      <c r="N586" s="3" t="s">
        <v>19</v>
      </c>
    </row>
    <row r="587" spans="1:15" x14ac:dyDescent="0.35">
      <c r="A587" s="2" t="s">
        <v>721</v>
      </c>
      <c r="B587" s="2">
        <v>293.5</v>
      </c>
      <c r="C587" s="2" t="s">
        <v>20</v>
      </c>
      <c r="D587" s="2">
        <v>616</v>
      </c>
      <c r="E587" s="2">
        <v>20020</v>
      </c>
      <c r="F587" s="2">
        <v>616</v>
      </c>
      <c r="G587" s="2">
        <v>438</v>
      </c>
      <c r="H587" s="2" t="s">
        <v>717</v>
      </c>
      <c r="I587" s="2">
        <v>2609</v>
      </c>
      <c r="J587" s="2">
        <v>45667</v>
      </c>
      <c r="K587" s="2" t="s">
        <v>722</v>
      </c>
      <c r="L587" s="2">
        <v>265313.38</v>
      </c>
      <c r="N587" s="3" t="s">
        <v>19</v>
      </c>
    </row>
    <row r="588" spans="1:15" x14ac:dyDescent="0.35">
      <c r="A588" s="2" t="s">
        <v>723</v>
      </c>
      <c r="B588" s="2">
        <v>294</v>
      </c>
      <c r="C588" s="2" t="s">
        <v>16</v>
      </c>
      <c r="D588" s="2">
        <v>968</v>
      </c>
      <c r="E588" s="2">
        <v>20020</v>
      </c>
      <c r="G588" s="2">
        <v>306</v>
      </c>
      <c r="H588" s="2" t="s">
        <v>724</v>
      </c>
      <c r="I588" s="2">
        <f>VLOOKUP(H588,[1]Customers!$A:$B,2,FALSE)</f>
        <v>2466</v>
      </c>
      <c r="J588" s="2">
        <v>45799</v>
      </c>
      <c r="K588" s="2" t="s">
        <v>725</v>
      </c>
      <c r="M588" s="2">
        <v>4427.42</v>
      </c>
      <c r="N588" s="3" t="s">
        <v>19</v>
      </c>
    </row>
    <row r="589" spans="1:15" x14ac:dyDescent="0.35">
      <c r="A589" s="2" t="s">
        <v>723</v>
      </c>
      <c r="B589" s="2">
        <v>294.5</v>
      </c>
      <c r="C589" s="2" t="s">
        <v>20</v>
      </c>
      <c r="D589" s="2">
        <v>616</v>
      </c>
      <c r="E589" s="2">
        <v>20020</v>
      </c>
      <c r="F589" s="2">
        <v>616</v>
      </c>
      <c r="G589" s="2">
        <v>306</v>
      </c>
      <c r="H589" s="2" t="s">
        <v>724</v>
      </c>
      <c r="I589" s="2">
        <f>VLOOKUP(H589,[1]Customers!$A:$B,2,FALSE)</f>
        <v>2466</v>
      </c>
      <c r="J589" s="2">
        <v>45799</v>
      </c>
      <c r="K589" s="2" t="s">
        <v>725</v>
      </c>
      <c r="L589" s="2">
        <v>4427.42</v>
      </c>
      <c r="N589" s="3" t="s">
        <v>19</v>
      </c>
    </row>
    <row r="590" spans="1:15" x14ac:dyDescent="0.35">
      <c r="A590" s="2" t="s">
        <v>726</v>
      </c>
      <c r="B590" s="2">
        <v>295</v>
      </c>
      <c r="C590" s="2" t="s">
        <v>16</v>
      </c>
      <c r="D590" s="2">
        <v>968</v>
      </c>
      <c r="E590" s="2">
        <v>20020</v>
      </c>
      <c r="G590" s="2">
        <v>326</v>
      </c>
      <c r="H590" s="2" t="s">
        <v>724</v>
      </c>
      <c r="I590" s="2">
        <f>VLOOKUP(H590,[1]Customers!$A:$B,2,FALSE)</f>
        <v>2466</v>
      </c>
      <c r="J590" s="2">
        <v>45779</v>
      </c>
      <c r="K590" s="2" t="s">
        <v>727</v>
      </c>
      <c r="M590" s="2">
        <v>27336.73</v>
      </c>
      <c r="N590" s="3" t="s">
        <v>19</v>
      </c>
    </row>
    <row r="591" spans="1:15" x14ac:dyDescent="0.35">
      <c r="A591" s="2" t="s">
        <v>726</v>
      </c>
      <c r="B591" s="2">
        <v>295.5</v>
      </c>
      <c r="C591" s="2" t="s">
        <v>20</v>
      </c>
      <c r="D591" s="2">
        <v>616</v>
      </c>
      <c r="E591" s="2">
        <v>20020</v>
      </c>
      <c r="F591" s="2">
        <v>616</v>
      </c>
      <c r="G591" s="2">
        <v>326</v>
      </c>
      <c r="H591" s="2" t="s">
        <v>724</v>
      </c>
      <c r="I591" s="2">
        <f>VLOOKUP(H591,[1]Customers!$A:$B,2,FALSE)</f>
        <v>2466</v>
      </c>
      <c r="J591" s="2">
        <v>45779</v>
      </c>
      <c r="K591" s="2" t="s">
        <v>727</v>
      </c>
      <c r="L591" s="2">
        <v>27336.73</v>
      </c>
      <c r="N591" s="3" t="s">
        <v>19</v>
      </c>
    </row>
    <row r="592" spans="1:15" x14ac:dyDescent="0.35">
      <c r="A592" s="2" t="s">
        <v>728</v>
      </c>
      <c r="B592" s="2">
        <v>296</v>
      </c>
      <c r="C592" s="2" t="s">
        <v>16</v>
      </c>
      <c r="D592" s="2">
        <v>968</v>
      </c>
      <c r="E592" s="2">
        <v>20020</v>
      </c>
      <c r="G592" s="2">
        <v>319</v>
      </c>
      <c r="H592" s="2" t="s">
        <v>724</v>
      </c>
      <c r="I592" s="2">
        <f>VLOOKUP(H592,[1]Customers!$A:$B,2,FALSE)</f>
        <v>2466</v>
      </c>
      <c r="J592" s="2">
        <v>45786</v>
      </c>
      <c r="K592" s="2" t="s">
        <v>729</v>
      </c>
      <c r="M592" s="2">
        <v>4509.24</v>
      </c>
      <c r="N592" s="3" t="s">
        <v>19</v>
      </c>
      <c r="O592" s="2">
        <v>5664</v>
      </c>
    </row>
    <row r="593" spans="1:15" ht="15" customHeight="1" x14ac:dyDescent="0.35">
      <c r="A593" s="2" t="s">
        <v>728</v>
      </c>
      <c r="B593" s="2">
        <v>296.5</v>
      </c>
      <c r="C593" s="2" t="s">
        <v>20</v>
      </c>
      <c r="D593" s="2">
        <v>616</v>
      </c>
      <c r="E593" s="2">
        <v>20020</v>
      </c>
      <c r="F593" s="2">
        <v>616</v>
      </c>
      <c r="G593" s="2">
        <v>319</v>
      </c>
      <c r="H593" s="2" t="s">
        <v>724</v>
      </c>
      <c r="I593" s="2">
        <f>VLOOKUP(H593,[1]Customers!$A:$B,2,FALSE)</f>
        <v>2466</v>
      </c>
      <c r="J593" s="2">
        <v>45786</v>
      </c>
      <c r="K593" s="2" t="s">
        <v>729</v>
      </c>
      <c r="L593" s="2">
        <v>4509.24</v>
      </c>
      <c r="N593" s="3" t="s">
        <v>19</v>
      </c>
      <c r="O593" s="2">
        <v>5664</v>
      </c>
    </row>
    <row r="594" spans="1:15" x14ac:dyDescent="0.35">
      <c r="A594" s="2" t="s">
        <v>730</v>
      </c>
      <c r="B594" s="2">
        <v>297</v>
      </c>
      <c r="C594" s="2" t="s">
        <v>16</v>
      </c>
      <c r="D594" s="2">
        <v>968</v>
      </c>
      <c r="E594" s="2">
        <v>20020</v>
      </c>
      <c r="G594" s="2">
        <v>487</v>
      </c>
      <c r="H594" s="2" t="s">
        <v>724</v>
      </c>
      <c r="I594" s="2">
        <f>VLOOKUP(H594,[1]Customers!$A:$B,2,FALSE)</f>
        <v>2466</v>
      </c>
      <c r="J594" s="2">
        <v>45618</v>
      </c>
      <c r="K594" s="2" t="s">
        <v>727</v>
      </c>
      <c r="M594" s="2">
        <v>4343.49</v>
      </c>
      <c r="N594" s="3" t="s">
        <v>19</v>
      </c>
    </row>
    <row r="595" spans="1:15" x14ac:dyDescent="0.35">
      <c r="A595" s="2" t="s">
        <v>730</v>
      </c>
      <c r="B595" s="2">
        <v>297.5</v>
      </c>
      <c r="C595" s="2" t="s">
        <v>20</v>
      </c>
      <c r="D595" s="2">
        <v>616</v>
      </c>
      <c r="E595" s="2">
        <v>20020</v>
      </c>
      <c r="F595" s="2">
        <v>616</v>
      </c>
      <c r="G595" s="2">
        <v>487</v>
      </c>
      <c r="H595" s="2" t="s">
        <v>724</v>
      </c>
      <c r="I595" s="2">
        <f>VLOOKUP(H595,[1]Customers!$A:$B,2,FALSE)</f>
        <v>2466</v>
      </c>
      <c r="J595" s="2">
        <v>45618</v>
      </c>
      <c r="K595" s="2" t="s">
        <v>727</v>
      </c>
      <c r="L595" s="2">
        <v>4343.49</v>
      </c>
      <c r="N595" s="3" t="s">
        <v>19</v>
      </c>
    </row>
    <row r="596" spans="1:15" x14ac:dyDescent="0.35">
      <c r="A596" s="2" t="s">
        <v>731</v>
      </c>
      <c r="B596" s="2">
        <v>298</v>
      </c>
      <c r="C596" s="2" t="s">
        <v>16</v>
      </c>
      <c r="D596" s="2">
        <v>968</v>
      </c>
      <c r="E596" s="2">
        <v>20020</v>
      </c>
      <c r="G596" s="2">
        <v>362</v>
      </c>
      <c r="H596" s="2" t="s">
        <v>732</v>
      </c>
      <c r="I596" s="2">
        <f>VLOOKUP(H596,[1]Customers!$A:$B,2,FALSE)</f>
        <v>2288</v>
      </c>
      <c r="J596" s="2">
        <v>45743</v>
      </c>
      <c r="K596" s="2" t="s">
        <v>733</v>
      </c>
      <c r="M596" s="2">
        <v>239</v>
      </c>
      <c r="N596" s="3" t="s">
        <v>19</v>
      </c>
    </row>
    <row r="597" spans="1:15" x14ac:dyDescent="0.35">
      <c r="A597" s="2" t="s">
        <v>731</v>
      </c>
      <c r="B597" s="2">
        <v>298.5</v>
      </c>
      <c r="C597" s="2" t="s">
        <v>20</v>
      </c>
      <c r="D597" s="2">
        <v>616</v>
      </c>
      <c r="E597" s="2">
        <v>20020</v>
      </c>
      <c r="F597" s="2">
        <v>616</v>
      </c>
      <c r="G597" s="2">
        <v>362</v>
      </c>
      <c r="H597" s="2" t="s">
        <v>732</v>
      </c>
      <c r="I597" s="2">
        <f>VLOOKUP(H597,[1]Customers!$A:$B,2,FALSE)</f>
        <v>2288</v>
      </c>
      <c r="J597" s="2">
        <v>45743</v>
      </c>
      <c r="K597" s="2" t="s">
        <v>733</v>
      </c>
      <c r="L597" s="2">
        <v>239</v>
      </c>
      <c r="N597" s="3" t="s">
        <v>19</v>
      </c>
    </row>
    <row r="598" spans="1:15" x14ac:dyDescent="0.35">
      <c r="A598" s="2" t="s">
        <v>734</v>
      </c>
      <c r="B598" s="2">
        <v>299</v>
      </c>
      <c r="C598" s="2" t="s">
        <v>16</v>
      </c>
      <c r="D598" s="2">
        <v>968</v>
      </c>
      <c r="E598" s="2">
        <v>20020</v>
      </c>
      <c r="G598" s="2">
        <v>399</v>
      </c>
      <c r="H598" s="2" t="s">
        <v>735</v>
      </c>
      <c r="I598" s="2">
        <f>VLOOKUP(H598,[1]Customers!$A:$B,2,FALSE)</f>
        <v>2599</v>
      </c>
      <c r="J598" s="2">
        <v>45706</v>
      </c>
      <c r="K598" s="2" t="s">
        <v>736</v>
      </c>
      <c r="M598" s="2">
        <v>2052.6799999999998</v>
      </c>
      <c r="N598" s="3" t="s">
        <v>19</v>
      </c>
      <c r="O598" s="2">
        <v>468</v>
      </c>
    </row>
    <row r="599" spans="1:15" x14ac:dyDescent="0.35">
      <c r="A599" s="2" t="s">
        <v>734</v>
      </c>
      <c r="B599" s="2">
        <v>299.5</v>
      </c>
      <c r="C599" s="2" t="s">
        <v>20</v>
      </c>
      <c r="D599" s="2">
        <v>616</v>
      </c>
      <c r="E599" s="2">
        <v>20020</v>
      </c>
      <c r="F599" s="2">
        <v>616</v>
      </c>
      <c r="G599" s="2">
        <v>399</v>
      </c>
      <c r="H599" s="2" t="s">
        <v>735</v>
      </c>
      <c r="I599" s="2">
        <f>VLOOKUP(H599,[1]Customers!$A:$B,2,FALSE)</f>
        <v>2599</v>
      </c>
      <c r="J599" s="2">
        <v>45706</v>
      </c>
      <c r="K599" s="2" t="s">
        <v>736</v>
      </c>
      <c r="L599" s="2">
        <v>2052.6799999999998</v>
      </c>
      <c r="N599" s="3" t="s">
        <v>19</v>
      </c>
      <c r="O599" s="2">
        <v>468</v>
      </c>
    </row>
    <row r="600" spans="1:15" x14ac:dyDescent="0.35">
      <c r="A600" s="2" t="s">
        <v>737</v>
      </c>
      <c r="B600" s="2">
        <v>300</v>
      </c>
      <c r="C600" s="2" t="s">
        <v>16</v>
      </c>
      <c r="D600" s="2">
        <v>968</v>
      </c>
      <c r="E600" s="2">
        <v>20020</v>
      </c>
      <c r="G600" s="2">
        <v>279</v>
      </c>
      <c r="H600" s="2" t="s">
        <v>738</v>
      </c>
      <c r="I600" s="2">
        <f>VLOOKUP(H600,[1]Customers!$A:$B,2,FALSE)</f>
        <v>933</v>
      </c>
      <c r="J600" s="2">
        <v>45826</v>
      </c>
      <c r="K600" s="2" t="s">
        <v>739</v>
      </c>
      <c r="M600" s="2">
        <v>2002.44</v>
      </c>
      <c r="N600" s="3" t="s">
        <v>19</v>
      </c>
    </row>
    <row r="601" spans="1:15" x14ac:dyDescent="0.35">
      <c r="A601" s="2" t="s">
        <v>737</v>
      </c>
      <c r="B601" s="2">
        <v>300.5</v>
      </c>
      <c r="C601" s="2" t="s">
        <v>20</v>
      </c>
      <c r="D601" s="2">
        <v>616</v>
      </c>
      <c r="E601" s="2">
        <v>20020</v>
      </c>
      <c r="F601" s="2">
        <v>616</v>
      </c>
      <c r="G601" s="2">
        <v>279</v>
      </c>
      <c r="H601" s="2" t="s">
        <v>738</v>
      </c>
      <c r="I601" s="2">
        <f>VLOOKUP(H601,[1]Customers!$A:$B,2,FALSE)</f>
        <v>933</v>
      </c>
      <c r="J601" s="2">
        <v>45826</v>
      </c>
      <c r="K601" s="2" t="s">
        <v>739</v>
      </c>
      <c r="L601" s="2">
        <v>2002.44</v>
      </c>
      <c r="N601" s="3" t="s">
        <v>19</v>
      </c>
    </row>
    <row r="602" spans="1:15" x14ac:dyDescent="0.35">
      <c r="A602" s="2" t="s">
        <v>740</v>
      </c>
      <c r="B602" s="2">
        <v>301</v>
      </c>
      <c r="C602" s="2" t="s">
        <v>16</v>
      </c>
      <c r="D602" s="2">
        <v>968</v>
      </c>
      <c r="E602" s="2">
        <v>20020</v>
      </c>
      <c r="G602" s="2">
        <v>362</v>
      </c>
      <c r="H602" s="2" t="s">
        <v>738</v>
      </c>
      <c r="I602" s="2">
        <f>VLOOKUP(H602,[1]Customers!$A:$B,2,FALSE)</f>
        <v>933</v>
      </c>
      <c r="J602" s="2">
        <v>45743</v>
      </c>
      <c r="K602" s="2" t="s">
        <v>741</v>
      </c>
      <c r="M602" s="2">
        <v>5756.59</v>
      </c>
      <c r="N602" s="3" t="s">
        <v>19</v>
      </c>
    </row>
    <row r="603" spans="1:15" x14ac:dyDescent="0.35">
      <c r="A603" s="2" t="s">
        <v>740</v>
      </c>
      <c r="B603" s="2">
        <v>301.5</v>
      </c>
      <c r="C603" s="2" t="s">
        <v>20</v>
      </c>
      <c r="D603" s="2">
        <v>616</v>
      </c>
      <c r="E603" s="2">
        <v>20020</v>
      </c>
      <c r="F603" s="2">
        <v>616</v>
      </c>
      <c r="G603" s="2">
        <v>362</v>
      </c>
      <c r="H603" s="2" t="s">
        <v>738</v>
      </c>
      <c r="I603" s="2">
        <f>VLOOKUP(H603,[1]Customers!$A:$B,2,FALSE)</f>
        <v>933</v>
      </c>
      <c r="J603" s="2">
        <v>45743</v>
      </c>
      <c r="K603" s="2" t="s">
        <v>741</v>
      </c>
      <c r="L603" s="2">
        <v>5756.59</v>
      </c>
      <c r="N603" s="3" t="s">
        <v>19</v>
      </c>
    </row>
    <row r="604" spans="1:15" x14ac:dyDescent="0.35">
      <c r="A604" s="2" t="s">
        <v>742</v>
      </c>
      <c r="B604" s="2">
        <v>302</v>
      </c>
      <c r="C604" s="2" t="s">
        <v>16</v>
      </c>
      <c r="D604" s="2">
        <v>968</v>
      </c>
      <c r="E604" s="2">
        <v>20020</v>
      </c>
      <c r="G604" s="2">
        <v>364</v>
      </c>
      <c r="H604" s="2" t="s">
        <v>743</v>
      </c>
      <c r="I604" s="2">
        <f>VLOOKUP(H604,[1]Customers!$A:$B,2,FALSE)</f>
        <v>2169</v>
      </c>
      <c r="J604" s="2">
        <v>45741</v>
      </c>
      <c r="K604" s="2" t="s">
        <v>744</v>
      </c>
      <c r="M604" s="2">
        <v>199306.4</v>
      </c>
      <c r="N604" s="3" t="s">
        <v>19</v>
      </c>
    </row>
    <row r="605" spans="1:15" x14ac:dyDescent="0.35">
      <c r="A605" s="2" t="s">
        <v>742</v>
      </c>
      <c r="B605" s="2">
        <v>302.5</v>
      </c>
      <c r="C605" s="2" t="s">
        <v>20</v>
      </c>
      <c r="D605" s="2">
        <v>616</v>
      </c>
      <c r="E605" s="2">
        <v>20020</v>
      </c>
      <c r="F605" s="2">
        <v>616</v>
      </c>
      <c r="G605" s="2">
        <v>364</v>
      </c>
      <c r="H605" s="2" t="s">
        <v>743</v>
      </c>
      <c r="I605" s="2">
        <f>VLOOKUP(H605,[1]Customers!$A:$B,2,FALSE)</f>
        <v>2169</v>
      </c>
      <c r="J605" s="2">
        <v>45741</v>
      </c>
      <c r="K605" s="2" t="s">
        <v>744</v>
      </c>
      <c r="L605" s="2">
        <v>199306.4</v>
      </c>
      <c r="N605" s="3" t="s">
        <v>19</v>
      </c>
    </row>
    <row r="606" spans="1:15" x14ac:dyDescent="0.35">
      <c r="A606" s="2" t="s">
        <v>745</v>
      </c>
      <c r="B606" s="2">
        <v>303</v>
      </c>
      <c r="C606" s="2" t="s">
        <v>16</v>
      </c>
      <c r="D606" s="2">
        <v>968</v>
      </c>
      <c r="E606" s="2">
        <v>20020</v>
      </c>
      <c r="G606" s="2">
        <v>382</v>
      </c>
      <c r="H606" s="2" t="s">
        <v>746</v>
      </c>
      <c r="I606" s="2">
        <f>VLOOKUP(H606,[1]Customers!$A:$B,2,FALSE)</f>
        <v>2554</v>
      </c>
      <c r="J606" s="2">
        <v>45723</v>
      </c>
      <c r="K606" s="2" t="s">
        <v>747</v>
      </c>
      <c r="M606" s="2">
        <v>300000</v>
      </c>
      <c r="N606" s="3" t="s">
        <v>19</v>
      </c>
    </row>
    <row r="607" spans="1:15" x14ac:dyDescent="0.35">
      <c r="A607" s="2" t="s">
        <v>745</v>
      </c>
      <c r="B607" s="2">
        <v>303.5</v>
      </c>
      <c r="C607" s="2" t="s">
        <v>20</v>
      </c>
      <c r="D607" s="2">
        <v>616</v>
      </c>
      <c r="E607" s="2">
        <v>20020</v>
      </c>
      <c r="F607" s="2">
        <v>616</v>
      </c>
      <c r="G607" s="2">
        <v>382</v>
      </c>
      <c r="H607" s="2" t="s">
        <v>746</v>
      </c>
      <c r="I607" s="2">
        <f>VLOOKUP(H607,[1]Customers!$A:$B,2,FALSE)</f>
        <v>2554</v>
      </c>
      <c r="J607" s="2">
        <v>45723</v>
      </c>
      <c r="K607" s="2" t="s">
        <v>747</v>
      </c>
      <c r="L607" s="2">
        <v>300000</v>
      </c>
      <c r="N607" s="3" t="s">
        <v>19</v>
      </c>
    </row>
    <row r="608" spans="1:15" x14ac:dyDescent="0.35">
      <c r="A608" s="2" t="s">
        <v>748</v>
      </c>
      <c r="B608" s="2">
        <v>304</v>
      </c>
      <c r="C608" s="2" t="s">
        <v>16</v>
      </c>
      <c r="D608" s="2">
        <v>968</v>
      </c>
      <c r="E608" s="2">
        <v>20020</v>
      </c>
      <c r="G608" s="2">
        <v>354</v>
      </c>
      <c r="H608" s="2" t="s">
        <v>749</v>
      </c>
      <c r="I608" s="2">
        <f>VLOOKUP(H608,[1]Customers!$A:$B,2,FALSE)</f>
        <v>2597</v>
      </c>
      <c r="J608" s="2">
        <v>45751</v>
      </c>
      <c r="K608" s="2" t="s">
        <v>750</v>
      </c>
      <c r="M608" s="2">
        <v>4400</v>
      </c>
      <c r="N608" s="3" t="s">
        <v>19</v>
      </c>
    </row>
    <row r="609" spans="1:15" x14ac:dyDescent="0.35">
      <c r="A609" s="2" t="s">
        <v>748</v>
      </c>
      <c r="B609" s="2">
        <v>304.5</v>
      </c>
      <c r="C609" s="2" t="s">
        <v>20</v>
      </c>
      <c r="D609" s="2">
        <v>616</v>
      </c>
      <c r="E609" s="2">
        <v>20020</v>
      </c>
      <c r="F609" s="2">
        <v>616</v>
      </c>
      <c r="G609" s="2">
        <v>354</v>
      </c>
      <c r="H609" s="2" t="s">
        <v>749</v>
      </c>
      <c r="I609" s="2">
        <f>VLOOKUP(H609,[1]Customers!$A:$B,2,FALSE)</f>
        <v>2597</v>
      </c>
      <c r="J609" s="2">
        <v>45751</v>
      </c>
      <c r="K609" s="2" t="s">
        <v>750</v>
      </c>
      <c r="L609" s="2">
        <v>4400</v>
      </c>
      <c r="N609" s="3" t="s">
        <v>19</v>
      </c>
    </row>
    <row r="610" spans="1:15" x14ac:dyDescent="0.35">
      <c r="A610" s="2" t="s">
        <v>751</v>
      </c>
      <c r="B610" s="2">
        <v>305</v>
      </c>
      <c r="C610" s="2" t="s">
        <v>16</v>
      </c>
      <c r="D610" s="2">
        <v>968</v>
      </c>
      <c r="E610" s="2">
        <v>20020</v>
      </c>
      <c r="G610" s="2">
        <v>323</v>
      </c>
      <c r="H610" s="2" t="s">
        <v>749</v>
      </c>
      <c r="I610" s="2">
        <f>VLOOKUP(H610,[1]Customers!$A:$B,2,FALSE)</f>
        <v>2597</v>
      </c>
      <c r="J610" s="2">
        <v>45782</v>
      </c>
      <c r="K610" s="2" t="s">
        <v>752</v>
      </c>
      <c r="M610" s="2">
        <v>5975</v>
      </c>
      <c r="N610" s="3" t="s">
        <v>19</v>
      </c>
    </row>
    <row r="611" spans="1:15" x14ac:dyDescent="0.35">
      <c r="A611" s="2" t="s">
        <v>751</v>
      </c>
      <c r="B611" s="2">
        <v>305.5</v>
      </c>
      <c r="C611" s="2" t="s">
        <v>20</v>
      </c>
      <c r="D611" s="2">
        <v>616</v>
      </c>
      <c r="E611" s="2">
        <v>20020</v>
      </c>
      <c r="F611" s="2">
        <v>616</v>
      </c>
      <c r="G611" s="2">
        <v>323</v>
      </c>
      <c r="H611" s="2" t="s">
        <v>749</v>
      </c>
      <c r="I611" s="2">
        <f>VLOOKUP(H611,[1]Customers!$A:$B,2,FALSE)</f>
        <v>2597</v>
      </c>
      <c r="J611" s="2">
        <v>45782</v>
      </c>
      <c r="K611" s="2" t="s">
        <v>752</v>
      </c>
      <c r="L611" s="2">
        <v>5975</v>
      </c>
      <c r="N611" s="3" t="s">
        <v>19</v>
      </c>
    </row>
    <row r="612" spans="1:15" x14ac:dyDescent="0.35">
      <c r="A612" s="2" t="s">
        <v>753</v>
      </c>
      <c r="B612" s="2">
        <v>306</v>
      </c>
      <c r="C612" s="2" t="s">
        <v>16</v>
      </c>
      <c r="D612" s="2">
        <v>968</v>
      </c>
      <c r="E612" s="2">
        <v>20020</v>
      </c>
      <c r="G612" s="2">
        <v>347</v>
      </c>
      <c r="H612" s="2" t="s">
        <v>749</v>
      </c>
      <c r="I612" s="2">
        <f>VLOOKUP(H612,[1]Customers!$A:$B,2,FALSE)</f>
        <v>2597</v>
      </c>
      <c r="J612" s="2">
        <v>45758</v>
      </c>
      <c r="K612" s="2" t="s">
        <v>754</v>
      </c>
      <c r="M612" s="2">
        <v>4300</v>
      </c>
      <c r="N612" s="3" t="s">
        <v>19</v>
      </c>
    </row>
    <row r="613" spans="1:15" x14ac:dyDescent="0.35">
      <c r="A613" s="2" t="s">
        <v>753</v>
      </c>
      <c r="B613" s="2">
        <v>306.5</v>
      </c>
      <c r="C613" s="2" t="s">
        <v>20</v>
      </c>
      <c r="D613" s="2">
        <v>616</v>
      </c>
      <c r="E613" s="2">
        <v>20020</v>
      </c>
      <c r="F613" s="2">
        <v>616</v>
      </c>
      <c r="G613" s="2">
        <v>347</v>
      </c>
      <c r="H613" s="2" t="s">
        <v>749</v>
      </c>
      <c r="I613" s="2">
        <f>VLOOKUP(H613,[1]Customers!$A:$B,2,FALSE)</f>
        <v>2597</v>
      </c>
      <c r="J613" s="2">
        <v>45758</v>
      </c>
      <c r="K613" s="2" t="s">
        <v>754</v>
      </c>
      <c r="L613" s="2">
        <v>4300</v>
      </c>
      <c r="N613" s="3" t="s">
        <v>19</v>
      </c>
    </row>
    <row r="614" spans="1:15" x14ac:dyDescent="0.35">
      <c r="A614" s="2" t="s">
        <v>755</v>
      </c>
      <c r="B614" s="2">
        <v>307</v>
      </c>
      <c r="C614" s="2" t="s">
        <v>16</v>
      </c>
      <c r="D614" s="2">
        <v>968</v>
      </c>
      <c r="E614" s="2">
        <v>20020</v>
      </c>
      <c r="G614" s="2">
        <v>391</v>
      </c>
      <c r="H614" s="2" t="s">
        <v>749</v>
      </c>
      <c r="I614" s="2">
        <f>VLOOKUP(H614,[1]Customers!$A:$B,2,FALSE)</f>
        <v>2597</v>
      </c>
      <c r="J614" s="2">
        <v>45714</v>
      </c>
      <c r="K614" s="2" t="s">
        <v>756</v>
      </c>
      <c r="M614" s="2">
        <v>85804.66</v>
      </c>
      <c r="N614" s="3" t="s">
        <v>19</v>
      </c>
    </row>
    <row r="615" spans="1:15" x14ac:dyDescent="0.35">
      <c r="A615" s="2" t="s">
        <v>755</v>
      </c>
      <c r="B615" s="2">
        <v>307.5</v>
      </c>
      <c r="C615" s="2" t="s">
        <v>20</v>
      </c>
      <c r="D615" s="2">
        <v>616</v>
      </c>
      <c r="E615" s="2">
        <v>20020</v>
      </c>
      <c r="F615" s="2">
        <v>616</v>
      </c>
      <c r="G615" s="2">
        <v>391</v>
      </c>
      <c r="H615" s="2" t="s">
        <v>749</v>
      </c>
      <c r="I615" s="2">
        <f>VLOOKUP(H615,[1]Customers!$A:$B,2,FALSE)</f>
        <v>2597</v>
      </c>
      <c r="J615" s="2">
        <v>45714</v>
      </c>
      <c r="K615" s="2" t="s">
        <v>756</v>
      </c>
      <c r="L615" s="2">
        <v>85804.66</v>
      </c>
      <c r="N615" s="3" t="s">
        <v>19</v>
      </c>
    </row>
    <row r="616" spans="1:15" x14ac:dyDescent="0.35">
      <c r="A616" s="2" t="s">
        <v>757</v>
      </c>
      <c r="B616" s="2">
        <v>308</v>
      </c>
      <c r="C616" s="2" t="s">
        <v>16</v>
      </c>
      <c r="D616" s="2">
        <v>968</v>
      </c>
      <c r="E616" s="2">
        <v>20020</v>
      </c>
      <c r="G616" s="2">
        <v>361</v>
      </c>
      <c r="H616" s="2" t="s">
        <v>758</v>
      </c>
      <c r="I616" s="2">
        <f>VLOOKUP(H616,[1]Customers!$A:$B,2,FALSE)</f>
        <v>2306</v>
      </c>
      <c r="J616" s="2">
        <v>45744</v>
      </c>
      <c r="K616" s="2" t="s">
        <v>759</v>
      </c>
      <c r="M616" s="2">
        <v>500.52</v>
      </c>
      <c r="N616" s="3" t="s">
        <v>19</v>
      </c>
      <c r="O616" s="2">
        <v>86</v>
      </c>
    </row>
    <row r="617" spans="1:15" x14ac:dyDescent="0.35">
      <c r="A617" s="2" t="s">
        <v>757</v>
      </c>
      <c r="B617" s="2">
        <v>308.5</v>
      </c>
      <c r="C617" s="2" t="s">
        <v>20</v>
      </c>
      <c r="D617" s="2">
        <v>616</v>
      </c>
      <c r="E617" s="2">
        <v>20020</v>
      </c>
      <c r="F617" s="2">
        <v>616</v>
      </c>
      <c r="G617" s="2">
        <v>361</v>
      </c>
      <c r="H617" s="2" t="s">
        <v>758</v>
      </c>
      <c r="I617" s="2">
        <f>VLOOKUP(H617,[1]Customers!$A:$B,2,FALSE)</f>
        <v>2306</v>
      </c>
      <c r="J617" s="2">
        <v>45744</v>
      </c>
      <c r="K617" s="2" t="s">
        <v>759</v>
      </c>
      <c r="L617" s="2">
        <v>500.52</v>
      </c>
      <c r="N617" s="3" t="s">
        <v>19</v>
      </c>
      <c r="O617" s="2">
        <v>86</v>
      </c>
    </row>
    <row r="618" spans="1:15" x14ac:dyDescent="0.35">
      <c r="A618" s="2" t="s">
        <v>760</v>
      </c>
      <c r="B618" s="2">
        <v>309</v>
      </c>
      <c r="C618" s="2" t="s">
        <v>16</v>
      </c>
      <c r="D618" s="2">
        <v>968</v>
      </c>
      <c r="E618" s="2">
        <v>20020</v>
      </c>
      <c r="G618" s="2">
        <v>287</v>
      </c>
      <c r="H618" s="2" t="s">
        <v>758</v>
      </c>
      <c r="I618" s="2">
        <f>VLOOKUP(H618,[1]Customers!$A:$B,2,FALSE)</f>
        <v>2306</v>
      </c>
      <c r="J618" s="2">
        <v>45818</v>
      </c>
      <c r="K618" s="2" t="s">
        <v>761</v>
      </c>
      <c r="M618" s="2">
        <v>913.5</v>
      </c>
      <c r="N618" s="3" t="s">
        <v>19</v>
      </c>
    </row>
    <row r="619" spans="1:15" x14ac:dyDescent="0.35">
      <c r="A619" s="2" t="s">
        <v>760</v>
      </c>
      <c r="B619" s="2">
        <v>309.5</v>
      </c>
      <c r="C619" s="2" t="s">
        <v>20</v>
      </c>
      <c r="D619" s="2">
        <v>616</v>
      </c>
      <c r="E619" s="2">
        <v>20020</v>
      </c>
      <c r="F619" s="2">
        <v>616</v>
      </c>
      <c r="G619" s="2">
        <v>287</v>
      </c>
      <c r="H619" s="2" t="s">
        <v>758</v>
      </c>
      <c r="I619" s="2">
        <f>VLOOKUP(H619,[1]Customers!$A:$B,2,FALSE)</f>
        <v>2306</v>
      </c>
      <c r="J619" s="2">
        <v>45818</v>
      </c>
      <c r="K619" s="2" t="s">
        <v>761</v>
      </c>
      <c r="L619" s="2">
        <v>913.5</v>
      </c>
      <c r="N619" s="3" t="s">
        <v>19</v>
      </c>
    </row>
    <row r="620" spans="1:15" x14ac:dyDescent="0.35">
      <c r="A620" s="2" t="s">
        <v>762</v>
      </c>
      <c r="B620" s="2">
        <v>310</v>
      </c>
      <c r="C620" s="2" t="s">
        <v>16</v>
      </c>
      <c r="D620" s="2">
        <v>968</v>
      </c>
      <c r="E620" s="2">
        <v>20020</v>
      </c>
      <c r="G620" s="2">
        <v>494</v>
      </c>
      <c r="H620" s="2" t="s">
        <v>763</v>
      </c>
      <c r="I620" s="2">
        <f>VLOOKUP(H620,[1]Customers!$A:$B,2,FALSE)</f>
        <v>3388</v>
      </c>
      <c r="J620" s="2">
        <v>45611</v>
      </c>
      <c r="K620" s="2" t="s">
        <v>764</v>
      </c>
      <c r="M620" s="2">
        <v>7867.61</v>
      </c>
      <c r="N620" s="3" t="s">
        <v>19</v>
      </c>
    </row>
    <row r="621" spans="1:15" x14ac:dyDescent="0.35">
      <c r="A621" s="2" t="s">
        <v>762</v>
      </c>
      <c r="B621" s="2">
        <v>310.5</v>
      </c>
      <c r="C621" s="2" t="s">
        <v>20</v>
      </c>
      <c r="D621" s="2">
        <v>616</v>
      </c>
      <c r="E621" s="2">
        <v>20020</v>
      </c>
      <c r="F621" s="2">
        <v>616</v>
      </c>
      <c r="G621" s="2">
        <v>494</v>
      </c>
      <c r="H621" s="2" t="s">
        <v>763</v>
      </c>
      <c r="I621" s="2">
        <f>VLOOKUP(H621,[1]Customers!$A:$B,2,FALSE)</f>
        <v>3388</v>
      </c>
      <c r="J621" s="2">
        <v>45611</v>
      </c>
      <c r="K621" s="2" t="s">
        <v>764</v>
      </c>
      <c r="L621" s="2">
        <v>7867.61</v>
      </c>
      <c r="N621" s="3" t="s">
        <v>19</v>
      </c>
    </row>
    <row r="622" spans="1:15" x14ac:dyDescent="0.35">
      <c r="A622" s="2" t="s">
        <v>765</v>
      </c>
      <c r="B622" s="2">
        <v>311</v>
      </c>
      <c r="C622" s="2" t="s">
        <v>16</v>
      </c>
      <c r="D622" s="2">
        <v>968</v>
      </c>
      <c r="E622" s="2">
        <v>20020</v>
      </c>
      <c r="G622" s="2">
        <v>354</v>
      </c>
      <c r="H622" s="2" t="s">
        <v>763</v>
      </c>
      <c r="I622" s="2">
        <f>VLOOKUP(H622,[1]Customers!$A:$B,2,FALSE)</f>
        <v>3388</v>
      </c>
      <c r="J622" s="2">
        <v>45751</v>
      </c>
      <c r="K622" s="2" t="s">
        <v>766</v>
      </c>
      <c r="M622" s="2">
        <v>1428.68</v>
      </c>
      <c r="N622" s="3" t="s">
        <v>19</v>
      </c>
    </row>
    <row r="623" spans="1:15" x14ac:dyDescent="0.35">
      <c r="A623" s="2" t="s">
        <v>765</v>
      </c>
      <c r="B623" s="2">
        <v>311.5</v>
      </c>
      <c r="C623" s="2" t="s">
        <v>20</v>
      </c>
      <c r="D623" s="2">
        <v>616</v>
      </c>
      <c r="E623" s="2">
        <v>20020</v>
      </c>
      <c r="F623" s="2">
        <v>616</v>
      </c>
      <c r="G623" s="2">
        <v>354</v>
      </c>
      <c r="H623" s="2" t="s">
        <v>763</v>
      </c>
      <c r="I623" s="2">
        <f>VLOOKUP(H623,[1]Customers!$A:$B,2,FALSE)</f>
        <v>3388</v>
      </c>
      <c r="J623" s="2">
        <v>45751</v>
      </c>
      <c r="K623" s="2" t="s">
        <v>766</v>
      </c>
      <c r="L623" s="2">
        <v>1428.68</v>
      </c>
      <c r="N623" s="3" t="s">
        <v>19</v>
      </c>
    </row>
    <row r="624" spans="1:15" x14ac:dyDescent="0.35">
      <c r="A624" s="2" t="s">
        <v>767</v>
      </c>
      <c r="B624" s="2">
        <v>312</v>
      </c>
      <c r="C624" s="2" t="s">
        <v>16</v>
      </c>
      <c r="D624" s="2">
        <v>968</v>
      </c>
      <c r="E624" s="2">
        <v>20020</v>
      </c>
      <c r="G624" s="2">
        <v>398</v>
      </c>
      <c r="H624" s="2" t="s">
        <v>763</v>
      </c>
      <c r="I624" s="2">
        <f>VLOOKUP(H624,[1]Customers!$A:$B,2,FALSE)</f>
        <v>3388</v>
      </c>
      <c r="J624" s="2">
        <v>45707</v>
      </c>
      <c r="K624" s="2" t="s">
        <v>764</v>
      </c>
      <c r="M624" s="2">
        <v>28899.89</v>
      </c>
      <c r="N624" s="3" t="s">
        <v>19</v>
      </c>
    </row>
    <row r="625" spans="1:15" x14ac:dyDescent="0.35">
      <c r="A625" s="2" t="s">
        <v>767</v>
      </c>
      <c r="B625" s="2">
        <v>312.5</v>
      </c>
      <c r="C625" s="2" t="s">
        <v>20</v>
      </c>
      <c r="D625" s="2">
        <v>616</v>
      </c>
      <c r="E625" s="2">
        <v>20020</v>
      </c>
      <c r="F625" s="2">
        <v>616</v>
      </c>
      <c r="G625" s="2">
        <v>398</v>
      </c>
      <c r="H625" s="2" t="s">
        <v>763</v>
      </c>
      <c r="I625" s="2">
        <f>VLOOKUP(H625,[1]Customers!$A:$B,2,FALSE)</f>
        <v>3388</v>
      </c>
      <c r="J625" s="2">
        <v>45707</v>
      </c>
      <c r="K625" s="2" t="s">
        <v>764</v>
      </c>
      <c r="L625" s="2">
        <v>28899.89</v>
      </c>
      <c r="N625" s="3" t="s">
        <v>19</v>
      </c>
    </row>
    <row r="626" spans="1:15" x14ac:dyDescent="0.35">
      <c r="A626" s="2" t="s">
        <v>768</v>
      </c>
      <c r="B626" s="2">
        <v>313</v>
      </c>
      <c r="C626" s="2" t="s">
        <v>16</v>
      </c>
      <c r="D626" s="2">
        <v>968</v>
      </c>
      <c r="E626" s="2">
        <v>20020</v>
      </c>
      <c r="G626" s="2">
        <v>363</v>
      </c>
      <c r="H626" s="2" t="s">
        <v>769</v>
      </c>
      <c r="I626" s="2">
        <f>VLOOKUP(H626,[1]Customers!$A:$B,2,FALSE)</f>
        <v>690</v>
      </c>
      <c r="J626" s="2">
        <v>45742</v>
      </c>
      <c r="K626" s="2" t="s">
        <v>770</v>
      </c>
      <c r="M626" s="2">
        <v>0.28000000000000003</v>
      </c>
      <c r="N626" s="3" t="s">
        <v>19</v>
      </c>
    </row>
    <row r="627" spans="1:15" ht="15" customHeight="1" x14ac:dyDescent="0.35">
      <c r="A627" s="2" t="s">
        <v>768</v>
      </c>
      <c r="B627" s="2">
        <v>313.5</v>
      </c>
      <c r="C627" s="2" t="s">
        <v>20</v>
      </c>
      <c r="D627" s="2">
        <v>616</v>
      </c>
      <c r="E627" s="2">
        <v>20020</v>
      </c>
      <c r="F627" s="2">
        <v>616</v>
      </c>
      <c r="G627" s="2">
        <v>363</v>
      </c>
      <c r="H627" s="2" t="s">
        <v>769</v>
      </c>
      <c r="I627" s="2">
        <f>VLOOKUP(H627,[1]Customers!$A:$B,2,FALSE)</f>
        <v>690</v>
      </c>
      <c r="J627" s="2">
        <v>45742</v>
      </c>
      <c r="K627" s="2" t="s">
        <v>770</v>
      </c>
      <c r="L627" s="2">
        <v>0.28000000000000003</v>
      </c>
      <c r="N627" s="3" t="s">
        <v>19</v>
      </c>
    </row>
    <row r="628" spans="1:15" x14ac:dyDescent="0.35">
      <c r="A628" s="2" t="s">
        <v>771</v>
      </c>
      <c r="B628" s="2">
        <v>314</v>
      </c>
      <c r="C628" s="2" t="s">
        <v>16</v>
      </c>
      <c r="D628" s="2">
        <v>968</v>
      </c>
      <c r="E628" s="2">
        <v>20020</v>
      </c>
      <c r="G628" s="2">
        <v>355</v>
      </c>
      <c r="H628" s="2" t="s">
        <v>772</v>
      </c>
      <c r="I628" s="2">
        <f>VLOOKUP(H628,[1]Customers!$A:$B,2,FALSE)</f>
        <v>2334</v>
      </c>
      <c r="J628" s="2">
        <v>45750</v>
      </c>
      <c r="K628" s="2" t="s">
        <v>773</v>
      </c>
      <c r="M628" s="2">
        <v>1671.51</v>
      </c>
      <c r="N628" s="3" t="s">
        <v>19</v>
      </c>
      <c r="O628" s="2">
        <v>678</v>
      </c>
    </row>
    <row r="629" spans="1:15" x14ac:dyDescent="0.35">
      <c r="A629" s="2" t="s">
        <v>771</v>
      </c>
      <c r="B629" s="2">
        <v>314.5</v>
      </c>
      <c r="C629" s="2" t="s">
        <v>20</v>
      </c>
      <c r="D629" s="2">
        <v>616</v>
      </c>
      <c r="E629" s="2">
        <v>20020</v>
      </c>
      <c r="F629" s="2">
        <v>616</v>
      </c>
      <c r="G629" s="2">
        <v>355</v>
      </c>
      <c r="H629" s="2" t="s">
        <v>772</v>
      </c>
      <c r="I629" s="2">
        <f>VLOOKUP(H629,[1]Customers!$A:$B,2,FALSE)</f>
        <v>2334</v>
      </c>
      <c r="J629" s="2">
        <v>45750</v>
      </c>
      <c r="K629" s="2" t="s">
        <v>773</v>
      </c>
      <c r="L629" s="2">
        <v>1671.51</v>
      </c>
      <c r="N629" s="3" t="s">
        <v>19</v>
      </c>
      <c r="O629" s="2">
        <v>678</v>
      </c>
    </row>
    <row r="630" spans="1:15" x14ac:dyDescent="0.35">
      <c r="A630" s="2" t="s">
        <v>774</v>
      </c>
      <c r="B630" s="2">
        <v>315</v>
      </c>
      <c r="C630" s="2" t="s">
        <v>16</v>
      </c>
      <c r="D630" s="2">
        <v>968</v>
      </c>
      <c r="E630" s="2">
        <v>20020</v>
      </c>
      <c r="G630" s="2">
        <v>298</v>
      </c>
      <c r="H630" s="2" t="s">
        <v>775</v>
      </c>
      <c r="I630" s="2">
        <f>VLOOKUP(H630,[1]Customers!$A:$B,2,FALSE)</f>
        <v>3566</v>
      </c>
      <c r="J630" s="2">
        <v>45807</v>
      </c>
      <c r="K630" s="2" t="s">
        <v>776</v>
      </c>
      <c r="M630" s="2">
        <v>1931.35</v>
      </c>
      <c r="N630" s="3" t="s">
        <v>19</v>
      </c>
    </row>
    <row r="631" spans="1:15" x14ac:dyDescent="0.35">
      <c r="A631" s="2" t="s">
        <v>774</v>
      </c>
      <c r="B631" s="2">
        <v>315.5</v>
      </c>
      <c r="C631" s="2" t="s">
        <v>20</v>
      </c>
      <c r="D631" s="2">
        <v>616</v>
      </c>
      <c r="E631" s="2">
        <v>20020</v>
      </c>
      <c r="F631" s="2">
        <v>616</v>
      </c>
      <c r="G631" s="2">
        <v>298</v>
      </c>
      <c r="H631" s="2" t="s">
        <v>775</v>
      </c>
      <c r="I631" s="2">
        <f>VLOOKUP(H631,[1]Customers!$A:$B,2,FALSE)</f>
        <v>3566</v>
      </c>
      <c r="J631" s="2">
        <v>45807</v>
      </c>
      <c r="K631" s="2" t="s">
        <v>776</v>
      </c>
      <c r="L631" s="2">
        <v>1931.35</v>
      </c>
      <c r="N631" s="3" t="s">
        <v>19</v>
      </c>
    </row>
    <row r="632" spans="1:15" x14ac:dyDescent="0.35">
      <c r="A632" s="2" t="s">
        <v>777</v>
      </c>
      <c r="B632" s="2">
        <v>316</v>
      </c>
      <c r="C632" s="2" t="s">
        <v>16</v>
      </c>
      <c r="D632" s="2">
        <v>968</v>
      </c>
      <c r="E632" s="2">
        <v>20020</v>
      </c>
      <c r="G632" s="2">
        <v>271</v>
      </c>
      <c r="H632" s="2" t="s">
        <v>778</v>
      </c>
      <c r="I632" s="2">
        <f>VLOOKUP(H632,[1]Customers!$A:$B,2,FALSE)</f>
        <v>2450</v>
      </c>
      <c r="J632" s="2">
        <v>45834</v>
      </c>
      <c r="K632" s="2" t="s">
        <v>779</v>
      </c>
      <c r="M632" s="2">
        <v>3091.34</v>
      </c>
      <c r="N632" s="3" t="s">
        <v>19</v>
      </c>
    </row>
    <row r="633" spans="1:15" x14ac:dyDescent="0.35">
      <c r="A633" s="2" t="s">
        <v>777</v>
      </c>
      <c r="B633" s="2">
        <v>316.5</v>
      </c>
      <c r="C633" s="2" t="s">
        <v>20</v>
      </c>
      <c r="D633" s="2">
        <v>616</v>
      </c>
      <c r="E633" s="2">
        <v>20020</v>
      </c>
      <c r="F633" s="2">
        <v>616</v>
      </c>
      <c r="G633" s="2">
        <v>271</v>
      </c>
      <c r="H633" s="2" t="s">
        <v>778</v>
      </c>
      <c r="I633" s="2">
        <f>VLOOKUP(H633,[1]Customers!$A:$B,2,FALSE)</f>
        <v>2450</v>
      </c>
      <c r="J633" s="2">
        <v>45834</v>
      </c>
      <c r="K633" s="2" t="s">
        <v>779</v>
      </c>
      <c r="L633" s="2">
        <v>3091.34</v>
      </c>
      <c r="N633" s="3" t="s">
        <v>19</v>
      </c>
    </row>
    <row r="634" spans="1:15" x14ac:dyDescent="0.35">
      <c r="A634" s="2" t="s">
        <v>780</v>
      </c>
      <c r="B634" s="2">
        <v>317</v>
      </c>
      <c r="C634" s="2" t="s">
        <v>16</v>
      </c>
      <c r="D634" s="2">
        <v>968</v>
      </c>
      <c r="E634" s="2">
        <v>20020</v>
      </c>
      <c r="G634" s="2">
        <v>329</v>
      </c>
      <c r="H634" s="2" t="s">
        <v>781</v>
      </c>
      <c r="I634" s="2">
        <f>VLOOKUP(H634,[1]Customers!$A:$B,2,FALSE)</f>
        <v>2415</v>
      </c>
      <c r="J634" s="2">
        <v>45776</v>
      </c>
      <c r="K634" s="2" t="s">
        <v>782</v>
      </c>
      <c r="M634" s="2">
        <v>19964.330000000002</v>
      </c>
      <c r="N634" s="3" t="s">
        <v>19</v>
      </c>
      <c r="O634" s="2">
        <v>9141</v>
      </c>
    </row>
    <row r="635" spans="1:15" x14ac:dyDescent="0.35">
      <c r="A635" s="2" t="s">
        <v>780</v>
      </c>
      <c r="B635" s="2">
        <v>317.5</v>
      </c>
      <c r="C635" s="2" t="s">
        <v>20</v>
      </c>
      <c r="D635" s="2">
        <v>616</v>
      </c>
      <c r="E635" s="2">
        <v>20020</v>
      </c>
      <c r="F635" s="2">
        <v>616</v>
      </c>
      <c r="G635" s="2">
        <v>329</v>
      </c>
      <c r="H635" s="2" t="s">
        <v>781</v>
      </c>
      <c r="I635" s="2">
        <f>VLOOKUP(H635,[1]Customers!$A:$B,2,FALSE)</f>
        <v>2415</v>
      </c>
      <c r="J635" s="2">
        <v>45776</v>
      </c>
      <c r="K635" s="2" t="s">
        <v>782</v>
      </c>
      <c r="L635" s="2">
        <v>19964.330000000002</v>
      </c>
      <c r="N635" s="3" t="s">
        <v>19</v>
      </c>
      <c r="O635" s="2">
        <v>9141</v>
      </c>
    </row>
    <row r="636" spans="1:15" x14ac:dyDescent="0.35">
      <c r="A636" s="2" t="s">
        <v>783</v>
      </c>
      <c r="B636" s="2">
        <v>318</v>
      </c>
      <c r="C636" s="2" t="s">
        <v>16</v>
      </c>
      <c r="D636" s="2">
        <v>968</v>
      </c>
      <c r="E636" s="2">
        <v>20020</v>
      </c>
      <c r="G636" s="2">
        <v>1015</v>
      </c>
      <c r="H636" s="2" t="s">
        <v>784</v>
      </c>
      <c r="I636" s="2">
        <f>VLOOKUP(H636,[1]Customers!$A:$B,2,FALSE)</f>
        <v>3389</v>
      </c>
      <c r="J636" s="2">
        <v>45090</v>
      </c>
      <c r="K636" s="2" t="s">
        <v>785</v>
      </c>
      <c r="M636" s="2">
        <v>13197.29</v>
      </c>
      <c r="N636" s="3" t="s">
        <v>19</v>
      </c>
    </row>
    <row r="637" spans="1:15" x14ac:dyDescent="0.35">
      <c r="A637" s="2" t="s">
        <v>783</v>
      </c>
      <c r="B637" s="2">
        <v>318.5</v>
      </c>
      <c r="C637" s="2" t="s">
        <v>20</v>
      </c>
      <c r="D637" s="2">
        <v>616</v>
      </c>
      <c r="E637" s="2">
        <v>20020</v>
      </c>
      <c r="F637" s="2">
        <v>616</v>
      </c>
      <c r="G637" s="2">
        <v>1015</v>
      </c>
      <c r="H637" s="2" t="s">
        <v>784</v>
      </c>
      <c r="I637" s="2">
        <f>VLOOKUP(H637,[1]Customers!$A:$B,2,FALSE)</f>
        <v>3389</v>
      </c>
      <c r="J637" s="2">
        <v>45090</v>
      </c>
      <c r="K637" s="2" t="s">
        <v>785</v>
      </c>
      <c r="L637" s="2">
        <v>13197.29</v>
      </c>
      <c r="N637" s="3" t="s">
        <v>19</v>
      </c>
    </row>
    <row r="638" spans="1:15" x14ac:dyDescent="0.35">
      <c r="A638" s="2" t="s">
        <v>786</v>
      </c>
      <c r="B638" s="2">
        <v>319</v>
      </c>
      <c r="C638" s="2" t="s">
        <v>16</v>
      </c>
      <c r="D638" s="2">
        <v>968</v>
      </c>
      <c r="E638" s="2">
        <v>20020</v>
      </c>
      <c r="G638" s="2">
        <v>687</v>
      </c>
      <c r="H638" s="2" t="s">
        <v>787</v>
      </c>
      <c r="I638" s="2">
        <f>VLOOKUP(H638,[1]Customers!$A:$B,2,FALSE)</f>
        <v>2606</v>
      </c>
      <c r="J638" s="2">
        <v>45418</v>
      </c>
      <c r="K638" s="2" t="s">
        <v>788</v>
      </c>
      <c r="M638" s="2">
        <v>1874.95</v>
      </c>
      <c r="N638" s="3" t="s">
        <v>19</v>
      </c>
    </row>
    <row r="639" spans="1:15" x14ac:dyDescent="0.35">
      <c r="A639" s="2" t="s">
        <v>786</v>
      </c>
      <c r="B639" s="2">
        <v>319.5</v>
      </c>
      <c r="C639" s="2" t="s">
        <v>20</v>
      </c>
      <c r="D639" s="2">
        <v>616</v>
      </c>
      <c r="E639" s="2">
        <v>20020</v>
      </c>
      <c r="F639" s="2">
        <v>616</v>
      </c>
      <c r="G639" s="2">
        <v>687</v>
      </c>
      <c r="H639" s="2" t="s">
        <v>787</v>
      </c>
      <c r="I639" s="2">
        <f>VLOOKUP(H639,[1]Customers!$A:$B,2,FALSE)</f>
        <v>2606</v>
      </c>
      <c r="J639" s="2">
        <v>45418</v>
      </c>
      <c r="K639" s="2" t="s">
        <v>788</v>
      </c>
      <c r="L639" s="2">
        <v>1874.95</v>
      </c>
      <c r="N639" s="3" t="s">
        <v>19</v>
      </c>
    </row>
    <row r="640" spans="1:15" x14ac:dyDescent="0.35">
      <c r="A640" s="2" t="s">
        <v>789</v>
      </c>
      <c r="B640" s="2">
        <v>320</v>
      </c>
      <c r="C640" s="2" t="s">
        <v>16</v>
      </c>
      <c r="D640" s="2">
        <v>968</v>
      </c>
      <c r="E640" s="2">
        <v>20020</v>
      </c>
      <c r="G640" s="2">
        <v>907</v>
      </c>
      <c r="H640" s="2" t="s">
        <v>790</v>
      </c>
      <c r="I640" s="2">
        <f>VLOOKUP(H640,[1]Customers!$A:$B,2,FALSE)</f>
        <v>3570</v>
      </c>
      <c r="J640" s="2">
        <v>45198</v>
      </c>
      <c r="K640" s="2" t="s">
        <v>791</v>
      </c>
      <c r="M640" s="2">
        <v>181.41</v>
      </c>
      <c r="N640" s="3" t="s">
        <v>19</v>
      </c>
      <c r="O640" s="2">
        <v>35197</v>
      </c>
    </row>
    <row r="641" spans="1:15" x14ac:dyDescent="0.35">
      <c r="A641" s="2" t="s">
        <v>789</v>
      </c>
      <c r="B641" s="2">
        <v>320.5</v>
      </c>
      <c r="C641" s="2" t="s">
        <v>20</v>
      </c>
      <c r="D641" s="2">
        <v>616</v>
      </c>
      <c r="E641" s="2">
        <v>20020</v>
      </c>
      <c r="F641" s="2">
        <v>616</v>
      </c>
      <c r="G641" s="2">
        <v>907</v>
      </c>
      <c r="H641" s="2" t="s">
        <v>790</v>
      </c>
      <c r="I641" s="2">
        <f>VLOOKUP(H641,[1]Customers!$A:$B,2,FALSE)</f>
        <v>3570</v>
      </c>
      <c r="J641" s="2">
        <v>45198</v>
      </c>
      <c r="K641" s="2" t="s">
        <v>791</v>
      </c>
      <c r="L641" s="2">
        <v>181.41</v>
      </c>
      <c r="N641" s="3" t="s">
        <v>19</v>
      </c>
      <c r="O641" s="2">
        <v>35197</v>
      </c>
    </row>
    <row r="642" spans="1:15" x14ac:dyDescent="0.35">
      <c r="A642" s="2" t="s">
        <v>792</v>
      </c>
      <c r="B642" s="2">
        <v>321</v>
      </c>
      <c r="C642" s="2" t="s">
        <v>16</v>
      </c>
      <c r="D642" s="2">
        <v>968</v>
      </c>
      <c r="E642" s="2">
        <v>20020</v>
      </c>
      <c r="G642" s="2">
        <v>267</v>
      </c>
      <c r="H642" s="2" t="s">
        <v>793</v>
      </c>
      <c r="I642" s="2">
        <f>VLOOKUP(H642,[1]Customers!$A:$B,2,FALSE)</f>
        <v>693</v>
      </c>
      <c r="J642" s="2">
        <v>45838</v>
      </c>
      <c r="K642" s="2" t="s">
        <v>794</v>
      </c>
      <c r="M642" s="2">
        <v>8731.8700000000008</v>
      </c>
      <c r="N642" s="3" t="s">
        <v>19</v>
      </c>
    </row>
    <row r="643" spans="1:15" x14ac:dyDescent="0.35">
      <c r="A643" s="2" t="s">
        <v>792</v>
      </c>
      <c r="B643" s="2">
        <v>321.5</v>
      </c>
      <c r="C643" s="2" t="s">
        <v>20</v>
      </c>
      <c r="D643" s="2">
        <v>616</v>
      </c>
      <c r="E643" s="2">
        <v>20020</v>
      </c>
      <c r="F643" s="2">
        <v>616</v>
      </c>
      <c r="G643" s="2">
        <v>267</v>
      </c>
      <c r="H643" s="2" t="s">
        <v>793</v>
      </c>
      <c r="I643" s="2">
        <f>VLOOKUP(H643,[1]Customers!$A:$B,2,FALSE)</f>
        <v>693</v>
      </c>
      <c r="J643" s="2">
        <v>45838</v>
      </c>
      <c r="K643" s="2" t="s">
        <v>794</v>
      </c>
      <c r="L643" s="2">
        <v>8731.8700000000008</v>
      </c>
      <c r="N643" s="3" t="s">
        <v>19</v>
      </c>
    </row>
    <row r="644" spans="1:15" x14ac:dyDescent="0.35">
      <c r="A644" s="2" t="s">
        <v>795</v>
      </c>
      <c r="B644" s="2">
        <v>322</v>
      </c>
      <c r="C644" s="2" t="s">
        <v>16</v>
      </c>
      <c r="D644" s="2">
        <v>968</v>
      </c>
      <c r="E644" s="2">
        <v>20020</v>
      </c>
      <c r="G644" s="2">
        <v>378</v>
      </c>
      <c r="H644" s="2" t="s">
        <v>793</v>
      </c>
      <c r="I644" s="2">
        <f>VLOOKUP(H644,[1]Customers!$A:$B,2,FALSE)</f>
        <v>693</v>
      </c>
      <c r="J644" s="2">
        <v>45727</v>
      </c>
      <c r="K644" s="2" t="s">
        <v>796</v>
      </c>
      <c r="M644" s="2">
        <v>14254.22</v>
      </c>
      <c r="N644" s="3" t="s">
        <v>19</v>
      </c>
    </row>
    <row r="645" spans="1:15" x14ac:dyDescent="0.35">
      <c r="A645" s="2" t="s">
        <v>795</v>
      </c>
      <c r="B645" s="2">
        <v>322.5</v>
      </c>
      <c r="C645" s="2" t="s">
        <v>20</v>
      </c>
      <c r="D645" s="2">
        <v>616</v>
      </c>
      <c r="E645" s="2">
        <v>20020</v>
      </c>
      <c r="F645" s="2">
        <v>616</v>
      </c>
      <c r="G645" s="2">
        <v>378</v>
      </c>
      <c r="H645" s="2" t="s">
        <v>793</v>
      </c>
      <c r="I645" s="2">
        <f>VLOOKUP(H645,[1]Customers!$A:$B,2,FALSE)</f>
        <v>693</v>
      </c>
      <c r="J645" s="2">
        <v>45727</v>
      </c>
      <c r="K645" s="2" t="s">
        <v>796</v>
      </c>
      <c r="L645" s="2">
        <v>14254.22</v>
      </c>
      <c r="N645" s="3" t="s">
        <v>19</v>
      </c>
    </row>
    <row r="646" spans="1:15" x14ac:dyDescent="0.35">
      <c r="A646" s="2" t="s">
        <v>797</v>
      </c>
      <c r="B646" s="2">
        <v>323</v>
      </c>
      <c r="C646" s="2" t="s">
        <v>16</v>
      </c>
      <c r="D646" s="2">
        <v>968</v>
      </c>
      <c r="E646" s="2">
        <v>20020</v>
      </c>
      <c r="G646" s="2">
        <v>327</v>
      </c>
      <c r="H646" s="2" t="s">
        <v>793</v>
      </c>
      <c r="I646" s="2">
        <f>VLOOKUP(H646,[1]Customers!$A:$B,2,FALSE)</f>
        <v>693</v>
      </c>
      <c r="J646" s="2">
        <v>45778</v>
      </c>
      <c r="K646" s="2" t="s">
        <v>798</v>
      </c>
      <c r="M646" s="2">
        <v>11487.5</v>
      </c>
      <c r="N646" s="3" t="s">
        <v>19</v>
      </c>
    </row>
    <row r="647" spans="1:15" x14ac:dyDescent="0.35">
      <c r="A647" s="2" t="s">
        <v>797</v>
      </c>
      <c r="B647" s="2">
        <v>323.5</v>
      </c>
      <c r="C647" s="2" t="s">
        <v>20</v>
      </c>
      <c r="D647" s="2">
        <v>616</v>
      </c>
      <c r="E647" s="2">
        <v>20020</v>
      </c>
      <c r="F647" s="2">
        <v>616</v>
      </c>
      <c r="G647" s="2">
        <v>327</v>
      </c>
      <c r="H647" s="2" t="s">
        <v>793</v>
      </c>
      <c r="I647" s="2">
        <f>VLOOKUP(H647,[1]Customers!$A:$B,2,FALSE)</f>
        <v>693</v>
      </c>
      <c r="J647" s="2">
        <v>45778</v>
      </c>
      <c r="K647" s="2" t="s">
        <v>798</v>
      </c>
      <c r="L647" s="2">
        <v>11487.5</v>
      </c>
      <c r="N647" s="3" t="s">
        <v>19</v>
      </c>
    </row>
    <row r="648" spans="1:15" x14ac:dyDescent="0.35">
      <c r="A648" s="2" t="s">
        <v>799</v>
      </c>
      <c r="B648" s="2">
        <v>324</v>
      </c>
      <c r="C648" s="2" t="s">
        <v>16</v>
      </c>
      <c r="D648" s="2">
        <v>968</v>
      </c>
      <c r="E648" s="2">
        <v>20020</v>
      </c>
      <c r="G648" s="2">
        <v>372</v>
      </c>
      <c r="H648" s="2" t="s">
        <v>793</v>
      </c>
      <c r="I648" s="2">
        <f>VLOOKUP(H648,[1]Customers!$A:$B,2,FALSE)</f>
        <v>693</v>
      </c>
      <c r="J648" s="2">
        <v>45733</v>
      </c>
      <c r="K648" s="2" t="s">
        <v>794</v>
      </c>
      <c r="M648" s="2">
        <v>8731.8799999999992</v>
      </c>
      <c r="N648" s="3" t="s">
        <v>19</v>
      </c>
    </row>
    <row r="649" spans="1:15" x14ac:dyDescent="0.35">
      <c r="A649" s="2" t="s">
        <v>799</v>
      </c>
      <c r="B649" s="2">
        <v>324.5</v>
      </c>
      <c r="C649" s="2" t="s">
        <v>20</v>
      </c>
      <c r="D649" s="2">
        <v>616</v>
      </c>
      <c r="E649" s="2">
        <v>20020</v>
      </c>
      <c r="F649" s="2">
        <v>616</v>
      </c>
      <c r="G649" s="2">
        <v>372</v>
      </c>
      <c r="H649" s="2" t="s">
        <v>793</v>
      </c>
      <c r="I649" s="2">
        <f>VLOOKUP(H649,[1]Customers!$A:$B,2,FALSE)</f>
        <v>693</v>
      </c>
      <c r="J649" s="2">
        <v>45733</v>
      </c>
      <c r="K649" s="2" t="s">
        <v>794</v>
      </c>
      <c r="L649" s="2">
        <v>8731.8799999999992</v>
      </c>
      <c r="N649" s="3" t="s">
        <v>19</v>
      </c>
    </row>
    <row r="650" spans="1:15" x14ac:dyDescent="0.35">
      <c r="A650" s="2" t="s">
        <v>800</v>
      </c>
      <c r="B650" s="2">
        <v>325</v>
      </c>
      <c r="C650" s="2" t="s">
        <v>16</v>
      </c>
      <c r="D650" s="2">
        <v>968</v>
      </c>
      <c r="E650" s="2">
        <v>20020</v>
      </c>
      <c r="G650" s="2">
        <v>502</v>
      </c>
      <c r="H650" s="2" t="s">
        <v>801</v>
      </c>
      <c r="I650" s="2">
        <v>2631</v>
      </c>
      <c r="J650" s="2">
        <v>45603</v>
      </c>
      <c r="K650" s="2" t="s">
        <v>802</v>
      </c>
      <c r="M650" s="2">
        <v>14228.54</v>
      </c>
      <c r="N650" s="3" t="s">
        <v>19</v>
      </c>
    </row>
    <row r="651" spans="1:15" x14ac:dyDescent="0.35">
      <c r="A651" s="2" t="s">
        <v>800</v>
      </c>
      <c r="B651" s="2">
        <v>325.5</v>
      </c>
      <c r="C651" s="2" t="s">
        <v>20</v>
      </c>
      <c r="D651" s="2">
        <v>616</v>
      </c>
      <c r="E651" s="2">
        <v>20020</v>
      </c>
      <c r="F651" s="2">
        <v>616</v>
      </c>
      <c r="G651" s="2">
        <v>502</v>
      </c>
      <c r="H651" s="2" t="s">
        <v>801</v>
      </c>
      <c r="I651" s="2">
        <v>2631</v>
      </c>
      <c r="J651" s="2">
        <v>45603</v>
      </c>
      <c r="K651" s="2" t="s">
        <v>802</v>
      </c>
      <c r="L651" s="2">
        <v>14228.54</v>
      </c>
      <c r="N651" s="3" t="s">
        <v>19</v>
      </c>
    </row>
    <row r="652" spans="1:15" x14ac:dyDescent="0.35">
      <c r="A652" s="2" t="s">
        <v>803</v>
      </c>
      <c r="B652" s="2">
        <v>326</v>
      </c>
      <c r="C652" s="2" t="s">
        <v>16</v>
      </c>
      <c r="D652" s="2">
        <v>968</v>
      </c>
      <c r="E652" s="2">
        <v>20020</v>
      </c>
      <c r="G652" s="2">
        <v>434</v>
      </c>
      <c r="H652" s="2" t="s">
        <v>801</v>
      </c>
      <c r="I652" s="2">
        <v>2631</v>
      </c>
      <c r="J652" s="2">
        <v>45671</v>
      </c>
      <c r="K652" s="2" t="s">
        <v>802</v>
      </c>
      <c r="M652" s="2">
        <v>14228.54</v>
      </c>
      <c r="N652" s="3" t="s">
        <v>19</v>
      </c>
    </row>
    <row r="653" spans="1:15" x14ac:dyDescent="0.35">
      <c r="A653" s="2" t="s">
        <v>803</v>
      </c>
      <c r="B653" s="2">
        <v>326.5</v>
      </c>
      <c r="C653" s="2" t="s">
        <v>20</v>
      </c>
      <c r="D653" s="2">
        <v>616</v>
      </c>
      <c r="E653" s="2">
        <v>20020</v>
      </c>
      <c r="F653" s="2">
        <v>616</v>
      </c>
      <c r="G653" s="2">
        <v>434</v>
      </c>
      <c r="H653" s="2" t="s">
        <v>801</v>
      </c>
      <c r="I653" s="2">
        <v>2631</v>
      </c>
      <c r="J653" s="2">
        <v>45671</v>
      </c>
      <c r="K653" s="2" t="s">
        <v>802</v>
      </c>
      <c r="L653" s="2">
        <v>14228.54</v>
      </c>
      <c r="N653" s="3" t="s">
        <v>19</v>
      </c>
    </row>
    <row r="654" spans="1:15" x14ac:dyDescent="0.35">
      <c r="A654" s="2" t="s">
        <v>804</v>
      </c>
      <c r="B654" s="2">
        <v>327</v>
      </c>
      <c r="C654" s="2" t="s">
        <v>16</v>
      </c>
      <c r="D654" s="2">
        <v>968</v>
      </c>
      <c r="E654" s="2">
        <v>20020</v>
      </c>
      <c r="G654" s="2">
        <v>285</v>
      </c>
      <c r="H654" s="2" t="s">
        <v>805</v>
      </c>
      <c r="I654" s="2">
        <f>VLOOKUP(H654,[1]Customers!$A:$B,2,FALSE)</f>
        <v>2537</v>
      </c>
      <c r="J654" s="2">
        <v>45820</v>
      </c>
      <c r="K654" s="2" t="s">
        <v>806</v>
      </c>
      <c r="M654" s="2">
        <v>36679.879999999997</v>
      </c>
      <c r="N654" s="3" t="s">
        <v>19</v>
      </c>
    </row>
    <row r="655" spans="1:15" x14ac:dyDescent="0.35">
      <c r="A655" s="2" t="s">
        <v>804</v>
      </c>
      <c r="B655" s="2">
        <v>327.5</v>
      </c>
      <c r="C655" s="2" t="s">
        <v>20</v>
      </c>
      <c r="D655" s="2">
        <v>616</v>
      </c>
      <c r="E655" s="2">
        <v>20020</v>
      </c>
      <c r="F655" s="2">
        <v>616</v>
      </c>
      <c r="G655" s="2">
        <v>285</v>
      </c>
      <c r="H655" s="2" t="s">
        <v>805</v>
      </c>
      <c r="I655" s="2">
        <f>VLOOKUP(H655,[1]Customers!$A:$B,2,FALSE)</f>
        <v>2537</v>
      </c>
      <c r="J655" s="2">
        <v>45820</v>
      </c>
      <c r="K655" s="2" t="s">
        <v>806</v>
      </c>
      <c r="L655" s="2">
        <v>36679.879999999997</v>
      </c>
      <c r="N655" s="3" t="s">
        <v>19</v>
      </c>
    </row>
    <row r="656" spans="1:15" x14ac:dyDescent="0.35">
      <c r="A656" s="2" t="s">
        <v>807</v>
      </c>
      <c r="B656" s="2">
        <v>328</v>
      </c>
      <c r="C656" s="2" t="s">
        <v>16</v>
      </c>
      <c r="D656" s="2">
        <v>968</v>
      </c>
      <c r="E656" s="2">
        <v>20020</v>
      </c>
      <c r="G656" s="2">
        <v>293</v>
      </c>
      <c r="H656" s="2" t="s">
        <v>808</v>
      </c>
      <c r="I656" s="2">
        <f>VLOOKUP(H656,[1]Customers!$A:$B,2,FALSE)</f>
        <v>3393</v>
      </c>
      <c r="J656" s="2">
        <v>45812</v>
      </c>
      <c r="K656" s="2" t="s">
        <v>809</v>
      </c>
      <c r="M656" s="2">
        <v>7885.21</v>
      </c>
      <c r="N656" s="3" t="s">
        <v>19</v>
      </c>
    </row>
    <row r="657" spans="1:15" x14ac:dyDescent="0.35">
      <c r="A657" s="2" t="s">
        <v>807</v>
      </c>
      <c r="B657" s="2">
        <v>328.5</v>
      </c>
      <c r="C657" s="2" t="s">
        <v>20</v>
      </c>
      <c r="D657" s="2">
        <v>616</v>
      </c>
      <c r="E657" s="2">
        <v>20020</v>
      </c>
      <c r="F657" s="2">
        <v>616</v>
      </c>
      <c r="G657" s="2">
        <v>293</v>
      </c>
      <c r="H657" s="2" t="s">
        <v>808</v>
      </c>
      <c r="I657" s="2">
        <f>VLOOKUP(H657,[1]Customers!$A:$B,2,FALSE)</f>
        <v>3393</v>
      </c>
      <c r="J657" s="2">
        <v>45812</v>
      </c>
      <c r="K657" s="2" t="s">
        <v>809</v>
      </c>
      <c r="L657" s="2">
        <v>7885.21</v>
      </c>
      <c r="N657" s="3" t="s">
        <v>19</v>
      </c>
    </row>
    <row r="658" spans="1:15" x14ac:dyDescent="0.35">
      <c r="A658" s="2" t="s">
        <v>810</v>
      </c>
      <c r="B658" s="2">
        <v>329</v>
      </c>
      <c r="C658" s="2" t="s">
        <v>16</v>
      </c>
      <c r="D658" s="2">
        <v>968</v>
      </c>
      <c r="E658" s="2">
        <v>20020</v>
      </c>
      <c r="G658" s="2">
        <v>575</v>
      </c>
      <c r="H658" s="2" t="s">
        <v>808</v>
      </c>
      <c r="I658" s="2">
        <f>VLOOKUP(H658,[1]Customers!$A:$B,2,FALSE)</f>
        <v>3393</v>
      </c>
      <c r="J658" s="2">
        <v>45530</v>
      </c>
      <c r="K658" s="2" t="s">
        <v>811</v>
      </c>
      <c r="M658" s="2">
        <v>1480.05</v>
      </c>
      <c r="N658" s="3" t="s">
        <v>19</v>
      </c>
    </row>
    <row r="659" spans="1:15" x14ac:dyDescent="0.35">
      <c r="A659" s="2" t="s">
        <v>810</v>
      </c>
      <c r="B659" s="2">
        <v>329.5</v>
      </c>
      <c r="C659" s="2" t="s">
        <v>20</v>
      </c>
      <c r="D659" s="2">
        <v>616</v>
      </c>
      <c r="E659" s="2">
        <v>20020</v>
      </c>
      <c r="F659" s="2">
        <v>616</v>
      </c>
      <c r="G659" s="2">
        <v>575</v>
      </c>
      <c r="H659" s="2" t="s">
        <v>808</v>
      </c>
      <c r="I659" s="2">
        <f>VLOOKUP(H659,[1]Customers!$A:$B,2,FALSE)</f>
        <v>3393</v>
      </c>
      <c r="J659" s="2">
        <v>45530</v>
      </c>
      <c r="K659" s="2" t="s">
        <v>811</v>
      </c>
      <c r="L659" s="2">
        <v>1480.05</v>
      </c>
      <c r="N659" s="3" t="s">
        <v>19</v>
      </c>
    </row>
    <row r="660" spans="1:15" x14ac:dyDescent="0.35">
      <c r="A660" s="2" t="s">
        <v>812</v>
      </c>
      <c r="B660" s="2">
        <v>330</v>
      </c>
      <c r="C660" s="2" t="s">
        <v>16</v>
      </c>
      <c r="D660" s="2">
        <v>968</v>
      </c>
      <c r="E660" s="2">
        <v>20020</v>
      </c>
      <c r="G660" s="2">
        <v>496</v>
      </c>
      <c r="H660" s="2" t="s">
        <v>808</v>
      </c>
      <c r="I660" s="2">
        <f>VLOOKUP(H660,[1]Customers!$A:$B,2,FALSE)</f>
        <v>3393</v>
      </c>
      <c r="J660" s="2">
        <v>45609</v>
      </c>
      <c r="K660" s="2" t="s">
        <v>813</v>
      </c>
      <c r="M660" s="2">
        <v>71215.73</v>
      </c>
      <c r="N660" s="3" t="s">
        <v>19</v>
      </c>
    </row>
    <row r="661" spans="1:15" x14ac:dyDescent="0.35">
      <c r="A661" s="2" t="s">
        <v>812</v>
      </c>
      <c r="B661" s="2">
        <v>330.5</v>
      </c>
      <c r="C661" s="2" t="s">
        <v>20</v>
      </c>
      <c r="D661" s="2">
        <v>616</v>
      </c>
      <c r="E661" s="2">
        <v>20020</v>
      </c>
      <c r="F661" s="2">
        <v>616</v>
      </c>
      <c r="G661" s="2">
        <v>496</v>
      </c>
      <c r="H661" s="2" t="s">
        <v>808</v>
      </c>
      <c r="I661" s="2">
        <f>VLOOKUP(H661,[1]Customers!$A:$B,2,FALSE)</f>
        <v>3393</v>
      </c>
      <c r="J661" s="2">
        <v>45609</v>
      </c>
      <c r="K661" s="2" t="s">
        <v>813</v>
      </c>
      <c r="L661" s="2">
        <v>71215.73</v>
      </c>
      <c r="N661" s="3" t="s">
        <v>19</v>
      </c>
    </row>
    <row r="662" spans="1:15" x14ac:dyDescent="0.35">
      <c r="A662" s="2" t="s">
        <v>814</v>
      </c>
      <c r="B662" s="2">
        <v>331</v>
      </c>
      <c r="C662" s="2" t="s">
        <v>16</v>
      </c>
      <c r="D662" s="2">
        <v>968</v>
      </c>
      <c r="E662" s="2">
        <v>20020</v>
      </c>
      <c r="G662" s="2">
        <v>293</v>
      </c>
      <c r="H662" s="2" t="s">
        <v>808</v>
      </c>
      <c r="I662" s="2">
        <f>VLOOKUP(H662,[1]Customers!$A:$B,2,FALSE)</f>
        <v>3393</v>
      </c>
      <c r="J662" s="2">
        <v>45812</v>
      </c>
      <c r="K662" s="2" t="s">
        <v>815</v>
      </c>
      <c r="M662" s="2">
        <v>3060</v>
      </c>
      <c r="N662" s="3" t="s">
        <v>19</v>
      </c>
    </row>
    <row r="663" spans="1:15" x14ac:dyDescent="0.35">
      <c r="A663" s="2" t="s">
        <v>814</v>
      </c>
      <c r="B663" s="2">
        <v>331.5</v>
      </c>
      <c r="C663" s="2" t="s">
        <v>20</v>
      </c>
      <c r="D663" s="2">
        <v>616</v>
      </c>
      <c r="E663" s="2">
        <v>20020</v>
      </c>
      <c r="F663" s="2">
        <v>616</v>
      </c>
      <c r="G663" s="2">
        <v>293</v>
      </c>
      <c r="H663" s="2" t="s">
        <v>808</v>
      </c>
      <c r="I663" s="2">
        <f>VLOOKUP(H663,[1]Customers!$A:$B,2,FALSE)</f>
        <v>3393</v>
      </c>
      <c r="J663" s="2">
        <v>45812</v>
      </c>
      <c r="K663" s="2" t="s">
        <v>815</v>
      </c>
      <c r="L663" s="2">
        <v>3060</v>
      </c>
      <c r="N663" s="3" t="s">
        <v>19</v>
      </c>
    </row>
    <row r="664" spans="1:15" ht="15" customHeight="1" x14ac:dyDescent="0.35">
      <c r="A664" s="2" t="s">
        <v>816</v>
      </c>
      <c r="B664" s="2">
        <v>332</v>
      </c>
      <c r="C664" s="2" t="s">
        <v>16</v>
      </c>
      <c r="D664" s="2">
        <v>968</v>
      </c>
      <c r="E664" s="2">
        <v>20020</v>
      </c>
      <c r="G664" s="2">
        <v>970</v>
      </c>
      <c r="H664" s="2" t="s">
        <v>817</v>
      </c>
      <c r="I664" s="2">
        <f>VLOOKUP(H664,[1]Customers!$A:$B,2,FALSE)</f>
        <v>3394</v>
      </c>
      <c r="J664" s="2">
        <v>45135</v>
      </c>
      <c r="K664" s="2" t="s">
        <v>818</v>
      </c>
      <c r="M664" s="2">
        <v>1980.58</v>
      </c>
      <c r="N664" s="3" t="s">
        <v>19</v>
      </c>
      <c r="O664" s="2">
        <v>34841</v>
      </c>
    </row>
    <row r="665" spans="1:15" x14ac:dyDescent="0.35">
      <c r="A665" s="2" t="s">
        <v>816</v>
      </c>
      <c r="B665" s="2">
        <v>332.5</v>
      </c>
      <c r="C665" s="2" t="s">
        <v>20</v>
      </c>
      <c r="D665" s="2">
        <v>616</v>
      </c>
      <c r="E665" s="2">
        <v>20020</v>
      </c>
      <c r="F665" s="2">
        <v>616</v>
      </c>
      <c r="G665" s="2">
        <v>970</v>
      </c>
      <c r="H665" s="2" t="s">
        <v>817</v>
      </c>
      <c r="I665" s="2">
        <f>VLOOKUP(H665,[1]Customers!$A:$B,2,FALSE)</f>
        <v>3394</v>
      </c>
      <c r="J665" s="2">
        <v>45135</v>
      </c>
      <c r="K665" s="2" t="s">
        <v>818</v>
      </c>
      <c r="L665" s="2">
        <v>1980.58</v>
      </c>
      <c r="N665" s="3" t="s">
        <v>19</v>
      </c>
      <c r="O665" s="2">
        <v>34841</v>
      </c>
    </row>
    <row r="666" spans="1:15" x14ac:dyDescent="0.35">
      <c r="A666" s="2" t="s">
        <v>819</v>
      </c>
      <c r="B666" s="2">
        <v>333</v>
      </c>
      <c r="C666" s="2" t="s">
        <v>16</v>
      </c>
      <c r="D666" s="2">
        <v>968</v>
      </c>
      <c r="E666" s="2">
        <v>20020</v>
      </c>
      <c r="G666" s="2">
        <v>970</v>
      </c>
      <c r="H666" s="2" t="s">
        <v>817</v>
      </c>
      <c r="I666" s="2">
        <f>VLOOKUP(H666,[1]Customers!$A:$B,2,FALSE)</f>
        <v>3394</v>
      </c>
      <c r="J666" s="2">
        <v>45135</v>
      </c>
      <c r="K666" s="2" t="s">
        <v>820</v>
      </c>
      <c r="M666" s="2">
        <v>19769.75</v>
      </c>
      <c r="N666" s="3" t="s">
        <v>19</v>
      </c>
      <c r="O666" s="2">
        <v>34842</v>
      </c>
    </row>
    <row r="667" spans="1:15" x14ac:dyDescent="0.35">
      <c r="A667" s="2" t="s">
        <v>819</v>
      </c>
      <c r="B667" s="2">
        <v>333.5</v>
      </c>
      <c r="C667" s="2" t="s">
        <v>20</v>
      </c>
      <c r="D667" s="2">
        <v>616</v>
      </c>
      <c r="E667" s="2">
        <v>20020</v>
      </c>
      <c r="F667" s="2">
        <v>616</v>
      </c>
      <c r="G667" s="2">
        <v>970</v>
      </c>
      <c r="H667" s="2" t="s">
        <v>817</v>
      </c>
      <c r="I667" s="2">
        <f>VLOOKUP(H667,[1]Customers!$A:$B,2,FALSE)</f>
        <v>3394</v>
      </c>
      <c r="J667" s="2">
        <v>45135</v>
      </c>
      <c r="K667" s="2" t="s">
        <v>820</v>
      </c>
      <c r="L667" s="2">
        <v>19769.75</v>
      </c>
      <c r="N667" s="3" t="s">
        <v>19</v>
      </c>
      <c r="O667" s="2">
        <v>34842</v>
      </c>
    </row>
    <row r="668" spans="1:15" x14ac:dyDescent="0.35">
      <c r="A668" s="2" t="s">
        <v>821</v>
      </c>
      <c r="B668" s="2">
        <v>334</v>
      </c>
      <c r="C668" s="2" t="s">
        <v>16</v>
      </c>
      <c r="D668" s="2">
        <v>968</v>
      </c>
      <c r="E668" s="2">
        <v>20020</v>
      </c>
      <c r="G668" s="2">
        <v>281</v>
      </c>
      <c r="H668" s="2" t="s">
        <v>822</v>
      </c>
      <c r="I668" s="2">
        <f>VLOOKUP(H668,[1]Customers!$A:$B,2,FALSE)</f>
        <v>696</v>
      </c>
      <c r="J668" s="2">
        <v>45824</v>
      </c>
      <c r="M668" s="2">
        <v>7037</v>
      </c>
      <c r="N668" s="3" t="s">
        <v>19</v>
      </c>
    </row>
    <row r="669" spans="1:15" x14ac:dyDescent="0.35">
      <c r="A669" s="2" t="s">
        <v>821</v>
      </c>
      <c r="B669" s="2">
        <v>334.5</v>
      </c>
      <c r="C669" s="2" t="s">
        <v>20</v>
      </c>
      <c r="D669" s="2">
        <v>616</v>
      </c>
      <c r="E669" s="2">
        <v>20020</v>
      </c>
      <c r="F669" s="2">
        <v>616</v>
      </c>
      <c r="G669" s="2">
        <v>281</v>
      </c>
      <c r="H669" s="2" t="s">
        <v>822</v>
      </c>
      <c r="I669" s="2">
        <f>VLOOKUP(H669,[1]Customers!$A:$B,2,FALSE)</f>
        <v>696</v>
      </c>
      <c r="J669" s="2">
        <v>45824</v>
      </c>
      <c r="L669" s="2">
        <v>7037</v>
      </c>
      <c r="N669" s="3" t="s">
        <v>19</v>
      </c>
    </row>
    <row r="670" spans="1:15" x14ac:dyDescent="0.35">
      <c r="A670" s="2" t="s">
        <v>823</v>
      </c>
      <c r="B670" s="2">
        <v>335</v>
      </c>
      <c r="C670" s="2" t="s">
        <v>16</v>
      </c>
      <c r="D670" s="2">
        <v>968</v>
      </c>
      <c r="E670" s="2">
        <v>20020</v>
      </c>
      <c r="G670" s="2">
        <v>405</v>
      </c>
      <c r="H670" s="2" t="s">
        <v>822</v>
      </c>
      <c r="I670" s="2">
        <f>VLOOKUP(H670,[1]Customers!$A:$B,2,FALSE)</f>
        <v>696</v>
      </c>
      <c r="J670" s="2">
        <v>45700</v>
      </c>
      <c r="K670" s="2" t="s">
        <v>824</v>
      </c>
      <c r="M670" s="2">
        <v>5651.83</v>
      </c>
      <c r="N670" s="3" t="s">
        <v>19</v>
      </c>
    </row>
    <row r="671" spans="1:15" x14ac:dyDescent="0.35">
      <c r="A671" s="2" t="s">
        <v>823</v>
      </c>
      <c r="B671" s="2">
        <v>335.5</v>
      </c>
      <c r="C671" s="2" t="s">
        <v>20</v>
      </c>
      <c r="D671" s="2">
        <v>616</v>
      </c>
      <c r="E671" s="2">
        <v>20020</v>
      </c>
      <c r="F671" s="2">
        <v>616</v>
      </c>
      <c r="G671" s="2">
        <v>405</v>
      </c>
      <c r="H671" s="2" t="s">
        <v>822</v>
      </c>
      <c r="I671" s="2">
        <f>VLOOKUP(H671,[1]Customers!$A:$B,2,FALSE)</f>
        <v>696</v>
      </c>
      <c r="J671" s="2">
        <v>45700</v>
      </c>
      <c r="K671" s="2" t="s">
        <v>824</v>
      </c>
      <c r="L671" s="2">
        <v>5651.83</v>
      </c>
      <c r="N671" s="3" t="s">
        <v>19</v>
      </c>
    </row>
    <row r="672" spans="1:15" x14ac:dyDescent="0.35">
      <c r="A672" s="2" t="s">
        <v>825</v>
      </c>
      <c r="B672" s="2">
        <v>336</v>
      </c>
      <c r="C672" s="2" t="s">
        <v>16</v>
      </c>
      <c r="D672" s="2">
        <v>968</v>
      </c>
      <c r="E672" s="2">
        <v>20020</v>
      </c>
      <c r="G672" s="2">
        <v>278</v>
      </c>
      <c r="H672" s="2" t="s">
        <v>826</v>
      </c>
      <c r="I672" s="2">
        <f>VLOOKUP(H672,[1]Customers!$A:$B,2,FALSE)</f>
        <v>2510</v>
      </c>
      <c r="J672" s="2">
        <v>45827</v>
      </c>
      <c r="M672" s="2">
        <v>23442.47</v>
      </c>
      <c r="N672" s="3" t="s">
        <v>19</v>
      </c>
    </row>
    <row r="673" spans="1:15" x14ac:dyDescent="0.35">
      <c r="A673" s="2" t="s">
        <v>825</v>
      </c>
      <c r="B673" s="2">
        <v>336.5</v>
      </c>
      <c r="C673" s="2" t="s">
        <v>20</v>
      </c>
      <c r="D673" s="2">
        <v>616</v>
      </c>
      <c r="E673" s="2">
        <v>20020</v>
      </c>
      <c r="F673" s="2">
        <v>616</v>
      </c>
      <c r="G673" s="2">
        <v>278</v>
      </c>
      <c r="H673" s="2" t="s">
        <v>826</v>
      </c>
      <c r="I673" s="2">
        <f>VLOOKUP(H673,[1]Customers!$A:$B,2,FALSE)</f>
        <v>2510</v>
      </c>
      <c r="J673" s="2">
        <v>45827</v>
      </c>
      <c r="L673" s="2">
        <v>23442.47</v>
      </c>
      <c r="N673" s="3" t="s">
        <v>19</v>
      </c>
    </row>
    <row r="674" spans="1:15" x14ac:dyDescent="0.35">
      <c r="A674" s="2" t="s">
        <v>827</v>
      </c>
      <c r="B674" s="2">
        <v>337</v>
      </c>
      <c r="C674" s="2" t="s">
        <v>16</v>
      </c>
      <c r="D674" s="2">
        <v>968</v>
      </c>
      <c r="E674" s="2">
        <v>20020</v>
      </c>
      <c r="G674" s="2">
        <v>291</v>
      </c>
      <c r="H674" s="2" t="s">
        <v>828</v>
      </c>
      <c r="I674" s="2">
        <v>2541</v>
      </c>
      <c r="J674" s="2">
        <v>45814</v>
      </c>
      <c r="K674" s="2" t="s">
        <v>829</v>
      </c>
      <c r="M674" s="2">
        <v>5393.53</v>
      </c>
      <c r="N674" s="3" t="s">
        <v>19</v>
      </c>
    </row>
    <row r="675" spans="1:15" x14ac:dyDescent="0.35">
      <c r="A675" s="2" t="s">
        <v>827</v>
      </c>
      <c r="B675" s="2">
        <v>337.5</v>
      </c>
      <c r="C675" s="2" t="s">
        <v>20</v>
      </c>
      <c r="D675" s="2">
        <v>616</v>
      </c>
      <c r="E675" s="2">
        <v>20020</v>
      </c>
      <c r="F675" s="2">
        <v>616</v>
      </c>
      <c r="G675" s="2">
        <v>291</v>
      </c>
      <c r="H675" s="2" t="s">
        <v>828</v>
      </c>
      <c r="I675" s="2">
        <v>2541</v>
      </c>
      <c r="J675" s="2">
        <v>45814</v>
      </c>
      <c r="K675" s="2" t="s">
        <v>829</v>
      </c>
      <c r="L675" s="2">
        <v>5393.53</v>
      </c>
      <c r="N675" s="3" t="s">
        <v>19</v>
      </c>
    </row>
    <row r="676" spans="1:15" x14ac:dyDescent="0.35">
      <c r="A676" s="2" t="s">
        <v>830</v>
      </c>
      <c r="B676" s="2">
        <v>338</v>
      </c>
      <c r="C676" s="2" t="s">
        <v>16</v>
      </c>
      <c r="D676" s="2">
        <v>968</v>
      </c>
      <c r="E676" s="2">
        <v>20020</v>
      </c>
      <c r="G676" s="2">
        <v>354</v>
      </c>
      <c r="H676" s="2" t="s">
        <v>831</v>
      </c>
      <c r="I676" s="2">
        <f>VLOOKUP(H676,[1]Customers!$A:$B,2,FALSE)</f>
        <v>2346</v>
      </c>
      <c r="J676" s="2">
        <v>45751</v>
      </c>
      <c r="K676" s="2" t="s">
        <v>832</v>
      </c>
      <c r="M676" s="2">
        <v>1044.83</v>
      </c>
      <c r="N676" s="3" t="s">
        <v>19</v>
      </c>
    </row>
    <row r="677" spans="1:15" x14ac:dyDescent="0.35">
      <c r="A677" s="2" t="s">
        <v>830</v>
      </c>
      <c r="B677" s="2">
        <v>338.5</v>
      </c>
      <c r="C677" s="2" t="s">
        <v>20</v>
      </c>
      <c r="D677" s="2">
        <v>616</v>
      </c>
      <c r="E677" s="2">
        <v>20020</v>
      </c>
      <c r="F677" s="2">
        <v>616</v>
      </c>
      <c r="G677" s="2">
        <v>354</v>
      </c>
      <c r="H677" s="2" t="s">
        <v>831</v>
      </c>
      <c r="I677" s="2">
        <f>VLOOKUP(H677,[1]Customers!$A:$B,2,FALSE)</f>
        <v>2346</v>
      </c>
      <c r="J677" s="2">
        <v>45751</v>
      </c>
      <c r="K677" s="2" t="s">
        <v>832</v>
      </c>
      <c r="L677" s="2">
        <v>1044.83</v>
      </c>
      <c r="N677" s="3" t="s">
        <v>19</v>
      </c>
    </row>
    <row r="678" spans="1:15" ht="15" customHeight="1" x14ac:dyDescent="0.35">
      <c r="A678" s="2" t="s">
        <v>833</v>
      </c>
      <c r="B678" s="2">
        <v>339</v>
      </c>
      <c r="C678" s="2" t="s">
        <v>16</v>
      </c>
      <c r="D678" s="2">
        <v>968</v>
      </c>
      <c r="E678" s="2">
        <v>20020</v>
      </c>
      <c r="G678" s="2">
        <v>397</v>
      </c>
      <c r="H678" s="2" t="s">
        <v>831</v>
      </c>
      <c r="I678" s="2">
        <f>VLOOKUP(H678,[1]Customers!$A:$B,2,FALSE)</f>
        <v>2346</v>
      </c>
      <c r="J678" s="2">
        <v>45708</v>
      </c>
      <c r="K678" s="2" t="s">
        <v>834</v>
      </c>
      <c r="M678" s="2">
        <v>9510.66</v>
      </c>
      <c r="N678" s="3" t="s">
        <v>19</v>
      </c>
    </row>
    <row r="679" spans="1:15" x14ac:dyDescent="0.35">
      <c r="A679" s="2" t="s">
        <v>833</v>
      </c>
      <c r="B679" s="2">
        <v>339.5</v>
      </c>
      <c r="C679" s="2" t="s">
        <v>20</v>
      </c>
      <c r="D679" s="2">
        <v>616</v>
      </c>
      <c r="E679" s="2">
        <v>20020</v>
      </c>
      <c r="F679" s="2">
        <v>616</v>
      </c>
      <c r="G679" s="2">
        <v>397</v>
      </c>
      <c r="H679" s="2" t="s">
        <v>831</v>
      </c>
      <c r="I679" s="2">
        <f>VLOOKUP(H679,[1]Customers!$A:$B,2,FALSE)</f>
        <v>2346</v>
      </c>
      <c r="J679" s="2">
        <v>45708</v>
      </c>
      <c r="K679" s="2" t="s">
        <v>834</v>
      </c>
      <c r="L679" s="2">
        <v>9510.66</v>
      </c>
      <c r="N679" s="3" t="s">
        <v>19</v>
      </c>
    </row>
    <row r="680" spans="1:15" x14ac:dyDescent="0.35">
      <c r="A680" s="2" t="s">
        <v>835</v>
      </c>
      <c r="B680" s="2">
        <v>340</v>
      </c>
      <c r="C680" s="2" t="s">
        <v>16</v>
      </c>
      <c r="D680" s="2">
        <v>968</v>
      </c>
      <c r="E680" s="2">
        <v>20020</v>
      </c>
      <c r="G680" s="2">
        <v>560</v>
      </c>
      <c r="H680" s="2" t="s">
        <v>831</v>
      </c>
      <c r="I680" s="2">
        <f>VLOOKUP(H680,[1]Customers!$A:$B,2,FALSE)</f>
        <v>2346</v>
      </c>
      <c r="J680" s="2">
        <v>45545</v>
      </c>
      <c r="K680" s="2" t="s">
        <v>836</v>
      </c>
      <c r="M680" s="2">
        <v>9510.67</v>
      </c>
      <c r="N680" s="3" t="s">
        <v>19</v>
      </c>
    </row>
    <row r="681" spans="1:15" x14ac:dyDescent="0.35">
      <c r="A681" s="2" t="s">
        <v>835</v>
      </c>
      <c r="B681" s="2">
        <v>340.5</v>
      </c>
      <c r="C681" s="2" t="s">
        <v>20</v>
      </c>
      <c r="D681" s="2">
        <v>616</v>
      </c>
      <c r="E681" s="2">
        <v>20020</v>
      </c>
      <c r="F681" s="2">
        <v>616</v>
      </c>
      <c r="G681" s="2">
        <v>560</v>
      </c>
      <c r="H681" s="2" t="s">
        <v>831</v>
      </c>
      <c r="I681" s="2">
        <f>VLOOKUP(H681,[1]Customers!$A:$B,2,FALSE)</f>
        <v>2346</v>
      </c>
      <c r="J681" s="2">
        <v>45545</v>
      </c>
      <c r="K681" s="2" t="s">
        <v>836</v>
      </c>
      <c r="L681" s="2">
        <v>9510.67</v>
      </c>
      <c r="N681" s="3" t="s">
        <v>19</v>
      </c>
    </row>
    <row r="682" spans="1:15" x14ac:dyDescent="0.35">
      <c r="A682" s="2" t="s">
        <v>837</v>
      </c>
      <c r="B682" s="2">
        <v>341</v>
      </c>
      <c r="C682" s="2" t="s">
        <v>16</v>
      </c>
      <c r="D682" s="2">
        <v>968</v>
      </c>
      <c r="E682" s="2">
        <v>20020</v>
      </c>
      <c r="G682" s="2">
        <v>748</v>
      </c>
      <c r="H682" s="2" t="s">
        <v>838</v>
      </c>
      <c r="I682" s="2">
        <f>VLOOKUP(H682,[1]Customers!$A:$B,2,FALSE)</f>
        <v>3539</v>
      </c>
      <c r="J682" s="2">
        <v>45357</v>
      </c>
      <c r="K682" s="2" t="s">
        <v>839</v>
      </c>
      <c r="M682" s="2">
        <v>350</v>
      </c>
      <c r="N682" s="3" t="s">
        <v>19</v>
      </c>
      <c r="O682" s="2">
        <v>35037</v>
      </c>
    </row>
    <row r="683" spans="1:15" x14ac:dyDescent="0.35">
      <c r="A683" s="2" t="s">
        <v>837</v>
      </c>
      <c r="B683" s="2">
        <v>341.5</v>
      </c>
      <c r="C683" s="2" t="s">
        <v>20</v>
      </c>
      <c r="D683" s="2">
        <v>616</v>
      </c>
      <c r="E683" s="2">
        <v>20020</v>
      </c>
      <c r="F683" s="2">
        <v>616</v>
      </c>
      <c r="G683" s="2">
        <v>748</v>
      </c>
      <c r="H683" s="2" t="s">
        <v>838</v>
      </c>
      <c r="I683" s="2">
        <f>VLOOKUP(H683,[1]Customers!$A:$B,2,FALSE)</f>
        <v>3539</v>
      </c>
      <c r="J683" s="2">
        <v>45357</v>
      </c>
      <c r="K683" s="2" t="s">
        <v>839</v>
      </c>
      <c r="L683" s="2">
        <v>350</v>
      </c>
      <c r="N683" s="3" t="s">
        <v>19</v>
      </c>
      <c r="O683" s="2">
        <v>35037</v>
      </c>
    </row>
    <row r="684" spans="1:15" x14ac:dyDescent="0.35">
      <c r="A684" s="2" t="s">
        <v>840</v>
      </c>
      <c r="B684" s="2">
        <v>342</v>
      </c>
      <c r="C684" s="2" t="s">
        <v>16</v>
      </c>
      <c r="D684" s="2">
        <v>968</v>
      </c>
      <c r="E684" s="2">
        <v>20020</v>
      </c>
      <c r="G684" s="2">
        <v>748</v>
      </c>
      <c r="H684" s="2" t="s">
        <v>838</v>
      </c>
      <c r="I684" s="2">
        <f>VLOOKUP(H684,[1]Customers!$A:$B,2,FALSE)</f>
        <v>3539</v>
      </c>
      <c r="J684" s="2">
        <v>45357</v>
      </c>
      <c r="K684" s="2" t="s">
        <v>841</v>
      </c>
      <c r="M684" s="2">
        <v>35439.65</v>
      </c>
      <c r="N684" s="3" t="s">
        <v>19</v>
      </c>
      <c r="O684" s="2">
        <v>35103</v>
      </c>
    </row>
    <row r="685" spans="1:15" x14ac:dyDescent="0.35">
      <c r="A685" s="2" t="s">
        <v>840</v>
      </c>
      <c r="B685" s="2">
        <v>342.5</v>
      </c>
      <c r="C685" s="2" t="s">
        <v>20</v>
      </c>
      <c r="D685" s="2">
        <v>616</v>
      </c>
      <c r="E685" s="2">
        <v>20020</v>
      </c>
      <c r="F685" s="2">
        <v>616</v>
      </c>
      <c r="G685" s="2">
        <v>748</v>
      </c>
      <c r="H685" s="2" t="s">
        <v>838</v>
      </c>
      <c r="I685" s="2">
        <f>VLOOKUP(H685,[1]Customers!$A:$B,2,FALSE)</f>
        <v>3539</v>
      </c>
      <c r="J685" s="2">
        <v>45357</v>
      </c>
      <c r="K685" s="2" t="s">
        <v>841</v>
      </c>
      <c r="L685" s="2">
        <v>35439.65</v>
      </c>
      <c r="N685" s="3" t="s">
        <v>19</v>
      </c>
      <c r="O685" s="2">
        <v>35103</v>
      </c>
    </row>
    <row r="686" spans="1:15" x14ac:dyDescent="0.35">
      <c r="A686" s="2" t="s">
        <v>842</v>
      </c>
      <c r="B686" s="2">
        <v>343</v>
      </c>
      <c r="C686" s="2" t="s">
        <v>16</v>
      </c>
      <c r="D686" s="2">
        <v>968</v>
      </c>
      <c r="E686" s="2">
        <v>20020</v>
      </c>
      <c r="G686" s="2">
        <v>1267</v>
      </c>
      <c r="H686" s="4" t="s">
        <v>843</v>
      </c>
      <c r="I686" s="2">
        <f>VLOOKUP(H686,[1]Customers!$A:$B,2,FALSE)</f>
        <v>3631</v>
      </c>
      <c r="J686" s="2">
        <v>44838</v>
      </c>
      <c r="K686" s="2" t="s">
        <v>844</v>
      </c>
      <c r="M686" s="2">
        <v>541.25</v>
      </c>
      <c r="N686" s="3" t="s">
        <v>19</v>
      </c>
      <c r="O686" s="2">
        <v>33286</v>
      </c>
    </row>
    <row r="687" spans="1:15" x14ac:dyDescent="0.35">
      <c r="A687" s="2" t="s">
        <v>842</v>
      </c>
      <c r="B687" s="2">
        <v>343.5</v>
      </c>
      <c r="C687" s="2" t="s">
        <v>20</v>
      </c>
      <c r="D687" s="2">
        <v>616</v>
      </c>
      <c r="E687" s="2">
        <v>20020</v>
      </c>
      <c r="F687" s="2">
        <v>616</v>
      </c>
      <c r="G687" s="2">
        <v>1267</v>
      </c>
      <c r="H687" s="4" t="s">
        <v>843</v>
      </c>
      <c r="I687" s="2">
        <f>VLOOKUP(H687,[1]Customers!$A:$B,2,FALSE)</f>
        <v>3631</v>
      </c>
      <c r="J687" s="2">
        <v>44838</v>
      </c>
      <c r="K687" s="2" t="s">
        <v>844</v>
      </c>
      <c r="L687" s="2">
        <v>541.25</v>
      </c>
      <c r="N687" s="3" t="s">
        <v>19</v>
      </c>
      <c r="O687" s="2">
        <v>33286</v>
      </c>
    </row>
    <row r="688" spans="1:15" x14ac:dyDescent="0.35">
      <c r="A688" s="2" t="s">
        <v>845</v>
      </c>
      <c r="B688" s="2">
        <v>344</v>
      </c>
      <c r="C688" s="2" t="s">
        <v>16</v>
      </c>
      <c r="D688" s="2">
        <v>968</v>
      </c>
      <c r="E688" s="2">
        <v>20020</v>
      </c>
      <c r="G688" s="2">
        <v>473</v>
      </c>
      <c r="H688" s="2" t="s">
        <v>846</v>
      </c>
      <c r="I688" s="2">
        <f>VLOOKUP(H688,[1]Customers!$A:$B,2,FALSE)</f>
        <v>3563</v>
      </c>
      <c r="J688" s="2">
        <v>45632</v>
      </c>
      <c r="K688" s="2" t="s">
        <v>847</v>
      </c>
      <c r="M688" s="2">
        <v>620.79</v>
      </c>
      <c r="N688" s="3" t="s">
        <v>19</v>
      </c>
      <c r="O688" s="2">
        <v>5059</v>
      </c>
    </row>
    <row r="689" spans="1:15" x14ac:dyDescent="0.35">
      <c r="A689" s="2" t="s">
        <v>845</v>
      </c>
      <c r="B689" s="2">
        <v>344.5</v>
      </c>
      <c r="C689" s="2" t="s">
        <v>20</v>
      </c>
      <c r="D689" s="2">
        <v>616</v>
      </c>
      <c r="E689" s="2">
        <v>20020</v>
      </c>
      <c r="F689" s="2">
        <v>616</v>
      </c>
      <c r="G689" s="2">
        <v>473</v>
      </c>
      <c r="H689" s="2" t="s">
        <v>846</v>
      </c>
      <c r="I689" s="2">
        <f>VLOOKUP(H689,[1]Customers!$A:$B,2,FALSE)</f>
        <v>3563</v>
      </c>
      <c r="J689" s="2">
        <v>45632</v>
      </c>
      <c r="K689" s="2" t="s">
        <v>847</v>
      </c>
      <c r="L689" s="2">
        <v>620.79</v>
      </c>
      <c r="N689" s="3" t="s">
        <v>19</v>
      </c>
      <c r="O689" s="2">
        <v>5059</v>
      </c>
    </row>
    <row r="690" spans="1:15" x14ac:dyDescent="0.35">
      <c r="A690" s="2" t="s">
        <v>848</v>
      </c>
      <c r="B690" s="2">
        <v>345</v>
      </c>
      <c r="C690" s="2" t="s">
        <v>16</v>
      </c>
      <c r="D690" s="2">
        <v>968</v>
      </c>
      <c r="E690" s="2">
        <v>20020</v>
      </c>
      <c r="G690" s="2">
        <v>364</v>
      </c>
      <c r="H690" s="2" t="s">
        <v>849</v>
      </c>
      <c r="I690" s="2">
        <f>VLOOKUP(H690,[1]Customers!$A:$B,2,FALSE)</f>
        <v>2210</v>
      </c>
      <c r="J690" s="2">
        <v>45741</v>
      </c>
      <c r="K690" s="2" t="s">
        <v>850</v>
      </c>
      <c r="M690" s="2">
        <v>578.16999999999996</v>
      </c>
      <c r="N690" s="3" t="s">
        <v>19</v>
      </c>
    </row>
    <row r="691" spans="1:15" x14ac:dyDescent="0.35">
      <c r="A691" s="2" t="s">
        <v>848</v>
      </c>
      <c r="B691" s="2">
        <v>345.5</v>
      </c>
      <c r="C691" s="2" t="s">
        <v>20</v>
      </c>
      <c r="D691" s="2">
        <v>616</v>
      </c>
      <c r="E691" s="2">
        <v>20020</v>
      </c>
      <c r="F691" s="2">
        <v>616</v>
      </c>
      <c r="G691" s="2">
        <v>364</v>
      </c>
      <c r="H691" s="2" t="s">
        <v>849</v>
      </c>
      <c r="I691" s="2">
        <f>VLOOKUP(H691,[1]Customers!$A:$B,2,FALSE)</f>
        <v>2210</v>
      </c>
      <c r="J691" s="2">
        <v>45741</v>
      </c>
      <c r="K691" s="2" t="s">
        <v>850</v>
      </c>
      <c r="L691" s="2">
        <v>578.16999999999996</v>
      </c>
      <c r="N691" s="3" t="s">
        <v>19</v>
      </c>
    </row>
    <row r="692" spans="1:15" x14ac:dyDescent="0.35">
      <c r="A692" s="2" t="s">
        <v>851</v>
      </c>
      <c r="B692" s="2">
        <v>346</v>
      </c>
      <c r="C692" s="2" t="s">
        <v>16</v>
      </c>
      <c r="D692" s="2">
        <v>968</v>
      </c>
      <c r="E692" s="2">
        <v>20020</v>
      </c>
      <c r="G692" s="2">
        <v>516</v>
      </c>
      <c r="H692" s="2" t="s">
        <v>852</v>
      </c>
      <c r="I692" s="2">
        <f>VLOOKUP(H692,[1]Customers!$A:$B,2,FALSE)</f>
        <v>3273</v>
      </c>
      <c r="J692" s="2">
        <v>45589</v>
      </c>
      <c r="K692" s="2" t="s">
        <v>853</v>
      </c>
      <c r="M692" s="2">
        <v>17451.650000000001</v>
      </c>
      <c r="N692" s="3" t="s">
        <v>19</v>
      </c>
    </row>
    <row r="693" spans="1:15" x14ac:dyDescent="0.35">
      <c r="A693" s="2" t="s">
        <v>851</v>
      </c>
      <c r="B693" s="2">
        <v>346.5</v>
      </c>
      <c r="C693" s="2" t="s">
        <v>20</v>
      </c>
      <c r="D693" s="2">
        <v>616</v>
      </c>
      <c r="E693" s="2">
        <v>20020</v>
      </c>
      <c r="F693" s="2">
        <v>616</v>
      </c>
      <c r="G693" s="2">
        <v>516</v>
      </c>
      <c r="H693" s="2" t="s">
        <v>852</v>
      </c>
      <c r="I693" s="2">
        <f>VLOOKUP(H693,[1]Customers!$A:$B,2,FALSE)</f>
        <v>3273</v>
      </c>
      <c r="J693" s="2">
        <v>45589</v>
      </c>
      <c r="K693" s="2" t="s">
        <v>853</v>
      </c>
      <c r="L693" s="2">
        <v>17451.650000000001</v>
      </c>
      <c r="N693" s="3" t="s">
        <v>19</v>
      </c>
    </row>
    <row r="694" spans="1:15" x14ac:dyDescent="0.35">
      <c r="A694" s="2" t="s">
        <v>854</v>
      </c>
      <c r="B694" s="2">
        <v>347</v>
      </c>
      <c r="C694" s="2" t="s">
        <v>16</v>
      </c>
      <c r="D694" s="2">
        <v>968</v>
      </c>
      <c r="E694" s="2">
        <v>20020</v>
      </c>
      <c r="G694" s="2">
        <v>516</v>
      </c>
      <c r="H694" s="2" t="s">
        <v>852</v>
      </c>
      <c r="I694" s="2">
        <f>VLOOKUP(H694,[1]Customers!$A:$B,2,FALSE)</f>
        <v>3273</v>
      </c>
      <c r="J694" s="2">
        <v>45589</v>
      </c>
      <c r="K694" s="2" t="s">
        <v>853</v>
      </c>
      <c r="M694" s="2">
        <v>40000</v>
      </c>
      <c r="N694" s="3" t="s">
        <v>19</v>
      </c>
      <c r="O694" s="2">
        <v>53</v>
      </c>
    </row>
    <row r="695" spans="1:15" x14ac:dyDescent="0.35">
      <c r="A695" s="2" t="s">
        <v>854</v>
      </c>
      <c r="B695" s="2">
        <v>347.5</v>
      </c>
      <c r="C695" s="2" t="s">
        <v>20</v>
      </c>
      <c r="D695" s="2">
        <v>616</v>
      </c>
      <c r="E695" s="2">
        <v>20020</v>
      </c>
      <c r="F695" s="2">
        <v>616</v>
      </c>
      <c r="G695" s="2">
        <v>516</v>
      </c>
      <c r="H695" s="2" t="s">
        <v>852</v>
      </c>
      <c r="I695" s="2">
        <f>VLOOKUP(H695,[1]Customers!$A:$B,2,FALSE)</f>
        <v>3273</v>
      </c>
      <c r="J695" s="2">
        <v>45589</v>
      </c>
      <c r="K695" s="2" t="s">
        <v>853</v>
      </c>
      <c r="L695" s="2">
        <v>40000</v>
      </c>
      <c r="N695" s="3" t="s">
        <v>19</v>
      </c>
      <c r="O695" s="2">
        <v>53</v>
      </c>
    </row>
    <row r="696" spans="1:15" ht="15" customHeight="1" x14ac:dyDescent="0.35">
      <c r="A696" s="2" t="s">
        <v>855</v>
      </c>
      <c r="B696" s="2">
        <v>348</v>
      </c>
      <c r="C696" s="2" t="s">
        <v>16</v>
      </c>
      <c r="D696" s="2">
        <v>968</v>
      </c>
      <c r="E696" s="2">
        <v>20020</v>
      </c>
      <c r="G696" s="2">
        <v>284</v>
      </c>
      <c r="H696" s="2" t="s">
        <v>856</v>
      </c>
      <c r="I696" s="2">
        <v>3675</v>
      </c>
      <c r="J696" s="2">
        <v>45821</v>
      </c>
      <c r="K696" s="2" t="s">
        <v>857</v>
      </c>
      <c r="M696" s="2">
        <v>759214.25</v>
      </c>
      <c r="N696" s="3" t="s">
        <v>19</v>
      </c>
    </row>
    <row r="697" spans="1:15" ht="15" customHeight="1" x14ac:dyDescent="0.35">
      <c r="A697" s="2" t="s">
        <v>855</v>
      </c>
      <c r="B697" s="2">
        <v>348.5</v>
      </c>
      <c r="C697" s="2" t="s">
        <v>20</v>
      </c>
      <c r="D697" s="2">
        <v>616</v>
      </c>
      <c r="E697" s="2">
        <v>20020</v>
      </c>
      <c r="F697" s="2">
        <v>616</v>
      </c>
      <c r="G697" s="2">
        <v>284</v>
      </c>
      <c r="H697" s="2" t="s">
        <v>856</v>
      </c>
      <c r="I697" s="2">
        <v>3675</v>
      </c>
      <c r="J697" s="2">
        <v>45821</v>
      </c>
      <c r="K697" s="2" t="s">
        <v>857</v>
      </c>
      <c r="L697" s="2">
        <v>759214.25</v>
      </c>
      <c r="N697" s="3" t="s">
        <v>19</v>
      </c>
    </row>
    <row r="698" spans="1:15" ht="15" customHeight="1" x14ac:dyDescent="0.35">
      <c r="A698" s="2" t="s">
        <v>858</v>
      </c>
      <c r="B698" s="2">
        <v>349</v>
      </c>
      <c r="C698" s="2" t="s">
        <v>16</v>
      </c>
      <c r="D698" s="2">
        <v>968</v>
      </c>
      <c r="E698" s="2">
        <v>20020</v>
      </c>
      <c r="G698" s="2">
        <v>305</v>
      </c>
      <c r="H698" s="2" t="s">
        <v>859</v>
      </c>
      <c r="I698" s="2">
        <f>VLOOKUP(H698,[1]Customers!$A:$B,2,FALSE)</f>
        <v>2498</v>
      </c>
      <c r="J698" s="2">
        <v>45800</v>
      </c>
      <c r="K698" s="2" t="s">
        <v>860</v>
      </c>
      <c r="M698" s="2">
        <v>509769.33</v>
      </c>
      <c r="N698" s="3" t="s">
        <v>19</v>
      </c>
    </row>
    <row r="699" spans="1:15" x14ac:dyDescent="0.35">
      <c r="A699" s="2" t="s">
        <v>858</v>
      </c>
      <c r="B699" s="2">
        <v>349.5</v>
      </c>
      <c r="C699" s="2" t="s">
        <v>20</v>
      </c>
      <c r="D699" s="2">
        <v>616</v>
      </c>
      <c r="E699" s="2">
        <v>20020</v>
      </c>
      <c r="F699" s="2">
        <v>616</v>
      </c>
      <c r="G699" s="2">
        <v>305</v>
      </c>
      <c r="H699" s="2" t="s">
        <v>859</v>
      </c>
      <c r="I699" s="2">
        <f>VLOOKUP(H699,[1]Customers!$A:$B,2,FALSE)</f>
        <v>2498</v>
      </c>
      <c r="J699" s="2">
        <v>45800</v>
      </c>
      <c r="K699" s="2" t="s">
        <v>860</v>
      </c>
      <c r="L699" s="2">
        <v>509769.33</v>
      </c>
      <c r="N699" s="3" t="s">
        <v>19</v>
      </c>
    </row>
    <row r="700" spans="1:15" x14ac:dyDescent="0.35">
      <c r="A700" s="2" t="s">
        <v>861</v>
      </c>
      <c r="B700" s="2">
        <v>350</v>
      </c>
      <c r="C700" s="2" t="s">
        <v>16</v>
      </c>
      <c r="D700" s="2">
        <v>968</v>
      </c>
      <c r="E700" s="2">
        <v>20020</v>
      </c>
      <c r="G700" s="2">
        <v>327</v>
      </c>
      <c r="H700" s="2" t="s">
        <v>862</v>
      </c>
      <c r="I700" s="2">
        <f>VLOOKUP(H700,[1]Customers!$A:$B,2,FALSE)</f>
        <v>2426</v>
      </c>
      <c r="J700" s="2">
        <v>45778</v>
      </c>
      <c r="K700" s="2" t="s">
        <v>863</v>
      </c>
      <c r="M700" s="2">
        <v>9307.67</v>
      </c>
      <c r="N700" s="3" t="s">
        <v>19</v>
      </c>
    </row>
    <row r="701" spans="1:15" x14ac:dyDescent="0.35">
      <c r="A701" s="2" t="s">
        <v>861</v>
      </c>
      <c r="B701" s="2">
        <v>350.5</v>
      </c>
      <c r="C701" s="2" t="s">
        <v>20</v>
      </c>
      <c r="D701" s="2">
        <v>616</v>
      </c>
      <c r="E701" s="2">
        <v>20020</v>
      </c>
      <c r="F701" s="2">
        <v>616</v>
      </c>
      <c r="G701" s="2">
        <v>327</v>
      </c>
      <c r="H701" s="2" t="s">
        <v>862</v>
      </c>
      <c r="I701" s="2">
        <f>VLOOKUP(H701,[1]Customers!$A:$B,2,FALSE)</f>
        <v>2426</v>
      </c>
      <c r="J701" s="2">
        <v>45778</v>
      </c>
      <c r="K701" s="2" t="s">
        <v>863</v>
      </c>
      <c r="L701" s="2">
        <v>9307.67</v>
      </c>
      <c r="N701" s="3" t="s">
        <v>19</v>
      </c>
    </row>
    <row r="702" spans="1:15" x14ac:dyDescent="0.35">
      <c r="A702" s="2" t="s">
        <v>864</v>
      </c>
      <c r="B702" s="2">
        <v>351</v>
      </c>
      <c r="C702" s="2" t="s">
        <v>16</v>
      </c>
      <c r="D702" s="2">
        <v>968</v>
      </c>
      <c r="E702" s="2">
        <v>20020</v>
      </c>
      <c r="G702" s="2">
        <v>375</v>
      </c>
      <c r="H702" s="2" t="s">
        <v>865</v>
      </c>
      <c r="I702" s="2">
        <f>VLOOKUP(H702,[1]Customers!$A:$B,2,FALSE)</f>
        <v>2185</v>
      </c>
      <c r="J702" s="2">
        <v>45730</v>
      </c>
      <c r="K702" s="2" t="s">
        <v>866</v>
      </c>
      <c r="M702" s="2">
        <v>917.76</v>
      </c>
      <c r="N702" s="3" t="s">
        <v>19</v>
      </c>
    </row>
    <row r="703" spans="1:15" x14ac:dyDescent="0.35">
      <c r="A703" s="2" t="s">
        <v>864</v>
      </c>
      <c r="B703" s="2">
        <v>351.5</v>
      </c>
      <c r="C703" s="2" t="s">
        <v>20</v>
      </c>
      <c r="D703" s="2">
        <v>616</v>
      </c>
      <c r="E703" s="2">
        <v>20020</v>
      </c>
      <c r="F703" s="2">
        <v>616</v>
      </c>
      <c r="G703" s="2">
        <v>375</v>
      </c>
      <c r="H703" s="2" t="s">
        <v>865</v>
      </c>
      <c r="I703" s="2">
        <f>VLOOKUP(H703,[1]Customers!$A:$B,2,FALSE)</f>
        <v>2185</v>
      </c>
      <c r="J703" s="2">
        <v>45730</v>
      </c>
      <c r="K703" s="2" t="s">
        <v>866</v>
      </c>
      <c r="L703" s="2">
        <v>917.76</v>
      </c>
      <c r="N703" s="3" t="s">
        <v>19</v>
      </c>
    </row>
    <row r="704" spans="1:15" x14ac:dyDescent="0.35">
      <c r="A704" s="2" t="s">
        <v>867</v>
      </c>
      <c r="B704" s="2">
        <v>352</v>
      </c>
      <c r="C704" s="2" t="s">
        <v>16</v>
      </c>
      <c r="D704" s="2">
        <v>968</v>
      </c>
      <c r="E704" s="2">
        <v>20020</v>
      </c>
      <c r="G704" s="2">
        <v>347</v>
      </c>
      <c r="H704" s="2" t="s">
        <v>868</v>
      </c>
      <c r="I704" s="2">
        <f>VLOOKUP(H704,[1]Customers!$A:$B,2,FALSE)</f>
        <v>2379</v>
      </c>
      <c r="J704" s="2">
        <v>45758</v>
      </c>
      <c r="K704" s="2" t="s">
        <v>869</v>
      </c>
      <c r="M704" s="2">
        <v>782.55</v>
      </c>
      <c r="N704" s="3" t="s">
        <v>19</v>
      </c>
    </row>
    <row r="705" spans="1:15" x14ac:dyDescent="0.35">
      <c r="A705" s="2" t="s">
        <v>867</v>
      </c>
      <c r="B705" s="2">
        <v>352.5</v>
      </c>
      <c r="C705" s="2" t="s">
        <v>20</v>
      </c>
      <c r="D705" s="2">
        <v>616</v>
      </c>
      <c r="E705" s="2">
        <v>20020</v>
      </c>
      <c r="F705" s="2">
        <v>616</v>
      </c>
      <c r="G705" s="2">
        <v>347</v>
      </c>
      <c r="H705" s="2" t="s">
        <v>868</v>
      </c>
      <c r="I705" s="2">
        <f>VLOOKUP(H705,[1]Customers!$A:$B,2,FALSE)</f>
        <v>2379</v>
      </c>
      <c r="J705" s="2">
        <v>45758</v>
      </c>
      <c r="K705" s="2" t="s">
        <v>869</v>
      </c>
      <c r="L705" s="2">
        <v>782.55</v>
      </c>
      <c r="N705" s="3" t="s">
        <v>19</v>
      </c>
    </row>
    <row r="706" spans="1:15" x14ac:dyDescent="0.35">
      <c r="A706" s="2" t="s">
        <v>870</v>
      </c>
      <c r="B706" s="2">
        <v>353</v>
      </c>
      <c r="C706" s="2" t="s">
        <v>16</v>
      </c>
      <c r="D706" s="2">
        <v>968</v>
      </c>
      <c r="E706" s="2">
        <v>20020</v>
      </c>
      <c r="G706" s="2">
        <v>322</v>
      </c>
      <c r="H706" s="2" t="s">
        <v>871</v>
      </c>
      <c r="I706" s="2">
        <f>VLOOKUP(H706,[1]Customers!$A:$B,2,FALSE)</f>
        <v>2437</v>
      </c>
      <c r="J706" s="2">
        <v>45783</v>
      </c>
      <c r="K706" s="2" t="s">
        <v>872</v>
      </c>
      <c r="M706" s="2">
        <v>2806.24</v>
      </c>
      <c r="N706" s="3" t="s">
        <v>19</v>
      </c>
    </row>
    <row r="707" spans="1:15" x14ac:dyDescent="0.35">
      <c r="A707" s="2" t="s">
        <v>870</v>
      </c>
      <c r="B707" s="2">
        <v>353.5</v>
      </c>
      <c r="C707" s="2" t="s">
        <v>20</v>
      </c>
      <c r="D707" s="2">
        <v>616</v>
      </c>
      <c r="E707" s="2">
        <v>20020</v>
      </c>
      <c r="F707" s="2">
        <v>616</v>
      </c>
      <c r="G707" s="2">
        <v>322</v>
      </c>
      <c r="H707" s="2" t="s">
        <v>871</v>
      </c>
      <c r="I707" s="2">
        <f>VLOOKUP(H707,[1]Customers!$A:$B,2,FALSE)</f>
        <v>2437</v>
      </c>
      <c r="J707" s="2">
        <v>45783</v>
      </c>
      <c r="K707" s="2" t="s">
        <v>872</v>
      </c>
      <c r="L707" s="2">
        <v>2806.24</v>
      </c>
      <c r="N707" s="3" t="s">
        <v>19</v>
      </c>
    </row>
    <row r="708" spans="1:15" x14ac:dyDescent="0.35">
      <c r="A708" s="2" t="s">
        <v>873</v>
      </c>
      <c r="B708" s="2">
        <v>354</v>
      </c>
      <c r="C708" s="2" t="s">
        <v>16</v>
      </c>
      <c r="D708" s="2">
        <v>968</v>
      </c>
      <c r="E708" s="2">
        <v>20020</v>
      </c>
      <c r="G708" s="2">
        <v>432</v>
      </c>
      <c r="H708" s="2" t="s">
        <v>874</v>
      </c>
      <c r="I708" s="2">
        <f>VLOOKUP(H708,[1]Customers!$A:$B,2,FALSE)</f>
        <v>1688</v>
      </c>
      <c r="J708" s="2">
        <v>45673</v>
      </c>
      <c r="K708" s="2" t="s">
        <v>875</v>
      </c>
      <c r="M708" s="2">
        <v>57212</v>
      </c>
      <c r="N708" s="3" t="s">
        <v>19</v>
      </c>
    </row>
    <row r="709" spans="1:15" x14ac:dyDescent="0.35">
      <c r="A709" s="2" t="s">
        <v>873</v>
      </c>
      <c r="B709" s="2">
        <v>354.5</v>
      </c>
      <c r="C709" s="2" t="s">
        <v>20</v>
      </c>
      <c r="D709" s="2">
        <v>616</v>
      </c>
      <c r="E709" s="2">
        <v>20020</v>
      </c>
      <c r="F709" s="2">
        <v>616</v>
      </c>
      <c r="G709" s="2">
        <v>432</v>
      </c>
      <c r="H709" s="2" t="s">
        <v>874</v>
      </c>
      <c r="I709" s="2">
        <f>VLOOKUP(H709,[1]Customers!$A:$B,2,FALSE)</f>
        <v>1688</v>
      </c>
      <c r="J709" s="2">
        <v>45673</v>
      </c>
      <c r="K709" s="2" t="s">
        <v>875</v>
      </c>
      <c r="L709" s="2">
        <v>57212</v>
      </c>
      <c r="N709" s="3" t="s">
        <v>19</v>
      </c>
    </row>
    <row r="710" spans="1:15" x14ac:dyDescent="0.35">
      <c r="A710" s="2" t="s">
        <v>876</v>
      </c>
      <c r="B710" s="2">
        <v>355</v>
      </c>
      <c r="C710" s="2" t="s">
        <v>16</v>
      </c>
      <c r="D710" s="2">
        <v>968</v>
      </c>
      <c r="E710" s="2">
        <v>20020</v>
      </c>
      <c r="G710" s="2">
        <v>350</v>
      </c>
      <c r="H710" s="2" t="s">
        <v>877</v>
      </c>
      <c r="I710" s="2">
        <f>VLOOKUP(H710,[1]Customers!$A:$B,2,FALSE)</f>
        <v>3397</v>
      </c>
      <c r="J710" s="2">
        <v>45755</v>
      </c>
      <c r="K710" s="2" t="s">
        <v>878</v>
      </c>
      <c r="M710" s="2">
        <v>12035.03</v>
      </c>
      <c r="N710" s="3" t="s">
        <v>19</v>
      </c>
    </row>
    <row r="711" spans="1:15" x14ac:dyDescent="0.35">
      <c r="A711" s="2" t="s">
        <v>876</v>
      </c>
      <c r="B711" s="2">
        <v>355.5</v>
      </c>
      <c r="C711" s="2" t="s">
        <v>20</v>
      </c>
      <c r="D711" s="2">
        <v>616</v>
      </c>
      <c r="E711" s="2">
        <v>20020</v>
      </c>
      <c r="F711" s="2">
        <v>616</v>
      </c>
      <c r="G711" s="2">
        <v>350</v>
      </c>
      <c r="H711" s="2" t="s">
        <v>877</v>
      </c>
      <c r="I711" s="2">
        <f>VLOOKUP(H711,[1]Customers!$A:$B,2,FALSE)</f>
        <v>3397</v>
      </c>
      <c r="J711" s="2">
        <v>45755</v>
      </c>
      <c r="K711" s="2" t="s">
        <v>878</v>
      </c>
      <c r="L711" s="2">
        <v>12035.03</v>
      </c>
      <c r="N711" s="3" t="s">
        <v>19</v>
      </c>
    </row>
    <row r="712" spans="1:15" x14ac:dyDescent="0.35">
      <c r="A712" s="2" t="s">
        <v>879</v>
      </c>
      <c r="B712" s="2">
        <v>356</v>
      </c>
      <c r="C712" s="2" t="s">
        <v>16</v>
      </c>
      <c r="D712" s="2">
        <v>968</v>
      </c>
      <c r="E712" s="2">
        <v>20020</v>
      </c>
      <c r="G712" s="2">
        <v>827</v>
      </c>
      <c r="H712" s="2" t="s">
        <v>877</v>
      </c>
      <c r="I712" s="2">
        <f>VLOOKUP(H712,[1]Customers!$A:$B,2,FALSE)</f>
        <v>3397</v>
      </c>
      <c r="J712" s="2">
        <v>45278</v>
      </c>
      <c r="K712" s="2" t="s">
        <v>880</v>
      </c>
      <c r="M712" s="2">
        <v>4462.2</v>
      </c>
      <c r="N712" s="3" t="s">
        <v>19</v>
      </c>
      <c r="O712" s="2">
        <v>35870</v>
      </c>
    </row>
    <row r="713" spans="1:15" x14ac:dyDescent="0.35">
      <c r="A713" s="2" t="s">
        <v>879</v>
      </c>
      <c r="B713" s="2">
        <v>356.5</v>
      </c>
      <c r="C713" s="2" t="s">
        <v>20</v>
      </c>
      <c r="D713" s="2">
        <v>616</v>
      </c>
      <c r="E713" s="2">
        <v>20020</v>
      </c>
      <c r="F713" s="2">
        <v>616</v>
      </c>
      <c r="G713" s="2">
        <v>827</v>
      </c>
      <c r="H713" s="2" t="s">
        <v>877</v>
      </c>
      <c r="I713" s="2">
        <f>VLOOKUP(H713,[1]Customers!$A:$B,2,FALSE)</f>
        <v>3397</v>
      </c>
      <c r="J713" s="2">
        <v>45278</v>
      </c>
      <c r="K713" s="2" t="s">
        <v>880</v>
      </c>
      <c r="L713" s="2">
        <v>4462.2</v>
      </c>
      <c r="N713" s="3" t="s">
        <v>19</v>
      </c>
      <c r="O713" s="2">
        <v>35870</v>
      </c>
    </row>
    <row r="714" spans="1:15" ht="15" customHeight="1" x14ac:dyDescent="0.35">
      <c r="A714" s="2" t="s">
        <v>881</v>
      </c>
      <c r="B714" s="2">
        <v>357</v>
      </c>
      <c r="C714" s="2" t="s">
        <v>16</v>
      </c>
      <c r="D714" s="2">
        <v>968</v>
      </c>
      <c r="E714" s="2">
        <v>20020</v>
      </c>
      <c r="G714" s="2">
        <v>424</v>
      </c>
      <c r="H714" s="2" t="s">
        <v>877</v>
      </c>
      <c r="I714" s="2">
        <f>VLOOKUP(H714,[1]Customers!$A:$B,2,FALSE)</f>
        <v>3397</v>
      </c>
      <c r="J714" s="2">
        <v>45681</v>
      </c>
      <c r="K714" s="2" t="s">
        <v>878</v>
      </c>
      <c r="M714" s="2">
        <v>6730.19</v>
      </c>
      <c r="N714" s="3" t="s">
        <v>19</v>
      </c>
    </row>
    <row r="715" spans="1:15" ht="14.5" customHeight="1" x14ac:dyDescent="0.35">
      <c r="A715" s="2" t="s">
        <v>881</v>
      </c>
      <c r="B715" s="2">
        <v>357.5</v>
      </c>
      <c r="C715" s="2" t="s">
        <v>20</v>
      </c>
      <c r="D715" s="2">
        <v>616</v>
      </c>
      <c r="E715" s="2">
        <v>20020</v>
      </c>
      <c r="F715" s="2">
        <v>616</v>
      </c>
      <c r="G715" s="2">
        <v>424</v>
      </c>
      <c r="H715" s="2" t="s">
        <v>877</v>
      </c>
      <c r="I715" s="2">
        <f>VLOOKUP(H715,[1]Customers!$A:$B,2,FALSE)</f>
        <v>3397</v>
      </c>
      <c r="J715" s="2">
        <v>45681</v>
      </c>
      <c r="K715" s="2" t="s">
        <v>878</v>
      </c>
      <c r="L715" s="2">
        <v>6730.19</v>
      </c>
      <c r="N715" s="3" t="s">
        <v>19</v>
      </c>
    </row>
    <row r="716" spans="1:15" ht="15" customHeight="1" x14ac:dyDescent="0.35">
      <c r="A716" s="2" t="s">
        <v>882</v>
      </c>
      <c r="B716" s="2">
        <v>358</v>
      </c>
      <c r="C716" s="2" t="s">
        <v>16</v>
      </c>
      <c r="D716" s="2">
        <v>968</v>
      </c>
      <c r="E716" s="2">
        <v>20020</v>
      </c>
      <c r="G716" s="2">
        <v>307</v>
      </c>
      <c r="H716" s="2" t="s">
        <v>883</v>
      </c>
      <c r="I716" s="2">
        <f>VLOOKUP(H716,[1]Customers!$A:$B,2,FALSE)</f>
        <v>714</v>
      </c>
      <c r="J716" s="2">
        <v>45798</v>
      </c>
      <c r="K716" s="2" t="s">
        <v>884</v>
      </c>
      <c r="M716" s="2">
        <v>202971.8</v>
      </c>
      <c r="N716" s="3" t="s">
        <v>19</v>
      </c>
    </row>
    <row r="717" spans="1:15" ht="15" customHeight="1" x14ac:dyDescent="0.35">
      <c r="A717" s="2" t="s">
        <v>882</v>
      </c>
      <c r="B717" s="2">
        <v>358.5</v>
      </c>
      <c r="C717" s="2" t="s">
        <v>20</v>
      </c>
      <c r="D717" s="2">
        <v>616</v>
      </c>
      <c r="E717" s="2">
        <v>20020</v>
      </c>
      <c r="F717" s="2">
        <v>616</v>
      </c>
      <c r="G717" s="2">
        <v>307</v>
      </c>
      <c r="H717" s="2" t="s">
        <v>883</v>
      </c>
      <c r="I717" s="2">
        <f>VLOOKUP(H717,[1]Customers!$A:$B,2,FALSE)</f>
        <v>714</v>
      </c>
      <c r="J717" s="2">
        <v>45798</v>
      </c>
      <c r="K717" s="2" t="s">
        <v>884</v>
      </c>
      <c r="L717" s="2">
        <v>202971.8</v>
      </c>
      <c r="N717" s="3" t="s">
        <v>19</v>
      </c>
    </row>
    <row r="718" spans="1:15" x14ac:dyDescent="0.35">
      <c r="A718" s="2" t="s">
        <v>885</v>
      </c>
      <c r="B718" s="2">
        <v>359</v>
      </c>
      <c r="C718" s="2" t="s">
        <v>16</v>
      </c>
      <c r="D718" s="2">
        <v>968</v>
      </c>
      <c r="E718" s="2">
        <v>20020</v>
      </c>
      <c r="G718" s="2">
        <v>357</v>
      </c>
      <c r="H718" s="2" t="s">
        <v>886</v>
      </c>
      <c r="I718" s="2">
        <f>VLOOKUP(H718,[1]Customers!$A:$B,2,FALSE)</f>
        <v>2316</v>
      </c>
      <c r="J718" s="2">
        <v>45748</v>
      </c>
      <c r="K718" s="2" t="s">
        <v>887</v>
      </c>
      <c r="M718" s="2">
        <v>3696.84</v>
      </c>
      <c r="N718" s="3" t="s">
        <v>19</v>
      </c>
    </row>
    <row r="719" spans="1:15" x14ac:dyDescent="0.35">
      <c r="A719" s="2" t="s">
        <v>885</v>
      </c>
      <c r="B719" s="2">
        <v>359.5</v>
      </c>
      <c r="C719" s="2" t="s">
        <v>20</v>
      </c>
      <c r="D719" s="2">
        <v>616</v>
      </c>
      <c r="E719" s="2">
        <v>20020</v>
      </c>
      <c r="F719" s="2">
        <v>616</v>
      </c>
      <c r="G719" s="2">
        <v>357</v>
      </c>
      <c r="H719" s="2" t="s">
        <v>886</v>
      </c>
      <c r="I719" s="2">
        <f>VLOOKUP(H719,[1]Customers!$A:$B,2,FALSE)</f>
        <v>2316</v>
      </c>
      <c r="J719" s="2">
        <v>45748</v>
      </c>
      <c r="K719" s="2" t="s">
        <v>887</v>
      </c>
      <c r="L719" s="2">
        <v>3696.84</v>
      </c>
      <c r="N719" s="3" t="s">
        <v>19</v>
      </c>
    </row>
    <row r="720" spans="1:15" x14ac:dyDescent="0.35">
      <c r="A720" s="2" t="s">
        <v>888</v>
      </c>
      <c r="B720" s="2">
        <v>360</v>
      </c>
      <c r="C720" s="2" t="s">
        <v>16</v>
      </c>
      <c r="D720" s="2">
        <v>968</v>
      </c>
      <c r="E720" s="2">
        <v>20020</v>
      </c>
      <c r="G720" s="2">
        <v>330</v>
      </c>
      <c r="H720" s="2" t="s">
        <v>889</v>
      </c>
      <c r="I720" s="2">
        <f>VLOOKUP(H720,[1]Customers!$A:$B,2,FALSE)</f>
        <v>2414</v>
      </c>
      <c r="J720" s="2">
        <v>45775</v>
      </c>
      <c r="K720" s="2" t="s">
        <v>890</v>
      </c>
      <c r="M720" s="2">
        <v>537.19000000000005</v>
      </c>
      <c r="N720" s="3" t="s">
        <v>19</v>
      </c>
    </row>
    <row r="721" spans="1:15" x14ac:dyDescent="0.35">
      <c r="A721" s="2" t="s">
        <v>888</v>
      </c>
      <c r="B721" s="2">
        <v>360.5</v>
      </c>
      <c r="C721" s="2" t="s">
        <v>20</v>
      </c>
      <c r="D721" s="2">
        <v>616</v>
      </c>
      <c r="E721" s="2">
        <v>20020</v>
      </c>
      <c r="F721" s="2">
        <v>616</v>
      </c>
      <c r="G721" s="2">
        <v>330</v>
      </c>
      <c r="H721" s="2" t="s">
        <v>889</v>
      </c>
      <c r="I721" s="2">
        <f>VLOOKUP(H721,[1]Customers!$A:$B,2,FALSE)</f>
        <v>2414</v>
      </c>
      <c r="J721" s="2">
        <v>45775</v>
      </c>
      <c r="K721" s="2" t="s">
        <v>890</v>
      </c>
      <c r="L721" s="2">
        <v>537.19000000000005</v>
      </c>
      <c r="N721" s="3" t="s">
        <v>19</v>
      </c>
    </row>
    <row r="722" spans="1:15" x14ac:dyDescent="0.35">
      <c r="A722" s="2" t="s">
        <v>891</v>
      </c>
      <c r="B722" s="2">
        <v>361</v>
      </c>
      <c r="C722" s="2" t="s">
        <v>16</v>
      </c>
      <c r="D722" s="2">
        <v>968</v>
      </c>
      <c r="E722" s="2">
        <v>20020</v>
      </c>
      <c r="G722" s="2">
        <v>431</v>
      </c>
      <c r="H722" s="2" t="s">
        <v>892</v>
      </c>
      <c r="I722" s="2">
        <f>VLOOKUP(H722,[1]Customers!$A:$B,2,FALSE)</f>
        <v>2275</v>
      </c>
      <c r="J722" s="2">
        <v>45674</v>
      </c>
      <c r="K722" s="2" t="s">
        <v>893</v>
      </c>
      <c r="M722" s="2">
        <v>13799.18</v>
      </c>
      <c r="N722" s="3" t="s">
        <v>19</v>
      </c>
    </row>
    <row r="723" spans="1:15" x14ac:dyDescent="0.35">
      <c r="A723" s="2" t="s">
        <v>891</v>
      </c>
      <c r="B723" s="2">
        <v>361.5</v>
      </c>
      <c r="C723" s="2" t="s">
        <v>20</v>
      </c>
      <c r="D723" s="2">
        <v>616</v>
      </c>
      <c r="E723" s="2">
        <v>20020</v>
      </c>
      <c r="F723" s="2">
        <v>616</v>
      </c>
      <c r="G723" s="2">
        <v>431</v>
      </c>
      <c r="H723" s="2" t="s">
        <v>892</v>
      </c>
      <c r="I723" s="2">
        <f>VLOOKUP(H723,[1]Customers!$A:$B,2,FALSE)</f>
        <v>2275</v>
      </c>
      <c r="J723" s="2">
        <v>45674</v>
      </c>
      <c r="K723" s="2" t="s">
        <v>893</v>
      </c>
      <c r="L723" s="2">
        <v>13799.18</v>
      </c>
      <c r="N723" s="3" t="s">
        <v>19</v>
      </c>
    </row>
    <row r="724" spans="1:15" x14ac:dyDescent="0.35">
      <c r="A724" s="2" t="s">
        <v>894</v>
      </c>
      <c r="B724" s="2">
        <v>362</v>
      </c>
      <c r="C724" s="2" t="s">
        <v>16</v>
      </c>
      <c r="D724" s="2">
        <v>968</v>
      </c>
      <c r="E724" s="2">
        <v>20020</v>
      </c>
      <c r="G724" s="2">
        <v>298</v>
      </c>
      <c r="H724" s="2" t="s">
        <v>892</v>
      </c>
      <c r="I724" s="2">
        <f>VLOOKUP(H724,[1]Customers!$A:$B,2,FALSE)</f>
        <v>2275</v>
      </c>
      <c r="J724" s="2">
        <v>45807</v>
      </c>
      <c r="K724" s="2" t="s">
        <v>895</v>
      </c>
      <c r="M724" s="2">
        <v>1818.92</v>
      </c>
      <c r="N724" s="3" t="s">
        <v>19</v>
      </c>
    </row>
    <row r="725" spans="1:15" x14ac:dyDescent="0.35">
      <c r="A725" s="2" t="s">
        <v>894</v>
      </c>
      <c r="B725" s="2">
        <v>362.5</v>
      </c>
      <c r="C725" s="2" t="s">
        <v>20</v>
      </c>
      <c r="D725" s="2">
        <v>616</v>
      </c>
      <c r="E725" s="2">
        <v>20020</v>
      </c>
      <c r="F725" s="2">
        <v>616</v>
      </c>
      <c r="G725" s="2">
        <v>298</v>
      </c>
      <c r="H725" s="2" t="s">
        <v>892</v>
      </c>
      <c r="I725" s="2">
        <f>VLOOKUP(H725,[1]Customers!$A:$B,2,FALSE)</f>
        <v>2275</v>
      </c>
      <c r="J725" s="2">
        <v>45807</v>
      </c>
      <c r="K725" s="2" t="s">
        <v>895</v>
      </c>
      <c r="L725" s="2">
        <v>1818.92</v>
      </c>
      <c r="N725" s="3" t="s">
        <v>19</v>
      </c>
    </row>
    <row r="726" spans="1:15" x14ac:dyDescent="0.35">
      <c r="A726" s="2" t="s">
        <v>896</v>
      </c>
      <c r="B726" s="2">
        <v>363</v>
      </c>
      <c r="C726" s="2" t="s">
        <v>16</v>
      </c>
      <c r="D726" s="2">
        <v>968</v>
      </c>
      <c r="E726" s="2">
        <v>20020</v>
      </c>
      <c r="G726" s="2">
        <v>449</v>
      </c>
      <c r="H726" s="2" t="s">
        <v>897</v>
      </c>
      <c r="I726" s="2">
        <f>VLOOKUP(H726,[1]Customers!$A:$B,2,FALSE)</f>
        <v>3398</v>
      </c>
      <c r="J726" s="2">
        <v>45656</v>
      </c>
      <c r="K726" s="2" t="s">
        <v>898</v>
      </c>
      <c r="M726" s="2">
        <v>53129.68</v>
      </c>
      <c r="N726" s="3" t="s">
        <v>19</v>
      </c>
    </row>
    <row r="727" spans="1:15" x14ac:dyDescent="0.35">
      <c r="A727" s="2" t="s">
        <v>896</v>
      </c>
      <c r="B727" s="2">
        <v>363.5</v>
      </c>
      <c r="C727" s="2" t="s">
        <v>20</v>
      </c>
      <c r="D727" s="2">
        <v>616</v>
      </c>
      <c r="E727" s="2">
        <v>20020</v>
      </c>
      <c r="F727" s="2">
        <v>616</v>
      </c>
      <c r="G727" s="2">
        <v>449</v>
      </c>
      <c r="H727" s="2" t="s">
        <v>897</v>
      </c>
      <c r="I727" s="2">
        <f>VLOOKUP(H727,[1]Customers!$A:$B,2,FALSE)</f>
        <v>3398</v>
      </c>
      <c r="J727" s="2">
        <v>45656</v>
      </c>
      <c r="K727" s="2" t="s">
        <v>898</v>
      </c>
      <c r="L727" s="2">
        <v>53129.68</v>
      </c>
      <c r="N727" s="3" t="s">
        <v>19</v>
      </c>
    </row>
    <row r="728" spans="1:15" x14ac:dyDescent="0.35">
      <c r="A728" s="2" t="s">
        <v>899</v>
      </c>
      <c r="B728" s="2">
        <v>364</v>
      </c>
      <c r="C728" s="2" t="s">
        <v>16</v>
      </c>
      <c r="D728" s="2">
        <v>968</v>
      </c>
      <c r="E728" s="2">
        <v>20020</v>
      </c>
      <c r="G728" s="2">
        <v>522</v>
      </c>
      <c r="H728" s="2" t="s">
        <v>897</v>
      </c>
      <c r="I728" s="2">
        <f>VLOOKUP(H728,[1]Customers!$A:$B,2,FALSE)</f>
        <v>3398</v>
      </c>
      <c r="J728" s="2">
        <v>45583</v>
      </c>
      <c r="K728" s="2" t="s">
        <v>900</v>
      </c>
      <c r="M728" s="2">
        <v>60849.66</v>
      </c>
      <c r="N728" s="3" t="s">
        <v>19</v>
      </c>
    </row>
    <row r="729" spans="1:15" x14ac:dyDescent="0.35">
      <c r="A729" s="2" t="s">
        <v>899</v>
      </c>
      <c r="B729" s="2">
        <v>364.5</v>
      </c>
      <c r="C729" s="2" t="s">
        <v>20</v>
      </c>
      <c r="D729" s="2">
        <v>616</v>
      </c>
      <c r="E729" s="2">
        <v>20020</v>
      </c>
      <c r="F729" s="2">
        <v>616</v>
      </c>
      <c r="G729" s="2">
        <v>522</v>
      </c>
      <c r="H729" s="2" t="s">
        <v>897</v>
      </c>
      <c r="I729" s="2">
        <f>VLOOKUP(H729,[1]Customers!$A:$B,2,FALSE)</f>
        <v>3398</v>
      </c>
      <c r="J729" s="2">
        <v>45583</v>
      </c>
      <c r="K729" s="2" t="s">
        <v>900</v>
      </c>
      <c r="L729" s="2">
        <v>60849.66</v>
      </c>
      <c r="N729" s="3" t="s">
        <v>19</v>
      </c>
    </row>
    <row r="730" spans="1:15" x14ac:dyDescent="0.35">
      <c r="A730" s="2" t="s">
        <v>901</v>
      </c>
      <c r="B730" s="2">
        <v>365</v>
      </c>
      <c r="C730" s="2" t="s">
        <v>16</v>
      </c>
      <c r="D730" s="2">
        <v>968</v>
      </c>
      <c r="E730" s="2">
        <v>20020</v>
      </c>
      <c r="G730" s="2">
        <v>831</v>
      </c>
      <c r="H730" s="2" t="s">
        <v>897</v>
      </c>
      <c r="I730" s="2">
        <f>VLOOKUP(H730,[1]Customers!$A:$B,2,FALSE)</f>
        <v>3398</v>
      </c>
      <c r="J730" s="2">
        <v>45274</v>
      </c>
      <c r="K730" s="2" t="s">
        <v>902</v>
      </c>
      <c r="M730" s="2">
        <v>1738.99</v>
      </c>
      <c r="N730" s="3" t="s">
        <v>19</v>
      </c>
      <c r="O730" s="2">
        <v>34212</v>
      </c>
    </row>
    <row r="731" spans="1:15" x14ac:dyDescent="0.35">
      <c r="A731" s="2" t="s">
        <v>901</v>
      </c>
      <c r="B731" s="2">
        <v>365.5</v>
      </c>
      <c r="C731" s="2" t="s">
        <v>20</v>
      </c>
      <c r="D731" s="2">
        <v>616</v>
      </c>
      <c r="E731" s="2">
        <v>20020</v>
      </c>
      <c r="F731" s="2">
        <v>616</v>
      </c>
      <c r="G731" s="2">
        <v>831</v>
      </c>
      <c r="H731" s="2" t="s">
        <v>897</v>
      </c>
      <c r="I731" s="2">
        <f>VLOOKUP(H731,[1]Customers!$A:$B,2,FALSE)</f>
        <v>3398</v>
      </c>
      <c r="J731" s="2">
        <v>45274</v>
      </c>
      <c r="K731" s="2" t="s">
        <v>902</v>
      </c>
      <c r="L731" s="2">
        <v>1738.99</v>
      </c>
      <c r="N731" s="3" t="s">
        <v>19</v>
      </c>
      <c r="O731" s="2">
        <v>34212</v>
      </c>
    </row>
    <row r="732" spans="1:15" x14ac:dyDescent="0.35">
      <c r="A732" s="2" t="s">
        <v>903</v>
      </c>
      <c r="B732" s="2">
        <v>366</v>
      </c>
      <c r="C732" s="2" t="s">
        <v>16</v>
      </c>
      <c r="D732" s="2">
        <v>968</v>
      </c>
      <c r="E732" s="2">
        <v>20020</v>
      </c>
      <c r="G732" s="2">
        <v>977</v>
      </c>
      <c r="H732" s="2" t="s">
        <v>904</v>
      </c>
      <c r="I732" s="2">
        <f>VLOOKUP(H732,[1]Customers!$A:$B,2,FALSE)</f>
        <v>3399</v>
      </c>
      <c r="J732" s="2">
        <v>45128</v>
      </c>
      <c r="M732" s="2">
        <v>6308.4</v>
      </c>
      <c r="N732" s="3" t="s">
        <v>19</v>
      </c>
    </row>
    <row r="733" spans="1:15" x14ac:dyDescent="0.35">
      <c r="A733" s="2" t="s">
        <v>903</v>
      </c>
      <c r="B733" s="2">
        <v>366.5</v>
      </c>
      <c r="C733" s="2" t="s">
        <v>20</v>
      </c>
      <c r="D733" s="2">
        <v>616</v>
      </c>
      <c r="E733" s="2">
        <v>20020</v>
      </c>
      <c r="F733" s="2">
        <v>616</v>
      </c>
      <c r="G733" s="2">
        <v>977</v>
      </c>
      <c r="H733" s="2" t="s">
        <v>904</v>
      </c>
      <c r="I733" s="2">
        <f>VLOOKUP(H733,[1]Customers!$A:$B,2,FALSE)</f>
        <v>3399</v>
      </c>
      <c r="J733" s="2">
        <v>45128</v>
      </c>
      <c r="L733" s="2">
        <v>6308.4</v>
      </c>
      <c r="N733" s="3" t="s">
        <v>19</v>
      </c>
    </row>
    <row r="734" spans="1:15" x14ac:dyDescent="0.35">
      <c r="A734" s="2" t="s">
        <v>905</v>
      </c>
      <c r="B734" s="2">
        <v>367</v>
      </c>
      <c r="C734" s="2" t="s">
        <v>16</v>
      </c>
      <c r="D734" s="2">
        <v>968</v>
      </c>
      <c r="E734" s="2">
        <v>20020</v>
      </c>
      <c r="G734" s="2">
        <v>385</v>
      </c>
      <c r="H734" s="2" t="s">
        <v>906</v>
      </c>
      <c r="I734" s="2">
        <f>VLOOKUP(H734,[1]Customers!$A:$B,2,FALSE)</f>
        <v>2166</v>
      </c>
      <c r="J734" s="2">
        <v>45720</v>
      </c>
      <c r="K734" s="2" t="s">
        <v>907</v>
      </c>
      <c r="M734" s="2">
        <v>45000</v>
      </c>
      <c r="N734" s="3" t="s">
        <v>19</v>
      </c>
    </row>
    <row r="735" spans="1:15" x14ac:dyDescent="0.35">
      <c r="A735" s="2" t="s">
        <v>905</v>
      </c>
      <c r="B735" s="2">
        <v>367.5</v>
      </c>
      <c r="C735" s="2" t="s">
        <v>20</v>
      </c>
      <c r="D735" s="2">
        <v>616</v>
      </c>
      <c r="E735" s="2">
        <v>20020</v>
      </c>
      <c r="F735" s="2">
        <v>616</v>
      </c>
      <c r="G735" s="2">
        <v>385</v>
      </c>
      <c r="H735" s="2" t="s">
        <v>906</v>
      </c>
      <c r="I735" s="2">
        <f>VLOOKUP(H735,[1]Customers!$A:$B,2,FALSE)</f>
        <v>2166</v>
      </c>
      <c r="J735" s="2">
        <v>45720</v>
      </c>
      <c r="K735" s="2" t="s">
        <v>907</v>
      </c>
      <c r="L735" s="2">
        <v>45000</v>
      </c>
      <c r="N735" s="3" t="s">
        <v>19</v>
      </c>
    </row>
    <row r="736" spans="1:15" x14ac:dyDescent="0.35">
      <c r="A736" s="2" t="s">
        <v>908</v>
      </c>
      <c r="B736" s="2">
        <v>368</v>
      </c>
      <c r="C736" s="2" t="s">
        <v>16</v>
      </c>
      <c r="D736" s="2">
        <v>968</v>
      </c>
      <c r="E736" s="2">
        <v>20020</v>
      </c>
      <c r="G736" s="2">
        <v>287</v>
      </c>
      <c r="H736" s="2" t="s">
        <v>909</v>
      </c>
      <c r="I736" s="2">
        <f>VLOOKUP(H736,[1]Customers!$A:$B,2,FALSE)</f>
        <v>2553</v>
      </c>
      <c r="J736" s="2">
        <v>45818</v>
      </c>
      <c r="K736" s="2" t="s">
        <v>910</v>
      </c>
      <c r="M736" s="2">
        <v>14635.6</v>
      </c>
      <c r="N736" s="3" t="s">
        <v>19</v>
      </c>
    </row>
    <row r="737" spans="1:15" x14ac:dyDescent="0.35">
      <c r="A737" s="2" t="s">
        <v>908</v>
      </c>
      <c r="B737" s="2">
        <v>368.5</v>
      </c>
      <c r="C737" s="2" t="s">
        <v>20</v>
      </c>
      <c r="D737" s="2">
        <v>616</v>
      </c>
      <c r="E737" s="2">
        <v>20020</v>
      </c>
      <c r="F737" s="2">
        <v>616</v>
      </c>
      <c r="G737" s="2">
        <v>287</v>
      </c>
      <c r="H737" s="2" t="s">
        <v>909</v>
      </c>
      <c r="I737" s="2">
        <f>VLOOKUP(H737,[1]Customers!$A:$B,2,FALSE)</f>
        <v>2553</v>
      </c>
      <c r="J737" s="2">
        <v>45818</v>
      </c>
      <c r="K737" s="2" t="s">
        <v>910</v>
      </c>
      <c r="L737" s="2">
        <v>14635.6</v>
      </c>
      <c r="N737" s="3" t="s">
        <v>19</v>
      </c>
    </row>
    <row r="738" spans="1:15" x14ac:dyDescent="0.35">
      <c r="A738" s="2" t="s">
        <v>911</v>
      </c>
      <c r="B738" s="2">
        <v>369</v>
      </c>
      <c r="C738" s="2" t="s">
        <v>16</v>
      </c>
      <c r="D738" s="2">
        <v>968</v>
      </c>
      <c r="E738" s="2">
        <v>20020</v>
      </c>
      <c r="G738" s="2">
        <v>284</v>
      </c>
      <c r="H738" s="2" t="s">
        <v>912</v>
      </c>
      <c r="I738" s="2">
        <f>VLOOKUP(H738,[1]Customers!$A:$B,2,FALSE)</f>
        <v>2567</v>
      </c>
      <c r="J738" s="2">
        <v>45821</v>
      </c>
      <c r="K738" s="2" t="s">
        <v>913</v>
      </c>
      <c r="M738" s="2">
        <v>10561.08</v>
      </c>
      <c r="N738" s="3" t="s">
        <v>19</v>
      </c>
    </row>
    <row r="739" spans="1:15" x14ac:dyDescent="0.35">
      <c r="A739" s="2" t="s">
        <v>911</v>
      </c>
      <c r="B739" s="2">
        <v>369.5</v>
      </c>
      <c r="C739" s="2" t="s">
        <v>20</v>
      </c>
      <c r="D739" s="2">
        <v>616</v>
      </c>
      <c r="E739" s="2">
        <v>20020</v>
      </c>
      <c r="F739" s="2">
        <v>616</v>
      </c>
      <c r="G739" s="2">
        <v>284</v>
      </c>
      <c r="H739" s="2" t="s">
        <v>912</v>
      </c>
      <c r="I739" s="2">
        <f>VLOOKUP(H739,[1]Customers!$A:$B,2,FALSE)</f>
        <v>2567</v>
      </c>
      <c r="J739" s="2">
        <v>45821</v>
      </c>
      <c r="K739" s="2" t="s">
        <v>913</v>
      </c>
      <c r="L739" s="2">
        <v>10561.08</v>
      </c>
      <c r="N739" s="3" t="s">
        <v>19</v>
      </c>
    </row>
    <row r="740" spans="1:15" x14ac:dyDescent="0.35">
      <c r="A740" s="2" t="s">
        <v>914</v>
      </c>
      <c r="B740" s="2">
        <v>370</v>
      </c>
      <c r="C740" s="2" t="s">
        <v>16</v>
      </c>
      <c r="D740" s="2">
        <v>968</v>
      </c>
      <c r="E740" s="2">
        <v>20020</v>
      </c>
      <c r="G740" s="2">
        <v>600</v>
      </c>
      <c r="H740" s="2" t="s">
        <v>915</v>
      </c>
      <c r="I740" s="2">
        <f>VLOOKUP(H740,[1]Customers!$A:$B,2,FALSE)</f>
        <v>2712</v>
      </c>
      <c r="J740" s="2">
        <v>45505</v>
      </c>
      <c r="K740" s="2" t="s">
        <v>916</v>
      </c>
      <c r="M740" s="2">
        <v>3357.9</v>
      </c>
      <c r="N740" s="3" t="s">
        <v>19</v>
      </c>
    </row>
    <row r="741" spans="1:15" x14ac:dyDescent="0.35">
      <c r="A741" s="2" t="s">
        <v>914</v>
      </c>
      <c r="B741" s="2">
        <v>370.5</v>
      </c>
      <c r="C741" s="2" t="s">
        <v>20</v>
      </c>
      <c r="D741" s="2">
        <v>616</v>
      </c>
      <c r="E741" s="2">
        <v>20020</v>
      </c>
      <c r="F741" s="2">
        <v>616</v>
      </c>
      <c r="G741" s="2">
        <v>600</v>
      </c>
      <c r="H741" s="2" t="s">
        <v>915</v>
      </c>
      <c r="I741" s="2">
        <f>VLOOKUP(H741,[1]Customers!$A:$B,2,FALSE)</f>
        <v>2712</v>
      </c>
      <c r="J741" s="2">
        <v>45505</v>
      </c>
      <c r="K741" s="2" t="s">
        <v>916</v>
      </c>
      <c r="L741" s="2">
        <v>3357.9</v>
      </c>
      <c r="N741" s="3" t="s">
        <v>19</v>
      </c>
    </row>
    <row r="742" spans="1:15" x14ac:dyDescent="0.35">
      <c r="A742" s="2" t="s">
        <v>917</v>
      </c>
      <c r="B742" s="2">
        <v>371</v>
      </c>
      <c r="C742" s="2" t="s">
        <v>16</v>
      </c>
      <c r="D742" s="2">
        <v>968</v>
      </c>
      <c r="E742" s="2">
        <v>20020</v>
      </c>
      <c r="G742" s="2">
        <v>693</v>
      </c>
      <c r="H742" s="2" t="s">
        <v>918</v>
      </c>
      <c r="I742" s="2">
        <v>2474</v>
      </c>
      <c r="J742" s="2">
        <v>45412</v>
      </c>
      <c r="K742" s="2" t="s">
        <v>919</v>
      </c>
      <c r="M742" s="2">
        <v>0.01</v>
      </c>
      <c r="N742" s="3" t="s">
        <v>19</v>
      </c>
      <c r="O742" s="2">
        <v>36165</v>
      </c>
    </row>
    <row r="743" spans="1:15" x14ac:dyDescent="0.35">
      <c r="A743" s="2" t="s">
        <v>917</v>
      </c>
      <c r="B743" s="2">
        <v>371.5</v>
      </c>
      <c r="C743" s="2" t="s">
        <v>20</v>
      </c>
      <c r="D743" s="2">
        <v>616</v>
      </c>
      <c r="E743" s="2">
        <v>20020</v>
      </c>
      <c r="F743" s="2">
        <v>616</v>
      </c>
      <c r="G743" s="2">
        <v>693</v>
      </c>
      <c r="H743" s="2" t="s">
        <v>918</v>
      </c>
      <c r="I743" s="2">
        <v>2474</v>
      </c>
      <c r="J743" s="2">
        <v>45412</v>
      </c>
      <c r="K743" s="2" t="s">
        <v>919</v>
      </c>
      <c r="L743" s="2">
        <v>0.01</v>
      </c>
      <c r="N743" s="3" t="s">
        <v>19</v>
      </c>
      <c r="O743" s="2">
        <v>36165</v>
      </c>
    </row>
    <row r="744" spans="1:15" ht="14.5" customHeight="1" x14ac:dyDescent="0.35">
      <c r="A744" s="2" t="s">
        <v>920</v>
      </c>
      <c r="B744" s="2">
        <v>372</v>
      </c>
      <c r="C744" s="2" t="s">
        <v>16</v>
      </c>
      <c r="D744" s="2">
        <v>968</v>
      </c>
      <c r="E744" s="2">
        <v>20020</v>
      </c>
      <c r="G744" s="2">
        <v>337</v>
      </c>
      <c r="H744" s="2" t="s">
        <v>921</v>
      </c>
      <c r="I744" s="2">
        <v>2491</v>
      </c>
      <c r="J744" s="2">
        <v>45768</v>
      </c>
      <c r="K744" s="2" t="s">
        <v>922</v>
      </c>
      <c r="M744" s="2">
        <v>573.48</v>
      </c>
      <c r="N744" s="3" t="s">
        <v>19</v>
      </c>
    </row>
    <row r="745" spans="1:15" x14ac:dyDescent="0.35">
      <c r="A745" s="2" t="s">
        <v>920</v>
      </c>
      <c r="B745" s="2">
        <v>372.5</v>
      </c>
      <c r="C745" s="2" t="s">
        <v>20</v>
      </c>
      <c r="D745" s="2">
        <v>616</v>
      </c>
      <c r="E745" s="2">
        <v>20020</v>
      </c>
      <c r="F745" s="2">
        <v>616</v>
      </c>
      <c r="G745" s="2">
        <v>337</v>
      </c>
      <c r="H745" s="2" t="s">
        <v>921</v>
      </c>
      <c r="I745" s="2">
        <v>2491</v>
      </c>
      <c r="J745" s="2">
        <v>45768</v>
      </c>
      <c r="K745" s="2" t="s">
        <v>922</v>
      </c>
      <c r="L745" s="2">
        <v>573.48</v>
      </c>
      <c r="N745" s="3" t="s">
        <v>19</v>
      </c>
    </row>
    <row r="746" spans="1:15" x14ac:dyDescent="0.35">
      <c r="A746" s="2" t="s">
        <v>923</v>
      </c>
      <c r="B746" s="2">
        <v>373</v>
      </c>
      <c r="C746" s="2" t="s">
        <v>16</v>
      </c>
      <c r="D746" s="2">
        <v>968</v>
      </c>
      <c r="E746" s="2">
        <v>20020</v>
      </c>
      <c r="G746" s="2">
        <v>449</v>
      </c>
      <c r="H746" s="2" t="s">
        <v>921</v>
      </c>
      <c r="I746" s="2">
        <v>2491</v>
      </c>
      <c r="J746" s="2">
        <v>45656</v>
      </c>
      <c r="K746" s="2" t="s">
        <v>924</v>
      </c>
      <c r="M746" s="2">
        <v>113002.9</v>
      </c>
      <c r="N746" s="3" t="s">
        <v>19</v>
      </c>
    </row>
    <row r="747" spans="1:15" x14ac:dyDescent="0.35">
      <c r="A747" s="2" t="s">
        <v>923</v>
      </c>
      <c r="B747" s="2">
        <v>373.5</v>
      </c>
      <c r="C747" s="2" t="s">
        <v>20</v>
      </c>
      <c r="D747" s="2">
        <v>616</v>
      </c>
      <c r="E747" s="2">
        <v>20020</v>
      </c>
      <c r="F747" s="2">
        <v>616</v>
      </c>
      <c r="G747" s="2">
        <v>449</v>
      </c>
      <c r="H747" s="2" t="s">
        <v>921</v>
      </c>
      <c r="I747" s="2">
        <v>2491</v>
      </c>
      <c r="J747" s="2">
        <v>45656</v>
      </c>
      <c r="K747" s="2" t="s">
        <v>924</v>
      </c>
      <c r="L747" s="2">
        <v>113002.9</v>
      </c>
      <c r="N747" s="3" t="s">
        <v>19</v>
      </c>
    </row>
    <row r="748" spans="1:15" x14ac:dyDescent="0.35">
      <c r="A748" s="2" t="s">
        <v>925</v>
      </c>
      <c r="B748" s="2">
        <v>374</v>
      </c>
      <c r="C748" s="2" t="s">
        <v>16</v>
      </c>
      <c r="D748" s="2">
        <v>968</v>
      </c>
      <c r="E748" s="2">
        <v>20020</v>
      </c>
      <c r="G748" s="2">
        <v>284</v>
      </c>
      <c r="H748" s="2" t="s">
        <v>921</v>
      </c>
      <c r="I748" s="2">
        <v>2491</v>
      </c>
      <c r="J748" s="2">
        <v>45821</v>
      </c>
      <c r="K748" s="2" t="s">
        <v>926</v>
      </c>
      <c r="M748" s="2">
        <v>214885.99</v>
      </c>
      <c r="N748" s="3" t="s">
        <v>19</v>
      </c>
    </row>
    <row r="749" spans="1:15" x14ac:dyDescent="0.35">
      <c r="A749" s="2" t="s">
        <v>925</v>
      </c>
      <c r="B749" s="2">
        <v>374.5</v>
      </c>
      <c r="C749" s="2" t="s">
        <v>20</v>
      </c>
      <c r="D749" s="2">
        <v>616</v>
      </c>
      <c r="E749" s="2">
        <v>20020</v>
      </c>
      <c r="F749" s="2">
        <v>616</v>
      </c>
      <c r="G749" s="2">
        <v>284</v>
      </c>
      <c r="H749" s="2" t="s">
        <v>921</v>
      </c>
      <c r="I749" s="2">
        <v>2491</v>
      </c>
      <c r="J749" s="2">
        <v>45821</v>
      </c>
      <c r="K749" s="2" t="s">
        <v>926</v>
      </c>
      <c r="L749" s="2">
        <v>214885.99</v>
      </c>
      <c r="N749" s="3" t="s">
        <v>19</v>
      </c>
    </row>
    <row r="750" spans="1:15" x14ac:dyDescent="0.35">
      <c r="A750" s="2" t="s">
        <v>927</v>
      </c>
      <c r="B750" s="2">
        <v>375</v>
      </c>
      <c r="C750" s="2" t="s">
        <v>16</v>
      </c>
      <c r="D750" s="2">
        <v>968</v>
      </c>
      <c r="E750" s="2">
        <v>20020</v>
      </c>
      <c r="G750" s="2">
        <v>452</v>
      </c>
      <c r="H750" s="2" t="s">
        <v>921</v>
      </c>
      <c r="I750" s="2">
        <v>2491</v>
      </c>
      <c r="J750" s="2">
        <v>45653</v>
      </c>
      <c r="K750" s="2" t="s">
        <v>928</v>
      </c>
      <c r="M750" s="2">
        <v>5734.8</v>
      </c>
      <c r="N750" s="3" t="s">
        <v>19</v>
      </c>
    </row>
    <row r="751" spans="1:15" x14ac:dyDescent="0.35">
      <c r="A751" s="2" t="s">
        <v>927</v>
      </c>
      <c r="B751" s="2">
        <v>375.5</v>
      </c>
      <c r="C751" s="2" t="s">
        <v>20</v>
      </c>
      <c r="D751" s="2">
        <v>616</v>
      </c>
      <c r="E751" s="2">
        <v>20020</v>
      </c>
      <c r="F751" s="2">
        <v>616</v>
      </c>
      <c r="G751" s="2">
        <v>452</v>
      </c>
      <c r="H751" s="2" t="s">
        <v>921</v>
      </c>
      <c r="I751" s="2">
        <v>2491</v>
      </c>
      <c r="J751" s="2">
        <v>45653</v>
      </c>
      <c r="K751" s="2" t="s">
        <v>928</v>
      </c>
      <c r="L751" s="2">
        <v>5734.8</v>
      </c>
      <c r="N751" s="3" t="s">
        <v>19</v>
      </c>
    </row>
    <row r="752" spans="1:15" x14ac:dyDescent="0.35">
      <c r="A752" s="2" t="s">
        <v>929</v>
      </c>
      <c r="B752" s="2">
        <v>376</v>
      </c>
      <c r="C752" s="2" t="s">
        <v>16</v>
      </c>
      <c r="D752" s="2">
        <v>968</v>
      </c>
      <c r="E752" s="2">
        <v>20020</v>
      </c>
      <c r="G752" s="2">
        <v>615</v>
      </c>
      <c r="H752" s="2" t="s">
        <v>921</v>
      </c>
      <c r="I752" s="2">
        <v>2491</v>
      </c>
      <c r="J752" s="2">
        <v>45490</v>
      </c>
      <c r="K752" s="2" t="s">
        <v>930</v>
      </c>
      <c r="M752" s="2">
        <v>2062.13</v>
      </c>
      <c r="N752" s="3" t="s">
        <v>19</v>
      </c>
    </row>
    <row r="753" spans="1:15" x14ac:dyDescent="0.35">
      <c r="A753" s="2" t="s">
        <v>929</v>
      </c>
      <c r="B753" s="2">
        <v>376.5</v>
      </c>
      <c r="C753" s="2" t="s">
        <v>20</v>
      </c>
      <c r="D753" s="2">
        <v>616</v>
      </c>
      <c r="E753" s="2">
        <v>20020</v>
      </c>
      <c r="F753" s="2">
        <v>616</v>
      </c>
      <c r="G753" s="2">
        <v>615</v>
      </c>
      <c r="H753" s="2" t="s">
        <v>921</v>
      </c>
      <c r="I753" s="2">
        <v>2491</v>
      </c>
      <c r="J753" s="2">
        <v>45490</v>
      </c>
      <c r="K753" s="2" t="s">
        <v>930</v>
      </c>
      <c r="L753" s="2">
        <v>2062.13</v>
      </c>
      <c r="N753" s="3" t="s">
        <v>19</v>
      </c>
    </row>
    <row r="754" spans="1:15" x14ac:dyDescent="0.35">
      <c r="A754" s="2" t="s">
        <v>931</v>
      </c>
      <c r="B754" s="2">
        <v>377</v>
      </c>
      <c r="C754" s="2" t="s">
        <v>16</v>
      </c>
      <c r="D754" s="2">
        <v>968</v>
      </c>
      <c r="E754" s="2">
        <v>20020</v>
      </c>
      <c r="G754" s="2">
        <v>601</v>
      </c>
      <c r="H754" s="2" t="s">
        <v>932</v>
      </c>
      <c r="I754" s="2">
        <f>VLOOKUP(H754,[1]Customers!$A:$B,2,FALSE)</f>
        <v>3268</v>
      </c>
      <c r="J754" s="2">
        <v>45504</v>
      </c>
      <c r="M754" s="2">
        <v>44795.55</v>
      </c>
      <c r="N754" s="3" t="s">
        <v>19</v>
      </c>
    </row>
    <row r="755" spans="1:15" x14ac:dyDescent="0.35">
      <c r="A755" s="2" t="s">
        <v>931</v>
      </c>
      <c r="B755" s="2">
        <v>377.5</v>
      </c>
      <c r="C755" s="2" t="s">
        <v>20</v>
      </c>
      <c r="D755" s="2">
        <v>616</v>
      </c>
      <c r="E755" s="2">
        <v>20020</v>
      </c>
      <c r="F755" s="2">
        <v>616</v>
      </c>
      <c r="G755" s="2">
        <v>601</v>
      </c>
      <c r="H755" s="2" t="s">
        <v>932</v>
      </c>
      <c r="I755" s="2">
        <f>VLOOKUP(H755,[1]Customers!$A:$B,2,FALSE)</f>
        <v>3268</v>
      </c>
      <c r="J755" s="2">
        <v>45504</v>
      </c>
      <c r="L755" s="2">
        <v>44795.55</v>
      </c>
      <c r="N755" s="3" t="s">
        <v>19</v>
      </c>
    </row>
    <row r="756" spans="1:15" x14ac:dyDescent="0.35">
      <c r="A756" s="2" t="s">
        <v>933</v>
      </c>
      <c r="B756" s="2">
        <v>378</v>
      </c>
      <c r="C756" s="2" t="s">
        <v>16</v>
      </c>
      <c r="D756" s="2">
        <v>968</v>
      </c>
      <c r="E756" s="2">
        <v>20020</v>
      </c>
      <c r="G756" s="2">
        <v>768</v>
      </c>
      <c r="H756" s="2" t="s">
        <v>934</v>
      </c>
      <c r="I756" s="2">
        <f>VLOOKUP(H756,[1]Customers!$A:$B,2,FALSE)</f>
        <v>3400</v>
      </c>
      <c r="J756" s="2">
        <v>45337</v>
      </c>
      <c r="M756" s="2">
        <v>62336.66</v>
      </c>
      <c r="N756" s="3" t="s">
        <v>19</v>
      </c>
      <c r="O756" s="2">
        <v>35526</v>
      </c>
    </row>
    <row r="757" spans="1:15" x14ac:dyDescent="0.35">
      <c r="A757" s="2" t="s">
        <v>933</v>
      </c>
      <c r="B757" s="2">
        <v>378.5</v>
      </c>
      <c r="C757" s="2" t="s">
        <v>20</v>
      </c>
      <c r="D757" s="2">
        <v>616</v>
      </c>
      <c r="E757" s="2">
        <v>20020</v>
      </c>
      <c r="F757" s="2">
        <v>616</v>
      </c>
      <c r="G757" s="2">
        <v>768</v>
      </c>
      <c r="H757" s="2" t="s">
        <v>934</v>
      </c>
      <c r="I757" s="2">
        <f>VLOOKUP(H757,[1]Customers!$A:$B,2,FALSE)</f>
        <v>3400</v>
      </c>
      <c r="J757" s="2">
        <v>45337</v>
      </c>
      <c r="L757" s="2">
        <v>62336.66</v>
      </c>
      <c r="N757" s="3" t="s">
        <v>19</v>
      </c>
      <c r="O757" s="2">
        <v>35526</v>
      </c>
    </row>
    <row r="758" spans="1:15" x14ac:dyDescent="0.35">
      <c r="A758" s="2" t="s">
        <v>935</v>
      </c>
      <c r="B758" s="2">
        <v>379</v>
      </c>
      <c r="C758" s="2" t="s">
        <v>16</v>
      </c>
      <c r="D758" s="2">
        <v>968</v>
      </c>
      <c r="E758" s="2">
        <v>20020</v>
      </c>
      <c r="G758" s="2">
        <v>630</v>
      </c>
      <c r="H758" s="2" t="s">
        <v>936</v>
      </c>
      <c r="I758" s="2">
        <f>VLOOKUP(H758,[1]Customers!$A:$B,2,FALSE)</f>
        <v>3561</v>
      </c>
      <c r="J758" s="2">
        <v>45475</v>
      </c>
      <c r="K758" s="2" t="s">
        <v>937</v>
      </c>
      <c r="M758" s="2">
        <v>1465.65</v>
      </c>
      <c r="N758" s="3" t="s">
        <v>19</v>
      </c>
      <c r="O758" s="2">
        <v>37135</v>
      </c>
    </row>
    <row r="759" spans="1:15" x14ac:dyDescent="0.35">
      <c r="A759" s="2" t="s">
        <v>935</v>
      </c>
      <c r="B759" s="2">
        <v>379.5</v>
      </c>
      <c r="C759" s="2" t="s">
        <v>20</v>
      </c>
      <c r="D759" s="2">
        <v>616</v>
      </c>
      <c r="E759" s="2">
        <v>20020</v>
      </c>
      <c r="F759" s="2">
        <v>616</v>
      </c>
      <c r="G759" s="2">
        <v>630</v>
      </c>
      <c r="H759" s="2" t="s">
        <v>936</v>
      </c>
      <c r="I759" s="2">
        <f>VLOOKUP(H759,[1]Customers!$A:$B,2,FALSE)</f>
        <v>3561</v>
      </c>
      <c r="J759" s="2">
        <v>45475</v>
      </c>
      <c r="K759" s="2" t="s">
        <v>937</v>
      </c>
      <c r="L759" s="2">
        <v>1465.65</v>
      </c>
      <c r="N759" s="3" t="s">
        <v>19</v>
      </c>
      <c r="O759" s="2">
        <v>37135</v>
      </c>
    </row>
    <row r="760" spans="1:15" x14ac:dyDescent="0.35">
      <c r="A760" s="2" t="s">
        <v>938</v>
      </c>
      <c r="B760" s="2">
        <v>380</v>
      </c>
      <c r="C760" s="2" t="s">
        <v>16</v>
      </c>
      <c r="D760" s="2">
        <v>968</v>
      </c>
      <c r="E760" s="2">
        <v>20020</v>
      </c>
      <c r="G760" s="2">
        <v>334</v>
      </c>
      <c r="H760" s="2" t="s">
        <v>939</v>
      </c>
      <c r="I760" s="2">
        <f>VLOOKUP(H760,[1]Customers!$A:$B,2,FALSE)</f>
        <v>3403</v>
      </c>
      <c r="J760" s="2">
        <v>45771</v>
      </c>
      <c r="K760" s="2" t="s">
        <v>940</v>
      </c>
      <c r="M760" s="2">
        <v>14029.19</v>
      </c>
      <c r="N760" s="3" t="s">
        <v>19</v>
      </c>
      <c r="O760" s="2">
        <v>304</v>
      </c>
    </row>
    <row r="761" spans="1:15" x14ac:dyDescent="0.35">
      <c r="A761" s="2" t="s">
        <v>938</v>
      </c>
      <c r="B761" s="2">
        <v>380.5</v>
      </c>
      <c r="C761" s="2" t="s">
        <v>20</v>
      </c>
      <c r="D761" s="2">
        <v>616</v>
      </c>
      <c r="E761" s="2">
        <v>20020</v>
      </c>
      <c r="F761" s="2">
        <v>616</v>
      </c>
      <c r="G761" s="2">
        <v>334</v>
      </c>
      <c r="H761" s="2" t="s">
        <v>939</v>
      </c>
      <c r="I761" s="2">
        <f>VLOOKUP(H761,[1]Customers!$A:$B,2,FALSE)</f>
        <v>3403</v>
      </c>
      <c r="J761" s="2">
        <v>45771</v>
      </c>
      <c r="K761" s="2" t="s">
        <v>940</v>
      </c>
      <c r="L761" s="2">
        <v>14029.19</v>
      </c>
      <c r="N761" s="3" t="s">
        <v>19</v>
      </c>
      <c r="O761" s="2">
        <v>304</v>
      </c>
    </row>
    <row r="762" spans="1:15" x14ac:dyDescent="0.35">
      <c r="A762" s="2" t="s">
        <v>941</v>
      </c>
      <c r="B762" s="2">
        <v>381</v>
      </c>
      <c r="C762" s="2" t="s">
        <v>16</v>
      </c>
      <c r="D762" s="2">
        <v>968</v>
      </c>
      <c r="E762" s="2">
        <v>20020</v>
      </c>
      <c r="G762" s="2">
        <v>848</v>
      </c>
      <c r="H762" s="2" t="s">
        <v>942</v>
      </c>
      <c r="I762" s="2">
        <f>VLOOKUP(H762,[1]Customers!$A:$B,2,FALSE)</f>
        <v>3543</v>
      </c>
      <c r="J762" s="2">
        <v>45257</v>
      </c>
      <c r="K762" s="2" t="s">
        <v>943</v>
      </c>
      <c r="M762" s="2">
        <v>117734.97</v>
      </c>
      <c r="N762" s="3" t="s">
        <v>19</v>
      </c>
      <c r="O762" s="2">
        <v>35612</v>
      </c>
    </row>
    <row r="763" spans="1:15" x14ac:dyDescent="0.35">
      <c r="A763" s="2" t="s">
        <v>941</v>
      </c>
      <c r="B763" s="2">
        <v>381.5</v>
      </c>
      <c r="C763" s="2" t="s">
        <v>20</v>
      </c>
      <c r="D763" s="2">
        <v>616</v>
      </c>
      <c r="E763" s="2">
        <v>20020</v>
      </c>
      <c r="F763" s="2">
        <v>616</v>
      </c>
      <c r="G763" s="2">
        <v>848</v>
      </c>
      <c r="H763" s="2" t="s">
        <v>942</v>
      </c>
      <c r="I763" s="2">
        <f>VLOOKUP(H763,[1]Customers!$A:$B,2,FALSE)</f>
        <v>3543</v>
      </c>
      <c r="J763" s="2">
        <v>45257</v>
      </c>
      <c r="K763" s="2" t="s">
        <v>943</v>
      </c>
      <c r="L763" s="2">
        <v>117734.97</v>
      </c>
      <c r="N763" s="3" t="s">
        <v>19</v>
      </c>
      <c r="O763" s="2">
        <v>35612</v>
      </c>
    </row>
    <row r="764" spans="1:15" x14ac:dyDescent="0.35">
      <c r="A764" s="2" t="s">
        <v>944</v>
      </c>
      <c r="B764" s="2">
        <v>382</v>
      </c>
      <c r="C764" s="2" t="s">
        <v>16</v>
      </c>
      <c r="D764" s="2">
        <v>968</v>
      </c>
      <c r="E764" s="2">
        <v>20020</v>
      </c>
      <c r="G764" s="2">
        <v>841</v>
      </c>
      <c r="H764" s="2" t="s">
        <v>945</v>
      </c>
      <c r="I764" s="2">
        <f>VLOOKUP(H764,[1]Customers!$A:$B,2,FALSE)</f>
        <v>3404</v>
      </c>
      <c r="J764" s="2">
        <v>45264</v>
      </c>
      <c r="K764" s="2" t="s">
        <v>946</v>
      </c>
      <c r="M764" s="2">
        <v>306.77999999999997</v>
      </c>
      <c r="N764" s="3" t="s">
        <v>19</v>
      </c>
    </row>
    <row r="765" spans="1:15" x14ac:dyDescent="0.35">
      <c r="A765" s="2" t="s">
        <v>944</v>
      </c>
      <c r="B765" s="2">
        <v>382.5</v>
      </c>
      <c r="C765" s="2" t="s">
        <v>20</v>
      </c>
      <c r="D765" s="2">
        <v>616</v>
      </c>
      <c r="E765" s="2">
        <v>20020</v>
      </c>
      <c r="F765" s="2">
        <v>616</v>
      </c>
      <c r="G765" s="2">
        <v>841</v>
      </c>
      <c r="H765" s="2" t="s">
        <v>945</v>
      </c>
      <c r="I765" s="2">
        <f>VLOOKUP(H765,[1]Customers!$A:$B,2,FALSE)</f>
        <v>3404</v>
      </c>
      <c r="J765" s="2">
        <v>45264</v>
      </c>
      <c r="K765" s="2" t="s">
        <v>946</v>
      </c>
      <c r="L765" s="2">
        <v>306.77999999999997</v>
      </c>
      <c r="N765" s="3" t="s">
        <v>19</v>
      </c>
    </row>
    <row r="766" spans="1:15" x14ac:dyDescent="0.35">
      <c r="A766" s="2" t="s">
        <v>947</v>
      </c>
      <c r="B766" s="2">
        <v>383</v>
      </c>
      <c r="C766" s="2" t="s">
        <v>16</v>
      </c>
      <c r="D766" s="2">
        <v>968</v>
      </c>
      <c r="E766" s="2">
        <v>20020</v>
      </c>
      <c r="G766" s="2">
        <v>778</v>
      </c>
      <c r="H766" s="2" t="s">
        <v>945</v>
      </c>
      <c r="I766" s="2">
        <f>VLOOKUP(H766,[1]Customers!$A:$B,2,FALSE)</f>
        <v>3404</v>
      </c>
      <c r="J766" s="2">
        <v>45327</v>
      </c>
      <c r="K766" s="2" t="s">
        <v>946</v>
      </c>
      <c r="M766" s="2">
        <v>138.6</v>
      </c>
      <c r="N766" s="3" t="s">
        <v>19</v>
      </c>
    </row>
    <row r="767" spans="1:15" x14ac:dyDescent="0.35">
      <c r="A767" s="2" t="s">
        <v>947</v>
      </c>
      <c r="B767" s="2">
        <v>383.5</v>
      </c>
      <c r="C767" s="2" t="s">
        <v>20</v>
      </c>
      <c r="D767" s="2">
        <v>616</v>
      </c>
      <c r="E767" s="2">
        <v>20020</v>
      </c>
      <c r="F767" s="2">
        <v>616</v>
      </c>
      <c r="G767" s="2">
        <v>778</v>
      </c>
      <c r="H767" s="2" t="s">
        <v>945</v>
      </c>
      <c r="I767" s="2">
        <f>VLOOKUP(H767,[1]Customers!$A:$B,2,FALSE)</f>
        <v>3404</v>
      </c>
      <c r="J767" s="2">
        <v>45327</v>
      </c>
      <c r="K767" s="2" t="s">
        <v>946</v>
      </c>
      <c r="L767" s="2">
        <v>138.6</v>
      </c>
      <c r="N767" s="3" t="s">
        <v>19</v>
      </c>
    </row>
    <row r="768" spans="1:15" x14ac:dyDescent="0.35">
      <c r="A768" s="2" t="s">
        <v>948</v>
      </c>
      <c r="B768" s="2">
        <v>384</v>
      </c>
      <c r="C768" s="2" t="s">
        <v>16</v>
      </c>
      <c r="D768" s="2">
        <v>968</v>
      </c>
      <c r="E768" s="2">
        <v>20020</v>
      </c>
      <c r="G768" s="2">
        <v>713</v>
      </c>
      <c r="H768" s="2" t="s">
        <v>949</v>
      </c>
      <c r="I768" s="2">
        <f>VLOOKUP(H768,[1]Customers!$A:$B,2,FALSE)</f>
        <v>729</v>
      </c>
      <c r="J768" s="2">
        <v>45392</v>
      </c>
      <c r="K768" s="2" t="s">
        <v>950</v>
      </c>
      <c r="M768" s="2">
        <v>3131.98</v>
      </c>
      <c r="N768" s="3" t="s">
        <v>19</v>
      </c>
      <c r="O768" s="2">
        <v>36508</v>
      </c>
    </row>
    <row r="769" spans="1:15" x14ac:dyDescent="0.35">
      <c r="A769" s="2" t="s">
        <v>948</v>
      </c>
      <c r="B769" s="2">
        <v>384.5</v>
      </c>
      <c r="C769" s="2" t="s">
        <v>20</v>
      </c>
      <c r="D769" s="2">
        <v>616</v>
      </c>
      <c r="E769" s="2">
        <v>20020</v>
      </c>
      <c r="F769" s="2">
        <v>616</v>
      </c>
      <c r="G769" s="2">
        <v>713</v>
      </c>
      <c r="H769" s="2" t="s">
        <v>949</v>
      </c>
      <c r="I769" s="2">
        <f>VLOOKUP(H769,[1]Customers!$A:$B,2,FALSE)</f>
        <v>729</v>
      </c>
      <c r="J769" s="2">
        <v>45392</v>
      </c>
      <c r="K769" s="2" t="s">
        <v>950</v>
      </c>
      <c r="L769" s="2">
        <v>3131.98</v>
      </c>
      <c r="N769" s="3" t="s">
        <v>19</v>
      </c>
      <c r="O769" s="2">
        <v>36508</v>
      </c>
    </row>
    <row r="770" spans="1:15" x14ac:dyDescent="0.35">
      <c r="A770" s="2" t="s">
        <v>951</v>
      </c>
      <c r="B770" s="2">
        <v>385</v>
      </c>
      <c r="C770" s="2" t="s">
        <v>16</v>
      </c>
      <c r="D770" s="2">
        <v>968</v>
      </c>
      <c r="E770" s="2">
        <v>20020</v>
      </c>
      <c r="G770" s="2">
        <v>292</v>
      </c>
      <c r="H770" s="2" t="s">
        <v>952</v>
      </c>
      <c r="I770" s="2">
        <f>VLOOKUP(H770,[1]Customers!$A:$B,2,FALSE)</f>
        <v>733</v>
      </c>
      <c r="J770" s="2">
        <v>45813</v>
      </c>
      <c r="K770" s="2" t="s">
        <v>953</v>
      </c>
      <c r="M770" s="2">
        <v>35241</v>
      </c>
      <c r="N770" s="3" t="s">
        <v>19</v>
      </c>
    </row>
    <row r="771" spans="1:15" x14ac:dyDescent="0.35">
      <c r="A771" s="2" t="s">
        <v>951</v>
      </c>
      <c r="B771" s="2">
        <v>385.5</v>
      </c>
      <c r="C771" s="2" t="s">
        <v>20</v>
      </c>
      <c r="D771" s="2">
        <v>616</v>
      </c>
      <c r="E771" s="2">
        <v>20020</v>
      </c>
      <c r="F771" s="2">
        <v>616</v>
      </c>
      <c r="G771" s="2">
        <v>292</v>
      </c>
      <c r="H771" s="2" t="s">
        <v>952</v>
      </c>
      <c r="I771" s="2">
        <f>VLOOKUP(H771,[1]Customers!$A:$B,2,FALSE)</f>
        <v>733</v>
      </c>
      <c r="J771" s="2">
        <v>45813</v>
      </c>
      <c r="K771" s="2" t="s">
        <v>953</v>
      </c>
      <c r="L771" s="2">
        <v>35241</v>
      </c>
      <c r="N771" s="3" t="s">
        <v>19</v>
      </c>
    </row>
  </sheetData>
  <hyperlinks>
    <hyperlink ref="K2" r:id="rId1" display="vSaleOrder.aspx%3fID=315626" xr:uid="{584866AD-DB4D-43E5-9E71-199001CDF1D4}"/>
    <hyperlink ref="K4" r:id="rId2" display="vSaleOrder.aspx%3fID=288373" xr:uid="{D55F54D1-79B7-482B-85E4-BE8405B70DF2}"/>
    <hyperlink ref="K6" r:id="rId3" display="vSaleOrder.aspx%3fID=" xr:uid="{C09605BC-8FBC-480A-AAF4-99B379BE5892}"/>
    <hyperlink ref="K8" r:id="rId4" display="vSaleOrder.aspx%3fID=319605" xr:uid="{EBBF3586-E583-4A13-9305-FC0FF3D53ACE}"/>
    <hyperlink ref="K10" r:id="rId5" display="vSaleOrder.aspx%3fID=316924" xr:uid="{B7635430-B328-40AC-A7B9-4FE1736DD973}"/>
    <hyperlink ref="K12" r:id="rId6" display="vSaleOrder.aspx%3fID=319293" xr:uid="{9A14BA5E-C9CB-46A3-AD50-F48FF1A143AF}"/>
    <hyperlink ref="K14" r:id="rId7" display="vSaleOrder.aspx%3fID=285102" xr:uid="{C0C77EDD-82B8-480D-81A5-D879EA2A5473}"/>
    <hyperlink ref="K16" r:id="rId8" display="vSaleOrder.aspx%3fID=282797" xr:uid="{A02F0423-03B2-4568-9878-E56590F7BD97}"/>
    <hyperlink ref="K18" r:id="rId9" display="vSaleOrder.aspx%3fID=282797" xr:uid="{E3DE7FB3-B6FE-47B1-A422-B02F2AB81F20}"/>
    <hyperlink ref="K20" r:id="rId10" display="vSaleOrder.aspx%3fID=318258" xr:uid="{9DF22992-BA33-46FC-B1B5-02F6D3BF063E}"/>
    <hyperlink ref="K22" r:id="rId11" display="vSaleOrder.aspx%3fID=292661" xr:uid="{5863724A-95A6-4D83-BE44-4E31F73BDFBD}"/>
    <hyperlink ref="K24" r:id="rId12" display="vSaleOrder.aspx%3fID=314305" xr:uid="{6CFBCF01-6BC6-40EE-ABDC-30904B3AE9BF}"/>
    <hyperlink ref="K26" r:id="rId13" display="vSaleOrder.aspx%3fID=314012" xr:uid="{C70629B9-C3D0-44E0-B74A-2C3BFF1453CB}"/>
    <hyperlink ref="K28" r:id="rId14" display="vSaleOrder.aspx%3fID=296419" xr:uid="{1F1CB344-33B4-432B-BED8-DC3E7BA4C077}"/>
    <hyperlink ref="K30" r:id="rId15" display="vSaleOrder.aspx%3fID=288401" xr:uid="{7181FA61-E01E-4024-B3E5-794DE0B57D79}"/>
    <hyperlink ref="K32" r:id="rId16" display="vSaleOrder.aspx%3fID=314050" xr:uid="{728F7609-EAD6-4D63-8183-1D0946A06A17}"/>
    <hyperlink ref="K34" r:id="rId17" display="vSaleOrder.aspx%3fID=307004" xr:uid="{43DEB867-8DCE-4D26-A12B-442BE38276A0}"/>
    <hyperlink ref="K36" r:id="rId18" display="vSaleOrder.aspx%3fID=316163" xr:uid="{1FDF7CB9-32B0-4F55-B087-B5E4F1096E2C}"/>
    <hyperlink ref="K38" r:id="rId19" display="vSaleOrder.aspx%3fID=315642" xr:uid="{5B27CD8F-A797-4572-9DFC-1D4DECA1EA0D}"/>
    <hyperlink ref="K40" r:id="rId20" display="vSaleOrder.aspx%3fID=318022" xr:uid="{0E6FAC0F-75EB-4898-91A4-80F3A1E0B461}"/>
    <hyperlink ref="K42" r:id="rId21" display="vSaleOrder.aspx%3fID=314306" xr:uid="{A2995EDF-631F-4569-92F6-1F5487C5EACA}"/>
    <hyperlink ref="K44" r:id="rId22" display="vSaleOrder.aspx%3fID=307409" xr:uid="{03E75F94-4F29-42B9-AE24-F642CC71CE6F}"/>
    <hyperlink ref="K46" r:id="rId23" display="vSaleOrder.aspx%3fID=314240" xr:uid="{076B28BB-AC72-40DA-AE71-7B055D5EFC38}"/>
    <hyperlink ref="K48" r:id="rId24" display="vSaleOrder.aspx%3fID=307596" xr:uid="{997E25DA-F132-4F2F-8895-7FC26C794A48}"/>
    <hyperlink ref="K50" r:id="rId25" display="vSaleOrder.aspx%3fID=261545" xr:uid="{163F5E30-C1C5-4CA1-9B85-0A9F0CD6357C}"/>
    <hyperlink ref="K52" r:id="rId26" display="vSaleOrder.aspx%3fID=" xr:uid="{02A806EF-35F3-4911-9B10-38DCC90040A1}"/>
    <hyperlink ref="K54" r:id="rId27" display="vSaleOrder.aspx%3fID=318280" xr:uid="{E4B36267-6C43-47E9-AEC2-452CE66A5418}"/>
    <hyperlink ref="K56" r:id="rId28" display="vSaleOrder.aspx%3fID=314557" xr:uid="{3CCDC6D3-3FC6-4A19-8756-46B878B05AAA}"/>
    <hyperlink ref="K58" r:id="rId29" display="vSaleOrder.aspx%3fID=314559" xr:uid="{E24145D9-CE63-458F-877C-7B83BAB8D20C}"/>
    <hyperlink ref="K60" r:id="rId30" display="vSaleOrder.aspx%3fID=316916" xr:uid="{E5B2C962-571B-411D-8DDB-02273E542F69}"/>
    <hyperlink ref="K62" r:id="rId31" display="vSaleOrder.aspx%3fID=268745" xr:uid="{B0394372-BCAA-4858-BA64-8E053D8B3744}"/>
    <hyperlink ref="K64" r:id="rId32" display="vSaleOrder.aspx%3fID=" xr:uid="{798625C6-7DFD-4361-BC83-B47500566CE2}"/>
    <hyperlink ref="K68" r:id="rId33" display="vSaleOrder.aspx%3fID=272461" xr:uid="{867A8597-5367-405E-AE28-89BC9D2615C1}"/>
    <hyperlink ref="K70" r:id="rId34" display="vSaleOrder.aspx%3fID=" xr:uid="{CB68F950-2286-4E44-9915-9009185210AA}"/>
    <hyperlink ref="K72" r:id="rId35" display="vSaleOrder.aspx%3fID=297366" xr:uid="{3359498C-95AF-4B1F-B14C-5398C2303821}"/>
    <hyperlink ref="K74" r:id="rId36" display="vSaleOrder.aspx%3fID=288448" xr:uid="{110EC7F7-F06F-4884-8B18-E5620E0E6FCC}"/>
    <hyperlink ref="K76" r:id="rId37" display="vSaleOrder.aspx%3fID=313893" xr:uid="{BA1D1968-E31B-477E-9F4F-7ACDCA5498D9}"/>
    <hyperlink ref="K78" r:id="rId38" display="vSaleOrder.aspx%3fID=318276" xr:uid="{8AD7964D-70D4-45C8-ADF2-28676E93452B}"/>
    <hyperlink ref="K80" r:id="rId39" display="vSaleOrder.aspx%3fID=295712" xr:uid="{91D2D277-7639-49F7-961F-B64889AAB69B}"/>
    <hyperlink ref="K82" r:id="rId40" display="vSaleOrder.aspx%3fID=295712" xr:uid="{34E0E3C3-2D9A-4C29-8DFB-89A4DF85FD24}"/>
    <hyperlink ref="K84" r:id="rId41" display="vSaleOrder.aspx%3fID=314261" xr:uid="{D984AC28-054C-4ABC-A36F-CC6FA0F47C63}"/>
    <hyperlink ref="K86" r:id="rId42" display="vSaleOrder.aspx%3fID=314264" xr:uid="{162FEDB6-9F0E-4E31-A554-8C9533E781BF}"/>
    <hyperlink ref="K88" r:id="rId43" display="vSaleOrder.aspx%3fID=277937" xr:uid="{4445F42E-E371-4905-B718-00D3CE539596}"/>
    <hyperlink ref="K90" r:id="rId44" display="vSaleOrder.aspx%3fID=277937" xr:uid="{1566BC76-EF6A-4068-A3E7-987E12E5FF8B}"/>
    <hyperlink ref="K92" r:id="rId45" display="vSaleOrder.aspx%3fID=277336" xr:uid="{427A343E-A261-4BB4-B031-EA2784D8467F}"/>
    <hyperlink ref="K94" r:id="rId46" display="vSaleOrder.aspx%3fID=313886" xr:uid="{7300B135-90FA-4B5E-86BF-3898BB861A71}"/>
    <hyperlink ref="K96" r:id="rId47" display="vSaleOrder.aspx%3fID=318128" xr:uid="{4CC9F42D-FC1F-4CCC-BB10-51CC61FCF364}"/>
    <hyperlink ref="K98" r:id="rId48" display="vSaleOrder.aspx%3fID=295777" xr:uid="{51284CE9-5F71-4E70-8D58-19EC97D7F4B5}"/>
    <hyperlink ref="K100" r:id="rId49" display="vSaleOrder.aspx%3fID=295777" xr:uid="{3C7E9B08-E938-4A02-A436-312F07500297}"/>
    <hyperlink ref="K102" r:id="rId50" display="vSaleOrder.aspx%3fID=295777" xr:uid="{47D81734-AE0C-433D-8A5E-F1EB1870DF5B}"/>
    <hyperlink ref="K104" r:id="rId51" display="vSaleOrder.aspx%3fID=250544" xr:uid="{A38A6B57-BD87-449F-8E8D-5E7E23FA075E}"/>
    <hyperlink ref="K106" r:id="rId52" display="vSaleOrder.aspx%3fID=314269" xr:uid="{E7353E19-51F1-4B75-9F25-E6C80839B3A4}"/>
    <hyperlink ref="K108" r:id="rId53" display="vSaleOrder.aspx%3fID=286505" xr:uid="{E0FAAC54-7698-4A6C-B434-4D72439D40CF}"/>
    <hyperlink ref="K110" r:id="rId54" display="vSaleOrder.aspx%3fID=314290" xr:uid="{93E0C9A9-E426-4E41-BEBD-8B2984B255CF}"/>
    <hyperlink ref="K112" r:id="rId55" display="vSaleOrder.aspx%3fID=314271" xr:uid="{287FEA24-E177-40F0-9760-0E8FE6AA85BE}"/>
    <hyperlink ref="K114" r:id="rId56" display="vSaleOrder.aspx%3fID=288348" xr:uid="{DCA98C1A-C9CA-4DFF-AEBC-7876AD961D8F}"/>
    <hyperlink ref="K116" r:id="rId57" display="vSaleOrder.aspx%3fID=314270" xr:uid="{1D090501-7259-46A5-B4E3-43A5F0D359CF}"/>
    <hyperlink ref="K118" r:id="rId58" display="vSaleOrder.aspx%3fID=266371" xr:uid="{CF393F75-26A7-4299-8429-1A85C296DB49}"/>
    <hyperlink ref="K120" r:id="rId59" display="vSaleOrder.aspx%3fID=243141" xr:uid="{96F4AF10-BCAB-4F5B-A92D-29C0E1A3C79E}"/>
    <hyperlink ref="K122" r:id="rId60" display="vSaleOrder.aspx%3fID=" xr:uid="{177B7371-F784-43C0-B385-FBE8FB23EFD8}"/>
    <hyperlink ref="K124" r:id="rId61" display="vSaleOrder.aspx%3fID=280293" xr:uid="{40378D5D-69A0-40C7-BC93-6B7C7AF1D1B0}"/>
    <hyperlink ref="K126" r:id="rId62" display="vSaleOrder.aspx%3fID=294193" xr:uid="{8BB48681-D5CC-4A0E-93ED-E91141F14716}"/>
    <hyperlink ref="K128" r:id="rId63" display="vSaleOrder.aspx%3fID=290226" xr:uid="{A7883DB9-9D18-4F59-BF31-E0E7B4412785}"/>
    <hyperlink ref="K130" r:id="rId64" display="vSaleOrder.aspx%3fID=290226" xr:uid="{3722ADD8-5BC9-4FAB-BA2E-9FB1679CB778}"/>
    <hyperlink ref="K132" r:id="rId65" display="vSaleOrder.aspx%3fID=304459" xr:uid="{4D7CD6CE-B85E-47C7-8CB3-D80B225F97B7}"/>
    <hyperlink ref="K134" r:id="rId66" display="vSaleOrder.aspx%3fID=277126" xr:uid="{330780CA-A527-4C45-8478-585BDBEB6C61}"/>
    <hyperlink ref="K136" r:id="rId67" display="vSaleOrder.aspx%3fID=279701" xr:uid="{9A244883-4EF5-4108-9717-4BFB47417350}"/>
    <hyperlink ref="K138" r:id="rId68" display="vSaleOrder.aspx%3fID=305471" xr:uid="{E4A3618C-7348-48DE-A817-EE2FC4078092}"/>
    <hyperlink ref="K140" r:id="rId69" display="vSaleOrder.aspx%3fID=316920" xr:uid="{7CADB8E6-006F-4F78-AA56-B06CA6604619}"/>
    <hyperlink ref="K142" r:id="rId70" display="vSaleOrder.aspx%3fID=314298" xr:uid="{DCF6929E-6611-4798-9D96-ABAEECDD389F}"/>
    <hyperlink ref="K144" r:id="rId71" display="vSaleOrder.aspx%3fID=314265" xr:uid="{AD57B108-0C34-4175-93E9-706420AD04E1}"/>
    <hyperlink ref="K146" r:id="rId72" display="vSaleOrder.aspx%3fID=271064" xr:uid="{6D465E1F-9A72-4946-A9C3-1EAC32AB822E}"/>
    <hyperlink ref="K148" r:id="rId73" display="vSaleOrder.aspx%3fID=271494" xr:uid="{BC414409-7487-4C38-B8D6-68CB4BEF35BA}"/>
    <hyperlink ref="K150" r:id="rId74" display="vSaleOrder.aspx%3fID=264620" xr:uid="{197CDEB5-952C-4613-B18D-055FA49D8EAB}"/>
    <hyperlink ref="K152" r:id="rId75" display="vSaleOrder.aspx%3fID=219186" xr:uid="{4D1C59C0-8A3D-49B9-92A6-DD0A883FBD0E}"/>
    <hyperlink ref="K154" r:id="rId76" display="vSaleOrder.aspx%3fID=315630" xr:uid="{A333D6DF-9282-4C29-9A32-E1C31873A245}"/>
    <hyperlink ref="K156" r:id="rId77" display="vSaleOrder.aspx%3fID=314276" xr:uid="{EB2C72E3-5746-4C1E-85A0-2889AFAD7ED8}"/>
    <hyperlink ref="K158" r:id="rId78" display="vSaleOrder.aspx%3fID=314276" xr:uid="{9257CCF8-CD2F-40F0-BC7A-407E0EEF50CB}"/>
    <hyperlink ref="K160" r:id="rId79" display="vSaleOrder.aspx%3fID=303435" xr:uid="{5CC4730D-163B-4CC3-A425-23C435C9D0C0}"/>
    <hyperlink ref="K162" r:id="rId80" display="vSaleOrder.aspx%3fID=272472" xr:uid="{AF092519-AAD8-40D5-844F-388B73F772F6}"/>
    <hyperlink ref="K164" r:id="rId81" display="vSaleOrder.aspx%3fID=306185" xr:uid="{4940EE69-599B-45CD-8730-946B6E31300B}"/>
    <hyperlink ref="K166" r:id="rId82" display="vSaleOrder.aspx%3fID=313978" xr:uid="{7989D3CC-240C-4FB4-9FAC-AEDE56719CD2}"/>
    <hyperlink ref="K168" r:id="rId83" display="vSaleOrder.aspx%3fID=314010" xr:uid="{B3DE4466-BA32-4AB8-905F-41D38FE2F5E0}"/>
    <hyperlink ref="K170" r:id="rId84" display="vSaleOrder.aspx%3fID=274972" xr:uid="{EBDE8C59-AF51-4474-BADB-8593C451808E}"/>
    <hyperlink ref="K172" r:id="rId85" display="vSaleOrder.aspx%3fID=274972" xr:uid="{26B9BCB5-6EE1-47E2-86ED-88902340ADCF}"/>
    <hyperlink ref="K174" r:id="rId86" display="vSaleOrder.aspx%3fID=274972" xr:uid="{34E8C166-2F3A-440F-9FB9-81898332D8E9}"/>
    <hyperlink ref="K176" r:id="rId87" display="vSaleOrder.aspx%3fID=287425" xr:uid="{B80A69E2-BFF9-4906-8ADE-3501C48021CF}"/>
    <hyperlink ref="K178" r:id="rId88" display="vSaleOrder.aspx%3fID=319735" xr:uid="{4C80FE51-C24B-4E96-98A2-B6E1AC7F49E1}"/>
    <hyperlink ref="K180" r:id="rId89" display="vSaleOrder.aspx%3fID=296643" xr:uid="{7DB40825-0EC9-47F6-9A28-EF745DFDE5CB}"/>
    <hyperlink ref="K184" r:id="rId90" display="vSaleOrder.aspx%3fID=261362" xr:uid="{57920961-8F00-4F55-B223-5E23D761586A}"/>
    <hyperlink ref="K186" r:id="rId91" display="vSaleOrder.aspx%3fID=318124" xr:uid="{5CF8FE0F-A8C4-4660-B3D7-9A102CF90D31}"/>
    <hyperlink ref="K188" r:id="rId92" display="vSaleOrder.aspx%3fID=261362" xr:uid="{2DA6C364-A850-4AED-99CC-94C33D3EC430}"/>
    <hyperlink ref="K190" r:id="rId93" display="vSaleOrder.aspx%3fID=286499" xr:uid="{AD2625AB-2646-4B04-8436-1901C6AB802D}"/>
    <hyperlink ref="K192" r:id="rId94" display="vSaleOrder.aspx%3fID=314852" xr:uid="{C708BF25-05B9-494E-B181-E6602F4364B3}"/>
    <hyperlink ref="K194" r:id="rId95" display="vSaleOrder.aspx%3fID=314901" xr:uid="{A7A99863-E742-4104-AD66-14B8D7C6AC23}"/>
    <hyperlink ref="K196" r:id="rId96" display="vSaleOrder.aspx%3fID=315627" xr:uid="{096841B9-BAF4-44DC-BFD4-1382ACEE6812}"/>
    <hyperlink ref="K198" r:id="rId97" display="vSaleOrder.aspx%3fID=314891" xr:uid="{BE4170BC-F042-4A7F-B7E4-A683B9E6A5D0}"/>
    <hyperlink ref="K200" r:id="rId98" display="vSaleOrder.aspx%3fID=313885" xr:uid="{75271400-2DBB-4676-ABBC-FDC61163932C}"/>
    <hyperlink ref="K202" r:id="rId99" display="vSaleOrder.aspx%3fID=316861" xr:uid="{1623C063-AA8A-4C0E-8657-18848FB195DA}"/>
    <hyperlink ref="K204" r:id="rId100" display="vSaleOrder.aspx%3fID=317670" xr:uid="{0C2A1F7B-7154-4A21-B7BC-A67B0799B25C}"/>
    <hyperlink ref="K206" r:id="rId101" display="vSaleOrder.aspx%3fID=315635" xr:uid="{C1AE956D-EF98-49FE-98A7-443E716FF444}"/>
    <hyperlink ref="K208" r:id="rId102" display="vSaleOrder.aspx%3fID=300934" xr:uid="{4D1D1514-E8EC-4DFC-8E1D-80D501B5407A}"/>
    <hyperlink ref="K210" r:id="rId103" display="vSaleOrder.aspx%3fID=292727" xr:uid="{67433470-40C1-477B-B4BA-FF712AAE554A}"/>
    <hyperlink ref="K212" r:id="rId104" display="vSaleOrder.aspx%3fID=284734" xr:uid="{6DE9760A-A0E0-4962-BBB0-3342CDF1B6BF}"/>
    <hyperlink ref="K214" r:id="rId105" display="vSaleOrder.aspx%3fID=" xr:uid="{4FC39A0C-61D9-4059-833E-A1E27D676DF2}"/>
    <hyperlink ref="K216" r:id="rId106" display="vSaleOrder.aspx%3fID=" xr:uid="{179A6078-C339-4DB5-8A88-9974AE4E6AFF}"/>
    <hyperlink ref="K218" r:id="rId107" display="vSaleOrder.aspx%3fID=314895" xr:uid="{E0E17D27-8BE1-4808-BE2D-B874B2D054A5}"/>
    <hyperlink ref="K220" r:id="rId108" display="vSaleOrder.aspx%3fID=196480" xr:uid="{9CFF3BE2-F989-4BC2-B1DF-627667F52337}"/>
    <hyperlink ref="K222" r:id="rId109" display="vSaleOrder.aspx%3fID=" xr:uid="{494DA5D5-E785-49BA-9B3B-B748D8D5BC16}"/>
    <hyperlink ref="K224" r:id="rId110" display="vSaleOrder.aspx%3fID=303456" xr:uid="{FE3B9C50-FA5B-4C95-BBAE-818A1D712032}"/>
    <hyperlink ref="K226" r:id="rId111" display="vSaleOrder.aspx%3fID=196481" xr:uid="{A074EBB6-42CF-4FA0-8380-B1C96A649310}"/>
    <hyperlink ref="K228" r:id="rId112" display="vSaleOrder.aspx%3fID=303529" xr:uid="{3A773381-F9BD-42C0-848F-9A12C9E992C9}"/>
    <hyperlink ref="K230" r:id="rId113" display="vSaleOrder.aspx%3fID=296853" xr:uid="{85813FEF-629F-4501-B009-8DC172871610}"/>
    <hyperlink ref="K232" r:id="rId114" display="vSaleOrder.aspx%3fID=315641" xr:uid="{7E4CF197-C3BA-4D03-92A3-4AC482259CEA}"/>
    <hyperlink ref="K234" r:id="rId115" display="vSaleOrder.aspx%3fID=306498" xr:uid="{D63FDEE8-B0D0-4F93-87B5-19139720110D}"/>
    <hyperlink ref="K236" r:id="rId116" display="vSaleOrder.aspx%3fID=" xr:uid="{0D758010-2902-4B72-BD5A-4F0B78EF48C8}"/>
    <hyperlink ref="K238" r:id="rId117" display="vSaleOrder.aspx%3fID=259030" xr:uid="{B20CEF84-C8E0-4151-9278-746B8443E795}"/>
    <hyperlink ref="K240" r:id="rId118" display="vSaleOrder.aspx%3fID=259030" xr:uid="{1AD25F8B-F20B-4E8F-90E7-6C6BC1448E28}"/>
    <hyperlink ref="K242" r:id="rId119" display="vSaleOrder.aspx%3fID=259030" xr:uid="{56A0BFD5-1291-4EEB-A5BD-9FE5597B18A4}"/>
    <hyperlink ref="K244" r:id="rId120" display="vSaleOrder.aspx%3fID=314002" xr:uid="{96788CE0-DAD8-4D13-932C-8F1F89F43423}"/>
    <hyperlink ref="K246" r:id="rId121" display="vSaleOrder.aspx%3fID=308189" xr:uid="{DCA8FF3B-8495-42C8-B98F-A304C0CA65E2}"/>
    <hyperlink ref="K248" r:id="rId122" display="vSaleOrder.aspx%3fID=289009" xr:uid="{29E0F548-FE73-4E31-9D65-04D5C82B046D}"/>
    <hyperlink ref="K250" r:id="rId123" display="vSaleOrder.aspx%3fID=242401" xr:uid="{9160259B-1937-4457-9B29-7048CD7088C5}"/>
    <hyperlink ref="K252" r:id="rId124" display="vSaleOrder.aspx%3fID=242397" xr:uid="{7699277C-A2D1-46C1-AF1B-F0728373455C}"/>
    <hyperlink ref="K254" r:id="rId125" display="vSaleOrder.aspx%3fID=242403" xr:uid="{E37DE7D7-2191-4DA0-BC99-7E1C9450DF2C}"/>
    <hyperlink ref="K256" r:id="rId126" display="vSaleOrder.aspx%3fID=230770" xr:uid="{B6D6EF80-3ABC-4B43-8ECA-D20A4A541A06}"/>
    <hyperlink ref="K258" r:id="rId127" display="vSaleOrder.aspx%3fID=251147" xr:uid="{072EBA56-EBF2-42C1-AFA6-8772AC45AE95}"/>
    <hyperlink ref="K260" r:id="rId128" display="vSaleOrder.aspx%3fID=251152" xr:uid="{8FE53877-E97E-4755-BB74-F0F38278C462}"/>
    <hyperlink ref="K262" r:id="rId129" display="vSaleOrder.aspx%3fID=284497" xr:uid="{0D2913DD-5EBA-4B7F-BB1E-A2D2EE37CD1E}"/>
    <hyperlink ref="K264" r:id="rId130" display="vSaleOrder.aspx%3fID=290707" xr:uid="{A2760474-2422-4E1E-A13E-5EFBDFCF9354}"/>
    <hyperlink ref="K266" r:id="rId131" display="vSaleOrder.aspx%3fID=292407" xr:uid="{12002877-7920-413A-9A54-1B558C36FFC7}"/>
    <hyperlink ref="K268" r:id="rId132" display="vSaleOrder.aspx%3fID=299345" xr:uid="{E7BBC02D-44D2-4383-A1C7-4F635FAB5694}"/>
    <hyperlink ref="K270" r:id="rId133" display="vSaleOrder.aspx%3fID=" xr:uid="{A3800171-F155-44A0-B21E-E8721D7472BB}"/>
    <hyperlink ref="K272" r:id="rId134" display="vSaleOrder.aspx%3fID=304486" xr:uid="{718F730F-22DB-4563-ADB3-CE188145B207}"/>
    <hyperlink ref="K274" r:id="rId135" display="vSaleOrder.aspx%3fID=316914" xr:uid="{3C71BBF9-90F7-4D0E-B270-56716C774EA6}"/>
    <hyperlink ref="K276" r:id="rId136" display="vSaleOrder.aspx%3fID=316908" xr:uid="{77CACD0B-D14E-450C-B50E-5B4FBC532D42}"/>
    <hyperlink ref="K278" r:id="rId137" display="vSaleOrder.aspx%3fID=314851" xr:uid="{CFC4FD72-5F70-4FF2-824B-B5D9951EB0E4}"/>
    <hyperlink ref="K280" r:id="rId138" display="vSaleOrder.aspx%3fID=308013" xr:uid="{D5970F68-8A77-4F9A-8049-4EC37907DA51}"/>
    <hyperlink ref="K282" r:id="rId139" display="vSaleOrder.aspx%3fID=315639" xr:uid="{D18761B7-B11A-47D2-A5FA-FCE8EFAD8BC2}"/>
    <hyperlink ref="K284" r:id="rId140" display="vSaleOrder.aspx%3fID=295775" xr:uid="{63FC6470-4D74-4B06-9478-9555FFB5D027}"/>
    <hyperlink ref="K286" r:id="rId141" display="vSaleOrder.aspx%3fID=295775" xr:uid="{2A9CEE05-DF6D-40DC-ACEE-C41845096C77}"/>
    <hyperlink ref="K288" r:id="rId142" display="vSaleOrder.aspx%3fID=269238" xr:uid="{927F658F-C285-4208-92B4-BF1A6F373EE6}"/>
    <hyperlink ref="K290" r:id="rId143" display="vSaleOrder.aspx%3fID=249454" xr:uid="{87C94CFE-0080-4B3A-BEE7-D1265816E87F}"/>
    <hyperlink ref="K292" r:id="rId144" display="vSaleOrder.aspx%3fID=284027" xr:uid="{5ED96387-BD5B-4043-BFB7-C1E5948713CB}"/>
    <hyperlink ref="K294" r:id="rId145" display="vSaleOrder.aspx%3fID=" xr:uid="{89B5888C-9EF1-482F-886D-8B410AE2A195}"/>
    <hyperlink ref="K296" r:id="rId146" display="vSaleOrder.aspx%3fID=318028" xr:uid="{60A813AF-1F48-4FAE-81F1-7D244E42E20E}"/>
    <hyperlink ref="K298" r:id="rId147" display="vSaleOrder.aspx%3fID=318255" xr:uid="{CD0FCDE0-5D43-4DB0-9033-8FDA7A008C7F}"/>
    <hyperlink ref="K300" r:id="rId148" display="vSaleOrder.aspx%3fID=313987" xr:uid="{696800D0-10BD-4849-9E0D-FFC82E6DF10A}"/>
    <hyperlink ref="K302" r:id="rId149" display="vSaleOrder.aspx%3fID=318244" xr:uid="{D70AD77F-FEE9-40E6-BF2C-D9F48056E4B9}"/>
    <hyperlink ref="K304" r:id="rId150" display="vSaleOrder.aspx%3fID=292985" xr:uid="{11B3694E-432C-47E2-AE38-D43DD600D172}"/>
    <hyperlink ref="K306" r:id="rId151" display="vSaleOrder.aspx%3fID=314044" xr:uid="{C60B6D80-9C5E-44F9-A512-872EA18E67F4}"/>
    <hyperlink ref="K308" r:id="rId152" display="vSaleOrder.aspx%3fID=276731" xr:uid="{0D5232EA-7B59-4C5F-9EF1-A19302EB53DE}"/>
    <hyperlink ref="K310" r:id="rId153" display="vSaleOrder.aspx%3fID=276731" xr:uid="{6AA1A94A-8FB1-45F3-BA9E-20B50D7F7D85}"/>
    <hyperlink ref="K312" r:id="rId154" display="vSaleOrder.aspx%3fID=261271" xr:uid="{D282E479-CF3D-4B9D-87CD-7AF95C0ADDE0}"/>
    <hyperlink ref="K314" r:id="rId155" display="vSaleOrder.aspx%3fID=268449" xr:uid="{F8CD6A80-34F1-4B88-8A7E-8158FC8EEA9B}"/>
    <hyperlink ref="K316" r:id="rId156" display="vSaleOrder.aspx%3fID=295306" xr:uid="{3F42446D-F8B1-40C6-9738-2AB384CEFF53}"/>
    <hyperlink ref="K318" r:id="rId157" display="vSaleOrder.aspx%3fID=300892" xr:uid="{44F2F65C-E994-4884-B520-611B097C55CE}"/>
    <hyperlink ref="K320" r:id="rId158" display="vSaleOrder.aspx%3fID=258611" xr:uid="{8311CC5A-2709-46B3-8E60-150894ECAADB}"/>
    <hyperlink ref="K322" r:id="rId159" display="vSaleOrder.aspx%3fID=314303" xr:uid="{512AB8A2-8C97-4EF7-8620-542B51EF0523}"/>
    <hyperlink ref="K324" r:id="rId160" display="vSaleOrder.aspx%3fID=314303" xr:uid="{DD39337B-1D52-4B64-9693-DC9C38576A6C}"/>
    <hyperlink ref="K326" r:id="rId161" display="vSaleOrder.aspx%3fID=314257" xr:uid="{6E9505F8-DFB4-4366-A93C-8D25136F36C9}"/>
    <hyperlink ref="K328" r:id="rId162" display="vSaleOrder.aspx%3fID=257823" xr:uid="{1483C707-990A-45FE-B99A-641962E1B546}"/>
    <hyperlink ref="K330" r:id="rId163" display="vSaleOrder.aspx%3fID=302795" xr:uid="{EFEC452C-F73D-4A8A-AEFF-A3440273930D}"/>
    <hyperlink ref="K332" r:id="rId164" display="vSaleOrder.aspx%3fID=313970" xr:uid="{838A4B97-6FE3-4F89-B5C6-F759B0B4C662}"/>
    <hyperlink ref="K334" r:id="rId165" display="vSaleOrder.aspx%3fID=318132" xr:uid="{76D599AB-5745-48CA-8B52-E0D4C60BAA5A}"/>
    <hyperlink ref="K336" r:id="rId166" display="vSaleOrder.aspx%3fID=318272" xr:uid="{A070FBEA-0C1D-4C2B-9135-D7EF6BD3EA32}"/>
    <hyperlink ref="K338" r:id="rId167" display="vSaleOrder.aspx%3fID=" xr:uid="{867213E5-40ED-43E0-ACA0-F936B0CFC953}"/>
    <hyperlink ref="K340" r:id="rId168" display="vSaleOrder.aspx%3fID=318125" xr:uid="{91CE73EF-AF1D-4CBF-A338-C21EFB106C6A}"/>
    <hyperlink ref="K342" r:id="rId169" display="vSaleOrder.aspx%3fID=316918" xr:uid="{C582B357-D62A-445B-A349-658071626926}"/>
    <hyperlink ref="K344" r:id="rId170" display="vSaleOrder.aspx%3fID=" xr:uid="{3B778B1E-C854-4D21-866E-77B9D62D9639}"/>
    <hyperlink ref="K346" r:id="rId171" display="vSaleOrder.aspx%3fID=268214" xr:uid="{22C71D01-A564-4995-A783-D53CFAAE9F34}"/>
    <hyperlink ref="K348" r:id="rId172" display="vSaleOrder.aspx%3fID=298216" xr:uid="{D1F62F4F-FB03-46FE-BB04-1330CCE7ACF6}"/>
    <hyperlink ref="K350" r:id="rId173" display="vSaleOrder.aspx%3fID=314244" xr:uid="{EE497DED-901F-4EB5-866E-CD8277B9E098}"/>
    <hyperlink ref="K352" r:id="rId174" display="vSaleOrder.aspx%3fID=318021" xr:uid="{448598D6-F248-4CFF-9973-EE4F061D82A5}"/>
    <hyperlink ref="K354" r:id="rId175" display="vSaleOrder.aspx%3fID=" xr:uid="{60C8B998-E6C1-47A2-AE2A-04F3B004F121}"/>
    <hyperlink ref="K356" r:id="rId176" display="vSaleOrder.aspx%3fID=258619" xr:uid="{5FDB62B4-8108-4675-BE4C-75FC8BD54E4F}"/>
    <hyperlink ref="K358" r:id="rId177" display="vSaleOrder.aspx%3fID=295409" xr:uid="{43C35AB8-B93B-4129-8E9B-38923046B57C}"/>
    <hyperlink ref="K360" r:id="rId178" display="vSaleOrder.aspx%3fID=295409" xr:uid="{4852A2A4-D944-4176-9EA0-551B86AC2110}"/>
    <hyperlink ref="K362" r:id="rId179" display="vSaleOrder.aspx%3fID=269107" xr:uid="{5E73A719-C30A-463F-AA18-4E9AC2309587}"/>
    <hyperlink ref="K364" r:id="rId180" display="vSaleOrder.aspx%3fID=266373" xr:uid="{200B309B-1C02-4D2E-897F-2D6F7DDAF07F}"/>
    <hyperlink ref="K366" r:id="rId181" display="vSaleOrder.aspx%3fID=314274" xr:uid="{1A0B0F8F-6BC3-4105-8CBB-822C3139069A}"/>
    <hyperlink ref="K368" r:id="rId182" display="vSaleOrder.aspx%3fID=254433" xr:uid="{6114B648-F15D-4D69-BB82-B3F8116E01A5}"/>
    <hyperlink ref="K370" r:id="rId183" display="vSaleOrder.aspx%3fID=254421" xr:uid="{0CE34DF5-9126-4398-B29E-B1398BD34CED}"/>
    <hyperlink ref="K372" r:id="rId184" display="vSaleOrder.aspx%3fID=" xr:uid="{CED540DB-3739-4B12-9976-138E4BE2D72F}"/>
    <hyperlink ref="K374" r:id="rId185" display="vSaleOrder.aspx%3fID=254420" xr:uid="{47D25D17-E01C-4C47-97D8-50C5208E33B5}"/>
    <hyperlink ref="K376" r:id="rId186" display="vSaleOrder.aspx%3fID=" xr:uid="{ED17D89D-295D-40A0-8865-8A6D6782DB73}"/>
    <hyperlink ref="K378" r:id="rId187" display="vSaleOrder.aspx%3fID=254435" xr:uid="{73C26385-C8E3-47DE-BFBA-353D7A3A2DA0}"/>
    <hyperlink ref="K380" r:id="rId188" display="vSaleOrder.aspx%3fID=264389" xr:uid="{2BBFBAB9-AC9E-40FA-8C19-E52FE0EE2F51}"/>
    <hyperlink ref="K382" r:id="rId189" display="vSaleOrder.aspx%3fID=315636" xr:uid="{24E4D96E-477E-49F5-BAFF-5CE2951F0CE8}"/>
    <hyperlink ref="K384" r:id="rId190" display="vSaleOrder.aspx%3fID=275386" xr:uid="{81503A3F-9C83-4BC2-A952-E2546F9C87E5}"/>
    <hyperlink ref="K386" r:id="rId191" display="vSaleOrder.aspx%3fID=318131" xr:uid="{7E626F52-FB53-4993-9A97-AB0A60D73C1E}"/>
    <hyperlink ref="K388" r:id="rId192" display="vSaleOrder.aspx%3fID=318130" xr:uid="{F09BF5B8-E1F0-41DE-8239-37B5DEF4FFE6}"/>
    <hyperlink ref="K390" r:id="rId193" display="vSaleOrder.aspx%3fID=316922" xr:uid="{70EEF133-74B9-421F-81F2-A722EB1CF4D1}"/>
    <hyperlink ref="K392" r:id="rId194" display="vSaleOrder.aspx%3fID=246931" xr:uid="{D0A8D295-3C01-48EB-82E5-40ED3FEC3FD2}"/>
    <hyperlink ref="K394" r:id="rId195" display="vSaleOrder.aspx%3fID=260869" xr:uid="{3E4CE82F-9812-479B-BB15-24B3EB2A6758}"/>
    <hyperlink ref="K396" r:id="rId196" display="vSaleOrder.aspx%3fID=260873" xr:uid="{76F0EC8F-570C-40B1-869A-DFF38A92879E}"/>
    <hyperlink ref="K398" r:id="rId197" display="vSaleOrder.aspx%3fID=260870" xr:uid="{FFF23FA5-8381-4F8E-BD4B-5618C386CF3F}"/>
    <hyperlink ref="K400" r:id="rId198" display="vSaleOrder.aspx%3fID=297692" xr:uid="{C896CC28-547B-4244-A775-76E84E6367AF}"/>
    <hyperlink ref="K402" r:id="rId199" display="vSaleOrder.aspx%3fID=260861" xr:uid="{F20A4FE5-89A2-442D-AA5A-938A0C785C88}"/>
    <hyperlink ref="K404" r:id="rId200" display="vSaleOrder.aspx%3fID=260880" xr:uid="{AD9C8A73-499F-4681-8F00-0A1B6EA8A8DE}"/>
    <hyperlink ref="K406" r:id="rId201" display="vSaleOrder.aspx%3fID=260882" xr:uid="{335E3BF2-55E1-4AAB-8883-F1992090E93D}"/>
    <hyperlink ref="K408" r:id="rId202" display="vSaleOrder.aspx%3fID=260881" xr:uid="{C8966C4A-E6D3-48DD-BDE0-485B4C8D880D}"/>
    <hyperlink ref="K410" r:id="rId203" display="vSaleOrder.aspx%3fID=282909" xr:uid="{D01F5FCC-362B-4484-AB7C-467EC71BE260}"/>
    <hyperlink ref="K412" r:id="rId204" display="vSaleOrder.aspx%3fID=282909" xr:uid="{EBE89E5C-9268-44B6-A9ED-735C5E5E8727}"/>
    <hyperlink ref="K414" r:id="rId205" display="vSaleOrder.aspx%3fID=" xr:uid="{4A96B01D-C599-42BD-92CB-6618FE015991}"/>
    <hyperlink ref="K416" r:id="rId206" display="vSaleOrder.aspx%3fID=313948" xr:uid="{F366F8C3-9C20-470D-A8F1-65BA071EEB76}"/>
    <hyperlink ref="K418" r:id="rId207" display="vSaleOrder.aspx%3fID=219578" xr:uid="{4DDC9530-4DDB-4170-BBA8-0E4EC22B63E9}"/>
    <hyperlink ref="K420" r:id="rId208" display="vSaleOrder.aspx%3fID=239866" xr:uid="{942AC8D0-AE5C-469C-A89B-DE08EC2EFC04}"/>
    <hyperlink ref="K422" r:id="rId209" display="vSaleOrder.aspx%3fID=239867" xr:uid="{29381062-0F23-483F-87FD-078F8B9B372A}"/>
    <hyperlink ref="K424" r:id="rId210" display="vSaleOrder.aspx%3fID=239880" xr:uid="{18CF9502-14BE-4415-AF4B-4A6CFD6CDD99}"/>
    <hyperlink ref="K426" r:id="rId211" display="vSaleOrder.aspx%3fID=" xr:uid="{06C801DA-FA29-400F-9772-9D7C4423A5BA}"/>
    <hyperlink ref="K428" r:id="rId212" display="vSaleOrder.aspx%3fID=" xr:uid="{B8823FA2-188D-476B-A71B-7FDFAD0F21AB}"/>
    <hyperlink ref="K430" r:id="rId213" display="vSaleOrder.aspx%3fID=205851" xr:uid="{9BDF46F6-1C5B-4720-8E65-9505F51CC86D}"/>
    <hyperlink ref="K432" r:id="rId214" display="vSaleOrder.aspx%3fID=205841" xr:uid="{6D2BA59B-46DA-4BED-BEE5-404DF19173D1}"/>
    <hyperlink ref="K434" r:id="rId215" display="vSaleOrder.aspx%3fID=205848" xr:uid="{C5F5D57F-AA12-4F97-A43A-DDDFD3ADE41E}"/>
    <hyperlink ref="K436" r:id="rId216" display="vSaleOrder.aspx%3fID=205843" xr:uid="{7DF77FDE-BE91-4418-8073-3EBD7AACF691}"/>
    <hyperlink ref="K438" r:id="rId217" display="vSaleOrder.aspx%3fID=205846" xr:uid="{1DBD21EE-F5D9-4088-8A6E-AD892E2799E6}"/>
    <hyperlink ref="K440" r:id="rId218" display="vSaleOrder.aspx%3fID=205842" xr:uid="{5FE15D55-4254-4E7D-855B-9E16CA3342F7}"/>
    <hyperlink ref="K442" r:id="rId219" display="vSaleOrder.aspx%3fID=205847" xr:uid="{301EFDD8-D468-48B9-ACF2-864EB29CC13F}"/>
    <hyperlink ref="K444" r:id="rId220" display="vSaleOrder.aspx%3fID=205846" xr:uid="{62EE853A-3782-4119-AEB9-53D6981532C7}"/>
    <hyperlink ref="K446" r:id="rId221" display="vSaleOrder.aspx%3fID=205847" xr:uid="{C0F3FB96-2D09-402A-BFD2-D6AC3C5A35CD}"/>
    <hyperlink ref="K448" r:id="rId222" display="vSaleOrder.aspx%3fID=205842" xr:uid="{ABDBB598-F998-479A-B891-04DC07F606F3}"/>
    <hyperlink ref="K450" r:id="rId223" display="vSaleOrder.aspx%3fID=205844" xr:uid="{CE36204B-5F02-4557-A887-D044A8801F81}"/>
    <hyperlink ref="K452" r:id="rId224" display="vSaleOrder.aspx%3fID=205841" xr:uid="{B27E1C46-4E0E-470B-96BD-DE523CCD889B}"/>
    <hyperlink ref="K454" r:id="rId225" display="vSaleOrder.aspx%3fID=205848" xr:uid="{718C1F5C-38D2-4F8C-B75A-685439F6169E}"/>
    <hyperlink ref="K456" r:id="rId226" display="vSaleOrder.aspx%3fID=205845" xr:uid="{97AFFC95-97AE-4726-ABB4-BD114E06711B}"/>
    <hyperlink ref="K458" r:id="rId227" display="vSaleOrder.aspx%3fID=205851" xr:uid="{80483E37-5099-4BCD-A441-CDE4374EECE0}"/>
    <hyperlink ref="K460" r:id="rId228" display="vSaleOrder.aspx%3fID=205845" xr:uid="{DCBDD938-5DA4-46E1-BD15-B512E435AB1D}"/>
    <hyperlink ref="K462" r:id="rId229" display="vSaleOrder.aspx%3fID=205843" xr:uid="{97C43BD7-52EC-4DFD-A528-A4CC4A4A4E4E}"/>
    <hyperlink ref="K464" r:id="rId230" display="vSaleOrder.aspx%3fID=308809" xr:uid="{6F07AF0B-837E-4A3D-9091-389E1320E05E}"/>
    <hyperlink ref="K466" r:id="rId231" display="vSaleOrder.aspx%3fID=317659" xr:uid="{BB137F39-57E8-4B67-81D3-CE581E8B5B91}"/>
    <hyperlink ref="K468" r:id="rId232" display="vSaleOrder.aspx%3fID=" xr:uid="{5FC746DC-6B67-4A79-9E58-CCB2D377ABFC}"/>
    <hyperlink ref="K470" r:id="rId233" display="vSaleOrder.aspx%3fID=263383" xr:uid="{E8B6730D-BF6E-471C-876E-B14AB3CB0A14}"/>
    <hyperlink ref="K472" r:id="rId234" display="vSaleOrder.aspx%3fID=270064" xr:uid="{A410245D-4250-4A49-8B04-AF228BC4664A}"/>
    <hyperlink ref="K474" r:id="rId235" display="vSaleOrder.aspx%3fID=223681" xr:uid="{372318D8-3852-49F0-AB8B-70428B20EF21}"/>
    <hyperlink ref="K476" r:id="rId236" display="vSaleOrder.aspx%3fID=291150" xr:uid="{14806C11-3637-4913-BA2C-63DA4FE23ECB}"/>
    <hyperlink ref="K478" r:id="rId237" display="vSaleOrder.aspx%3fID=314884" xr:uid="{EF07A84D-6AD7-49C6-B0D6-B13DECEFE678}"/>
    <hyperlink ref="K480" r:id="rId238" display="vSaleOrder.aspx%3fID=304181" xr:uid="{63C2C81A-0CE7-40FE-884E-C4E157849101}"/>
    <hyperlink ref="K482" r:id="rId239" display="vSaleOrder.aspx%3fID=" xr:uid="{9B079284-C223-4674-80D1-DC1B0787FB05}"/>
    <hyperlink ref="K484" r:id="rId240" display="vSaleOrder.aspx%3fID=300562" xr:uid="{4792B7E1-0D05-4F27-B96D-6CD0F9B4FFAA}"/>
    <hyperlink ref="K486" r:id="rId241" display="vSaleOrder.aspx%3fID=315638" xr:uid="{91354C3D-3523-4C34-B6F9-96AD1CC7F85E}"/>
    <hyperlink ref="K488" r:id="rId242" display="vSaleOrder.aspx%3fID=295155" xr:uid="{A2AF7D2A-69E4-453A-8167-22F025BE8953}"/>
    <hyperlink ref="K490" r:id="rId243" display="vSaleOrder.aspx%3fID=295155" xr:uid="{0AFE4B6D-61FE-44E4-866F-E246F1B69B7F}"/>
    <hyperlink ref="K492" r:id="rId244" display="vSaleOrder.aspx%3fID=313887" xr:uid="{9C58FF3E-33FF-4A59-87B3-268C190B234E}"/>
    <hyperlink ref="K494" r:id="rId245" display="vSaleOrder.aspx%3fID=319804" xr:uid="{6BBB13A6-1BE4-49D5-A957-FD26128867C0}"/>
    <hyperlink ref="K496" r:id="rId246" display="vSaleOrder.aspx%3fID=" xr:uid="{FA72641F-7466-4EDC-9013-F274B4FC5087}"/>
    <hyperlink ref="K498" r:id="rId247" display="vSaleOrder.aspx%3fID=314262" xr:uid="{463C3035-9E98-4147-BD1D-6565B87D7760}"/>
    <hyperlink ref="K500" r:id="rId248" display="vSaleOrder.aspx%3fID=318283" xr:uid="{B67DB7B2-BCF6-4C2D-95B2-8779038E4128}"/>
    <hyperlink ref="K502" r:id="rId249" display="vSaleOrder.aspx%3fID=313973" xr:uid="{C4B33049-CBB1-4505-8495-3CADCE147F68}"/>
    <hyperlink ref="K504" r:id="rId250" display="vSaleOrder.aspx%3fID=317663" xr:uid="{69B1041B-8B7C-4FBF-A689-177FBD708277}"/>
    <hyperlink ref="K506" r:id="rId251" display="vSaleOrder.aspx%3fID=317669" xr:uid="{8CED5272-183F-4AA1-803F-9EF0299A71E3}"/>
    <hyperlink ref="K508" r:id="rId252" display="vSaleOrder.aspx%3fID=" xr:uid="{7898A612-618C-4514-816D-046A4695C210}"/>
    <hyperlink ref="K510" r:id="rId253" display="vSaleOrder.aspx%3fID=316912" xr:uid="{D75BAED6-19E3-459A-965E-A9BC2FED7DFD}"/>
    <hyperlink ref="K512" r:id="rId254" display="vSaleOrder.aspx%3fID=314854" xr:uid="{76A4D77A-8C20-42FE-90E3-4350EBB60C6F}"/>
    <hyperlink ref="K514" r:id="rId255" display="vSaleOrder.aspx%3fID=302236" xr:uid="{687F6CDB-AE78-4321-86E8-E90FF6959E4B}"/>
    <hyperlink ref="K516" r:id="rId256" display="vSaleOrder.aspx%3fID=314854" xr:uid="{84F8DE35-2D15-4940-B955-8022298E5452}"/>
    <hyperlink ref="K518" r:id="rId257" display="vSaleOrder.aspx%3fID=288930" xr:uid="{5BBDCA8B-D772-4E6F-ABD4-BF1AADDDF232}"/>
    <hyperlink ref="K520" r:id="rId258" display="vSaleOrder.aspx%3fID=288930" xr:uid="{625BF107-A934-4509-B3BF-46F8309A95AC}"/>
    <hyperlink ref="K522" r:id="rId259" display="vSaleOrder.aspx%3fID=288930" xr:uid="{016891C3-B2AD-43BD-BEA4-5027F1F8559D}"/>
    <hyperlink ref="K524" r:id="rId260" display="vSaleOrder.aspx%3fID=288930" xr:uid="{781BE4EB-233A-4102-88FE-83ADDEE20646}"/>
    <hyperlink ref="K526" r:id="rId261" display="vSaleOrder.aspx%3fID=288930" xr:uid="{F491AA7C-EA35-4CBC-8509-99EDC233099F}"/>
    <hyperlink ref="K528" r:id="rId262" display="vSaleOrder.aspx%3fID=305993" xr:uid="{8BB1BD99-7437-4144-9540-6C1C100C3C0F}"/>
    <hyperlink ref="K530" r:id="rId263" display="vSaleOrder.aspx%3fID=318252" xr:uid="{ACEC7784-142C-4F82-80A4-8330C83F3F06}"/>
    <hyperlink ref="K532" r:id="rId264" display="vSaleOrder.aspx%3fID=316158" xr:uid="{93875FB5-08B8-4D52-AED2-489E90C28BCC}"/>
    <hyperlink ref="K534" r:id="rId265" display="vSaleOrder.aspx%3fID=313889" xr:uid="{D9C27886-295A-4A47-8961-2CD3B6824A01}"/>
    <hyperlink ref="K536" r:id="rId266" display="vSaleOrder.aspx%3fID=" xr:uid="{2773A4D3-07C2-49DB-9F3D-DCA595A3567C}"/>
    <hyperlink ref="K538" r:id="rId267" display="vSaleOrder.aspx%3fID=300910" xr:uid="{F08EDD26-1001-4D8C-A5B8-47E27E977840}"/>
    <hyperlink ref="K540" r:id="rId268" display="vSaleOrder.aspx%3fID=318123" xr:uid="{48BD61AF-1975-4E18-99DC-1A8EEF493CA6}"/>
    <hyperlink ref="K542" r:id="rId269" display="vSaleOrder.aspx%3fID=314281" xr:uid="{CA8F8AFC-B2C6-45C7-BEC6-6214AF84B889}"/>
    <hyperlink ref="K544" r:id="rId270" display="vSaleOrder.aspx%3fID=" xr:uid="{CA3C53EA-5E02-4F88-B74A-6F2C34B35CE8}"/>
    <hyperlink ref="K546" r:id="rId271" display="vSaleOrder.aspx%3fID=314281" xr:uid="{1C96C4C5-4632-40F6-987C-F8283E14C8C0}"/>
    <hyperlink ref="K548" r:id="rId272" display="vSaleOrder.aspx%3fID=" xr:uid="{622BFF61-27CC-4FA3-8DAF-352AD3AD1288}"/>
    <hyperlink ref="K550" r:id="rId273" display="vSaleOrder.aspx%3fID=283391" xr:uid="{C335278F-FB77-4660-B846-EEB485B3E605}"/>
    <hyperlink ref="K552" r:id="rId274" display="vSaleOrder.aspx%3fID=283420" xr:uid="{4A62BC2C-D13B-43CD-A868-96B022493BC4}"/>
    <hyperlink ref="K554" r:id="rId275" display="vSaleOrder.aspx%3fID=314914" xr:uid="{35C703F0-7249-4043-A21C-328C4ACE2557}"/>
    <hyperlink ref="K556" r:id="rId276" display="vSaleOrder.aspx%3fID=267591" xr:uid="{D2D23724-1EB7-426A-BF1B-5006550E4112}"/>
    <hyperlink ref="K558" r:id="rId277" display="vSaleOrder.aspx%3fID=314048" xr:uid="{F6B2597F-32E9-4E1D-871F-B04F85735007}"/>
    <hyperlink ref="K560" r:id="rId278" display="vSaleOrder.aspx%3fID=308841" xr:uid="{5977AC28-F96C-4454-ABC7-58DD1EA8934F}"/>
    <hyperlink ref="K562" r:id="rId279" display="vSaleOrder.aspx%3fID=294093" xr:uid="{B3402D2E-AF77-484A-96F2-A7542AB2B2E1}"/>
    <hyperlink ref="K564" r:id="rId280" display="vSaleOrder.aspx%3fID=318122" xr:uid="{23D4B407-F3DF-4409-8094-D3F4E196C27A}"/>
    <hyperlink ref="K566" r:id="rId281" display="vSaleOrder.aspx%3fID=" xr:uid="{C0ECB1ED-07EA-4EDA-A23A-5E48918B05C9}"/>
    <hyperlink ref="K568" r:id="rId282" display="vSaleOrder.aspx%3fID=314296" xr:uid="{27CB710B-1E43-48EC-AE7A-7A63711784D3}"/>
    <hyperlink ref="K570" r:id="rId283" display="vSaleOrder.aspx%3fID=273766" xr:uid="{23C9D5BF-EA09-4C65-A78F-356C7D3F419C}"/>
    <hyperlink ref="K572" r:id="rId284" display="vSaleOrder.aspx%3fID=273766" xr:uid="{E21D9FE5-87BF-487F-A005-8833AFC24B9B}"/>
    <hyperlink ref="K574" r:id="rId285" display="vSaleOrder.aspx%3fID=316706" xr:uid="{4AC3FC48-DCAC-41F9-9D96-EF449A618DFD}"/>
    <hyperlink ref="K576" r:id="rId286" display="vSaleOrder.aspx%3fID=254270" xr:uid="{36519C45-177F-409D-92E4-CA052B513558}"/>
    <hyperlink ref="K578" r:id="rId287" display="vSaleOrder.aspx%3fID=306719" xr:uid="{14B45F67-F618-4810-8CD3-1E6560270AE4}"/>
    <hyperlink ref="K580" r:id="rId288" display="vSaleOrder.aspx%3fID=314287" xr:uid="{026502C5-4CE6-419A-B2F1-47FFB9250A05}"/>
    <hyperlink ref="K582" r:id="rId289" display="vSaleOrder.aspx%3fID=296736" xr:uid="{1F7E9827-B3A4-4394-A3E8-84A75C3DAE20}"/>
    <hyperlink ref="K584" r:id="rId290" display="vSaleOrder.aspx%3fID=" xr:uid="{1B44812D-BEEA-4511-8481-96606584B62E}"/>
    <hyperlink ref="K586" r:id="rId291" display="vSaleOrder.aspx%3fID=289642" xr:uid="{44600FC2-ABEF-4B43-873F-AE40DBEAF87E}"/>
    <hyperlink ref="K588" r:id="rId292" display="vSaleOrder.aspx%3fID=314882" xr:uid="{7C88C991-A4D9-4285-B718-7B1B9344D28D}"/>
    <hyperlink ref="K590" r:id="rId293" display="vSaleOrder.aspx%3fID=296704" xr:uid="{9ED51946-C526-46E7-9550-6523B9593DE0}"/>
    <hyperlink ref="K592" r:id="rId294" display="vSaleOrder.aspx%3fID=314304" xr:uid="{C1FE2809-B1D2-4CDF-940B-FB557EBE121F}"/>
    <hyperlink ref="K594" r:id="rId295" display="vSaleOrder.aspx%3fID=296704" xr:uid="{8BDE5A36-F795-442B-923E-76932A9B7F69}"/>
    <hyperlink ref="K596" r:id="rId296" display="vSaleOrder.aspx%3fID=315647" xr:uid="{336AF272-E3B7-4CDE-B0F6-3E2A11213C64}"/>
    <hyperlink ref="K598" r:id="rId297" display="vSaleOrder.aspx%3fID=307812" xr:uid="{3CD138D4-C412-4D14-BE62-FF95B120F544}"/>
    <hyperlink ref="K600" r:id="rId298" display="vSaleOrder.aspx%3fID=314263" xr:uid="{FDE9C969-1A39-446A-8BB1-7C4184376499}"/>
    <hyperlink ref="K602" r:id="rId299" display="vSaleOrder.aspx%3fID=316863" xr:uid="{E14908A5-6840-4F25-9AB2-726A02006749}"/>
    <hyperlink ref="K604" r:id="rId300" display="vSaleOrder.aspx%3fID=315645" xr:uid="{E4A5FE50-B4F9-45BC-A14E-C2940628F242}"/>
    <hyperlink ref="K606" r:id="rId301" display="vSaleOrder.aspx%3fID=316926" xr:uid="{E83C6BD2-E2F4-4C3A-98D9-8E4122FF628C}"/>
    <hyperlink ref="K608" r:id="rId302" display="vSaleOrder.aspx%3fID=314239" xr:uid="{6EEB8311-67D4-4D19-ABE4-8D12619F0010}"/>
    <hyperlink ref="K610" r:id="rId303" display="vSaleOrder.aspx%3fID=314297" xr:uid="{7BFAAF17-9575-46F2-8D95-EB4C2D40DB23}"/>
    <hyperlink ref="K612" r:id="rId304" display="vSaleOrder.aspx%3fID=313888" xr:uid="{3C9E0205-9AD2-4C9E-8252-6304FB59301E}"/>
    <hyperlink ref="K614" r:id="rId305" display="vSaleOrder.aspx%3fID=305972" xr:uid="{6D5E33C6-25E9-4DCA-BDAE-9E974D45FF73}"/>
    <hyperlink ref="K616" r:id="rId306" display="vSaleOrder.aspx%3fID=314860" xr:uid="{44F7B666-6A26-4D77-BDCA-06A8786AF67B}"/>
    <hyperlink ref="K618" r:id="rId307" display="vSaleOrder.aspx%3fID=314278" xr:uid="{31FD3493-6C14-44B5-ABD2-196EAC5E7F4D}"/>
    <hyperlink ref="K620" r:id="rId308" display="vSaleOrder.aspx%3fID=291113" xr:uid="{03CF8109-F9CD-4349-9434-A05463C80C10}"/>
    <hyperlink ref="K622" r:id="rId309" display="vSaleOrder.aspx%3fID=306100" xr:uid="{F38BD2AC-CF17-45BF-8BA0-8228493008B6}"/>
    <hyperlink ref="K624" r:id="rId310" display="vSaleOrder.aspx%3fID=291113" xr:uid="{492450D0-CEFA-490B-BE90-554886492AE1}"/>
    <hyperlink ref="K626" r:id="rId311" display="vSaleOrder.aspx%3fID=" xr:uid="{ABD5BE9A-0C3D-4CFC-9398-C006381DFCAB}"/>
    <hyperlink ref="K628" r:id="rId312" display="vSaleOrder.aspx%3fID=313895" xr:uid="{9699D2FD-C8A7-4290-A18A-D46BC8F1DF46}"/>
    <hyperlink ref="K630" r:id="rId313" display="vSaleOrder.aspx%3fID=314251" xr:uid="{AC3A805D-F16D-41F7-BFA9-E7145BF97CDE}"/>
    <hyperlink ref="K632" r:id="rId314" display="vSaleOrder.aspx%3fID=314272" xr:uid="{B0E44BC9-A1F6-4DD8-BFC4-693816F13094}"/>
    <hyperlink ref="K634" r:id="rId315" display="vSaleOrder.aspx%3fID=313894" xr:uid="{AB6C638C-992E-4135-9745-EA4F59863E1A}"/>
    <hyperlink ref="K636" r:id="rId316" display="vSaleOrder.aspx%3fID=240704" xr:uid="{2C4FAA9F-65D3-4392-8F34-2EBA55079F0A}"/>
    <hyperlink ref="K638" r:id="rId317" display="vSaleOrder.aspx%3fID=255653" xr:uid="{84E66924-91A4-4E2E-8723-0AFFFAFE2809}"/>
    <hyperlink ref="K640" r:id="rId318" display="vSaleOrder.aspx%3fID=253932" xr:uid="{5EC9C032-B681-4DB7-80A0-30A9CB6E3034}"/>
    <hyperlink ref="K642" r:id="rId319" display="vSaleOrder.aspx%3fID=314277" xr:uid="{48F6C199-B2DE-47B2-ACE9-8336A98C4B9A}"/>
    <hyperlink ref="K644" r:id="rId320" display="vSaleOrder.aspx%3fID=319922" xr:uid="{2EC07AB4-987C-4803-AD41-8EB8EFE4DA9B}"/>
    <hyperlink ref="K646" r:id="rId321" display="vSaleOrder.aspx%3fID=319943" xr:uid="{BD7E1C7D-6DDA-46A0-A71D-F798D476A05E}"/>
    <hyperlink ref="K648" r:id="rId322" display="vSaleOrder.aspx%3fID=314277" xr:uid="{76D30C84-C163-4588-9F9E-03987693EADC}"/>
    <hyperlink ref="K650" r:id="rId323" display="vSaleOrder.aspx%3fID=295518" xr:uid="{CE9CAAEC-B96F-41D1-92BE-6E1018FDB429}"/>
    <hyperlink ref="K652" r:id="rId324" display="vSaleOrder.aspx%3fID=295518" xr:uid="{A8471E33-95FB-46E2-870F-1870E1641B8A}"/>
    <hyperlink ref="K654" r:id="rId325" display="vSaleOrder.aspx%3fID=314250" xr:uid="{F7718BDB-3D13-43EE-932F-0B1ED6064C62}"/>
    <hyperlink ref="K656" r:id="rId326" display="vSaleOrder.aspx%3fID=318241" xr:uid="{2C4294C4-C7F1-4648-8759-F10C11F99C3B}"/>
    <hyperlink ref="K658" r:id="rId327" display="vSaleOrder.aspx%3fID=274489" xr:uid="{D8DF8528-C9E8-4E90-A30B-771ACA948EFC}"/>
    <hyperlink ref="K660" r:id="rId328" display="vSaleOrder.aspx%3fID=287201" xr:uid="{AD0A0019-12BC-4232-B293-637FE4E83FA1}"/>
    <hyperlink ref="K662" r:id="rId329" display="vSaleOrder.aspx%3fID=318237" xr:uid="{77DB077E-924F-40F7-B8C7-9B73F5198C29}"/>
    <hyperlink ref="K664" r:id="rId330" display="vSaleOrder.aspx%3fID=247506" xr:uid="{B002BD46-BC4D-4BF1-8C19-50B283A9CE79}"/>
    <hyperlink ref="K666" r:id="rId331" display="vSaleOrder.aspx%3fID=247507" xr:uid="{72F3EEE3-6526-4A66-8BB2-95B9C42CB3BE}"/>
    <hyperlink ref="K668" r:id="rId332" display="vSaleOrder.aspx%3fID=318269" xr:uid="{FAD41C2D-9F71-4DB4-9810-D9B8196C2713}"/>
    <hyperlink ref="K670" r:id="rId333" display="vSaleOrder.aspx%3fID=295134" xr:uid="{5A8917BF-7B82-4325-8A87-30824BAAF2CE}"/>
    <hyperlink ref="K672" r:id="rId334" display="vSaleOrder.aspx%3fID=" xr:uid="{798AC7CE-4684-4D38-8954-08D9DDAAD058}"/>
    <hyperlink ref="K674" r:id="rId335" display="vSaleOrder.aspx%3fID=319606" xr:uid="{7CA4E8A7-9221-4867-BAF3-320041D53F25}"/>
    <hyperlink ref="K676" r:id="rId336" display="vSaleOrder.aspx%3fID=311581" xr:uid="{0795232A-A800-48D9-88A1-B20FA5A09A2F}"/>
    <hyperlink ref="K678" r:id="rId337" display="vSaleOrder.aspx%3fID=289980" xr:uid="{312F6F0F-599D-4203-AC8C-8EF068DF7A44}"/>
    <hyperlink ref="K680" r:id="rId338" display="vSaleOrder.aspx%3fID=" xr:uid="{9776C4DE-17F5-4429-836F-C4176666A737}"/>
    <hyperlink ref="K682" r:id="rId339" display="vSaleOrder.aspx%3fID=250843" xr:uid="{D6F037B4-1B40-4F1B-A5A8-636B94EBBDAE}"/>
    <hyperlink ref="K684" r:id="rId340" display="vSaleOrder.aspx%3fID=251539" xr:uid="{1383D98E-1741-4AB0-B380-EB7C42894CAC}"/>
    <hyperlink ref="K686" r:id="rId341" display="vSaleOrder.aspx%3fID=215256" xr:uid="{E1CFA524-9D0B-40CF-8F96-1EACB1B04D21}"/>
    <hyperlink ref="K688" r:id="rId342" display="vSaleOrder.aspx%3fID=300337" xr:uid="{63237429-8C41-4857-8F5D-5087D221650A}"/>
    <hyperlink ref="K690" r:id="rId343" display="vSaleOrder.aspx%3fID=316905" xr:uid="{D9A61366-B334-443F-A8E6-16DD57E8F9B0}"/>
    <hyperlink ref="K692" r:id="rId344" display="vSaleOrder.aspx%3fID=293393" xr:uid="{33C3332F-6A45-4CEA-89D6-A4DBCD30F917}"/>
    <hyperlink ref="K694" r:id="rId345" display="vSaleOrder.aspx%3fID=293393" xr:uid="{3685B438-A7EA-4F3B-80AD-60477463EBBF}"/>
    <hyperlink ref="K696" r:id="rId346" display="vSaleOrder.aspx%3fID=318265" xr:uid="{F393ED46-FBE7-434A-BC34-15D46806A22B}"/>
    <hyperlink ref="K698" r:id="rId347" display="vSaleOrder.aspx%3fID=315625" xr:uid="{ED2947BE-7AF7-4218-9891-47C8CE6471BF}"/>
    <hyperlink ref="K700" r:id="rId348" display="vSaleOrder.aspx%3fID=314295" xr:uid="{62BA412E-ACFB-4EC4-9F0A-FE96AD3CB024}"/>
    <hyperlink ref="K702" r:id="rId349" display="vSaleOrder.aspx%3fID=315637" xr:uid="{999048C0-B5E0-4689-9D36-7B3DE81B37BA}"/>
    <hyperlink ref="K704" r:id="rId350" display="vSaleOrder.aspx%3fID=313890" xr:uid="{C33C4DDC-1443-48DE-9134-2235F0DABDBA}"/>
    <hyperlink ref="K706" r:id="rId351" display="vSaleOrder.aspx%3fID=314299" xr:uid="{A2153EF8-3E59-403B-BF4C-9CC7D6C4CB64}"/>
    <hyperlink ref="K708" r:id="rId352" display="vSaleOrder.aspx%3fID=304152" xr:uid="{F0F3EF56-135D-46A2-93DF-A5D1350567F7}"/>
    <hyperlink ref="K710" r:id="rId353" display="vSaleOrder.aspx%3fID=304067" xr:uid="{36ED96B7-B34C-4DC1-B458-C8E5FB0BBF03}"/>
    <hyperlink ref="K712" r:id="rId354" display="vSaleOrder.aspx%3fID=262040" xr:uid="{62EB17DC-A69D-47CB-AE0C-37F914FB6D31}"/>
    <hyperlink ref="K714" r:id="rId355" display="vSaleOrder.aspx%3fID=304067" xr:uid="{788E4E0B-851C-4DB5-8BC1-2703E0EBAF79}"/>
    <hyperlink ref="K716" r:id="rId356" display="vSaleOrder.aspx%3fID=" xr:uid="{7813F70C-E646-4069-8957-6A61B9B2574B}"/>
    <hyperlink ref="K718" r:id="rId357" display="vSaleOrder.aspx%3fID=313876" xr:uid="{44F93F69-B4A4-4A83-BF1E-14450273CBD2}"/>
    <hyperlink ref="K720" r:id="rId358" display="vSaleOrder.aspx%3fID=313891" xr:uid="{F75CFE8F-B95A-4A9E-9C59-FA4F31B1BDC9}"/>
    <hyperlink ref="K722" r:id="rId359" display="vSaleOrder.aspx%3fID=296681" xr:uid="{BC009C48-3534-4512-A5F7-534B9D6F7C33}"/>
    <hyperlink ref="K724" r:id="rId360" display="vSaleOrder.aspx%3fID=314248" xr:uid="{82882F2A-0019-4CE1-BC49-499BC4ACF08C}"/>
    <hyperlink ref="K726" r:id="rId361" display="vSaleOrder.aspx%3fID=" xr:uid="{8D54F3A0-1C05-4171-B2C3-C47D69A5287D}"/>
    <hyperlink ref="K728" r:id="rId362" display="vSaleOrder.aspx%3fID=266335" xr:uid="{12D019F1-6C8E-4113-A831-15664253B7A5}"/>
    <hyperlink ref="K730" r:id="rId363" display="vSaleOrder.aspx%3fID=235969" xr:uid="{86CF49FC-EE47-4509-9ED5-80810F08F50F}"/>
    <hyperlink ref="K732" r:id="rId364" display="vSaleOrder.aspx%3fID=" xr:uid="{39054C87-B1E5-4DC5-A611-E7152C10ACEA}"/>
    <hyperlink ref="K734" r:id="rId365" display="vSaleOrder.aspx%3fID=315631" xr:uid="{2F663456-08CD-4198-9C7B-C575C1EBF1AC}"/>
    <hyperlink ref="K736" r:id="rId366" display="vSaleOrder.aspx%3fID=314280" xr:uid="{7E72A677-0F45-458E-8804-119BC323EE08}"/>
    <hyperlink ref="K738" r:id="rId367" display="vSaleOrder.aspx%3fID=318261" xr:uid="{9AD857B2-483A-4CE4-B357-A4EEFA219D6D}"/>
    <hyperlink ref="K740" r:id="rId368" display="vSaleOrder.aspx%3fID=258271" xr:uid="{740C825E-D4F5-4A43-8A47-A8288004FFB1}"/>
    <hyperlink ref="K742" r:id="rId369" display="vSaleOrder.aspx%3fID=266394" xr:uid="{48367C80-83D0-4361-BF9B-438CACB8047B}"/>
    <hyperlink ref="K744" r:id="rId370" display="vSaleOrder.aspx%3fID=" xr:uid="{D495668A-6600-4732-A69D-0E1F942C935A}"/>
    <hyperlink ref="K746" r:id="rId371" display="vSaleOrder.aspx%3fID=" xr:uid="{C35ACFC1-94D4-4CDF-9EFC-4B15CDABD659}"/>
    <hyperlink ref="K748" r:id="rId372" display="vSaleOrder.aspx%3fID=305906" xr:uid="{5D1B1CC9-22A0-476F-A2AE-2E27C4EE91AB}"/>
    <hyperlink ref="K750" r:id="rId373" display="vSaleOrder.aspx%3fID=" xr:uid="{DAEB7A29-4DA0-4153-BA25-D3E75EDFF472}"/>
    <hyperlink ref="K752" r:id="rId374" display="vSaleOrder.aspx%3fID=283738" xr:uid="{B1C07807-41A2-4825-9807-91C44FD052D0}"/>
    <hyperlink ref="K754" r:id="rId375" display="vSaleOrder.aspx%3fID=" xr:uid="{4F9EBA59-7EBC-48B0-ABE1-4E6D6DD93BB3}"/>
    <hyperlink ref="K756" r:id="rId376" display="vSaleOrder.aspx%3fID=" xr:uid="{8E24CD31-B761-4CED-95AE-40490821D385}"/>
    <hyperlink ref="K758" r:id="rId377" display="vSaleOrder.aspx%3fID=279835" xr:uid="{F3713275-3391-4CEE-BC80-D5DB957A34F7}"/>
    <hyperlink ref="K760" r:id="rId378" display="vSaleOrder.aspx%3fID=" xr:uid="{7F322EF7-EEF6-45DA-A8E4-8C8073FE1B23}"/>
    <hyperlink ref="K762" r:id="rId379" display="vSaleOrder.aspx%3fID=" xr:uid="{804FD68B-D63C-4E8D-B556-3DC8BA92C7BD}"/>
    <hyperlink ref="K764" r:id="rId380" display="vSaleOrder.aspx%3fID=260253" xr:uid="{C33A6B60-0E4C-4967-ACF0-DD6F2F9C296D}"/>
    <hyperlink ref="K766" r:id="rId381" display="vSaleOrder.aspx%3fID=260253" xr:uid="{720BEA35-4B4B-4D39-99FB-93A81147A895}"/>
    <hyperlink ref="K768" r:id="rId382" display="vSaleOrder.aspx%3fID=272670" xr:uid="{BB4E8191-B348-448E-A5F0-BC7DF501FAF2}"/>
    <hyperlink ref="K770" r:id="rId383" display="vSaleOrder.aspx%3fID=318248" xr:uid="{44A2DCCD-2964-49C2-9A14-6C1CFBD185D6}"/>
    <hyperlink ref="K3" r:id="rId384" display="vSaleOrder.aspx%3fID=315626" xr:uid="{125BFDEC-DC94-4574-9116-175BEF07CC5A}"/>
    <hyperlink ref="K5" r:id="rId385" display="vSaleOrder.aspx%3fID=288373" xr:uid="{F5276F17-823E-42C5-B5A9-FC25CCD7E1F0}"/>
    <hyperlink ref="K7" r:id="rId386" display="vSaleOrder.aspx%3fID=" xr:uid="{B232B662-35BF-44C4-A663-BD93292DA22A}"/>
    <hyperlink ref="K9" r:id="rId387" display="vSaleOrder.aspx%3fID=319605" xr:uid="{B0B1ABF1-FE68-49EA-8806-8AF83AAEBFD5}"/>
    <hyperlink ref="K11" r:id="rId388" display="vSaleOrder.aspx%3fID=316924" xr:uid="{7DFC6E10-929B-4AAB-885B-09627F1A3621}"/>
    <hyperlink ref="K13" r:id="rId389" display="vSaleOrder.aspx%3fID=319293" xr:uid="{47EE9565-1086-4987-8A63-DE86FF8ADDD1}"/>
    <hyperlink ref="K15" r:id="rId390" display="vSaleOrder.aspx%3fID=285102" xr:uid="{4CE8B347-1A81-4E03-A32F-1E2BA9A6E27A}"/>
    <hyperlink ref="K17" r:id="rId391" display="vSaleOrder.aspx%3fID=282797" xr:uid="{0A960F02-01CE-4DEC-906B-F7F85FA04F5D}"/>
    <hyperlink ref="K19" r:id="rId392" display="vSaleOrder.aspx%3fID=282797" xr:uid="{22E7B2C1-CBD1-467F-A721-272DBDD08DFA}"/>
    <hyperlink ref="K21" r:id="rId393" display="vSaleOrder.aspx%3fID=318258" xr:uid="{85DC4B39-C2E2-49F9-8800-8541EF3232B2}"/>
    <hyperlink ref="K23" r:id="rId394" display="vSaleOrder.aspx%3fID=292661" xr:uid="{23DDCE0F-73FC-4E4D-AE0F-AE3E00B140A3}"/>
    <hyperlink ref="K25" r:id="rId395" display="vSaleOrder.aspx%3fID=314305" xr:uid="{C46E29A7-48C1-4260-B0FA-C5EF6674BEFA}"/>
    <hyperlink ref="K27" r:id="rId396" display="vSaleOrder.aspx%3fID=314012" xr:uid="{D9895E64-12E6-4DD7-8988-416233215B36}"/>
    <hyperlink ref="K29" r:id="rId397" display="vSaleOrder.aspx%3fID=296419" xr:uid="{85CDFDCA-4DAC-44B6-AE87-6A33F894EE3C}"/>
    <hyperlink ref="K31" r:id="rId398" display="vSaleOrder.aspx%3fID=288401" xr:uid="{40BB666D-CF6F-4D26-8EDB-04DAA3950493}"/>
    <hyperlink ref="K33" r:id="rId399" display="vSaleOrder.aspx%3fID=314050" xr:uid="{7A61235B-1060-4BDF-BF43-A781F81BB0F1}"/>
    <hyperlink ref="K35" r:id="rId400" display="vSaleOrder.aspx%3fID=307004" xr:uid="{CB3ECD2A-009A-4F87-9776-E560BF2753B5}"/>
    <hyperlink ref="K37" r:id="rId401" display="vSaleOrder.aspx%3fID=316163" xr:uid="{BAD7EB74-C66B-4D20-9554-7FCBCE3C3946}"/>
    <hyperlink ref="K39" r:id="rId402" display="vSaleOrder.aspx%3fID=315642" xr:uid="{39D3F633-3742-4477-A2BF-A35C99161446}"/>
    <hyperlink ref="K41" r:id="rId403" display="vSaleOrder.aspx%3fID=318022" xr:uid="{B6071C04-6CE2-4268-B9C0-C78F5F680403}"/>
    <hyperlink ref="K43" r:id="rId404" display="vSaleOrder.aspx%3fID=314306" xr:uid="{4115A05B-1BE4-479C-80A7-296945B23FB0}"/>
    <hyperlink ref="K45" r:id="rId405" display="vSaleOrder.aspx%3fID=307409" xr:uid="{D9FE8B12-676F-4412-9051-5728AB006C00}"/>
    <hyperlink ref="K47" r:id="rId406" display="vSaleOrder.aspx%3fID=314240" xr:uid="{91701A30-D306-41E8-B3B7-998B61E96217}"/>
    <hyperlink ref="K49" r:id="rId407" display="vSaleOrder.aspx%3fID=307596" xr:uid="{08E7673B-18FA-4743-A014-B376907C6BF0}"/>
    <hyperlink ref="K51" r:id="rId408" display="vSaleOrder.aspx%3fID=261545" xr:uid="{632CBECB-D2CF-4BE6-B38D-C077D4096275}"/>
    <hyperlink ref="K53" r:id="rId409" display="vSaleOrder.aspx%3fID=" xr:uid="{2CFA9042-DAB0-4259-83C0-878DA9F10F06}"/>
    <hyperlink ref="K55" r:id="rId410" display="vSaleOrder.aspx%3fID=318280" xr:uid="{BD4B7DD5-8A32-4879-B1AD-98A935C53E7F}"/>
    <hyperlink ref="K57" r:id="rId411" display="vSaleOrder.aspx%3fID=314557" xr:uid="{85D5AB00-D7B6-4ACA-ABA6-DBED9F7E7789}"/>
    <hyperlink ref="K59" r:id="rId412" display="vSaleOrder.aspx%3fID=314559" xr:uid="{A8A79AE6-F7D2-48A9-B504-BD34A01413E5}"/>
    <hyperlink ref="K61" r:id="rId413" display="vSaleOrder.aspx%3fID=316916" xr:uid="{9DFB9C73-78F7-4C54-AAE1-30887B42F6A1}"/>
    <hyperlink ref="K63" r:id="rId414" display="vSaleOrder.aspx%3fID=268745" xr:uid="{27809595-E5E1-4413-9148-634FE96F8D99}"/>
    <hyperlink ref="K65" r:id="rId415" display="vSaleOrder.aspx%3fID=" xr:uid="{0183D3F8-6820-41F6-8501-5F6EDC36103B}"/>
    <hyperlink ref="K69" r:id="rId416" display="vSaleOrder.aspx%3fID=272461" xr:uid="{511B7ADA-04D2-4A1B-8510-89D97D24F579}"/>
    <hyperlink ref="K71" r:id="rId417" display="vSaleOrder.aspx%3fID=" xr:uid="{022F2BBF-2A22-4750-A7F5-8D80AEE23BFB}"/>
    <hyperlink ref="K73" r:id="rId418" display="vSaleOrder.aspx%3fID=297366" xr:uid="{ACFAA9ED-E88B-4642-9A62-31C94395657B}"/>
    <hyperlink ref="K75" r:id="rId419" display="vSaleOrder.aspx%3fID=288448" xr:uid="{6EA179C3-2FC7-40B0-BC1F-809440A04D46}"/>
    <hyperlink ref="K77" r:id="rId420" display="vSaleOrder.aspx%3fID=313893" xr:uid="{839269D8-AB3A-4A18-9B94-8D390FCC8C27}"/>
    <hyperlink ref="K79" r:id="rId421" display="vSaleOrder.aspx%3fID=318276" xr:uid="{AD004255-48D2-4AD2-84B0-A0B04D7D0EC1}"/>
    <hyperlink ref="K81" r:id="rId422" display="vSaleOrder.aspx%3fID=295712" xr:uid="{4A45EF38-7AFE-44B8-A074-BD2907E6288A}"/>
    <hyperlink ref="K83" r:id="rId423" display="vSaleOrder.aspx%3fID=295712" xr:uid="{29DCB134-5CA0-4C28-822D-C391F1FDA4C7}"/>
    <hyperlink ref="K85" r:id="rId424" display="vSaleOrder.aspx%3fID=314261" xr:uid="{5A282813-B9A8-4C5A-BC5C-C91CEC217C9C}"/>
    <hyperlink ref="K87" r:id="rId425" display="vSaleOrder.aspx%3fID=314264" xr:uid="{6B6168A6-6861-4376-9C71-2EDCBB3FBBBC}"/>
    <hyperlink ref="K89" r:id="rId426" display="vSaleOrder.aspx%3fID=277937" xr:uid="{E60CCDD6-0687-4FE7-8EB4-8043814EF2CD}"/>
    <hyperlink ref="K91" r:id="rId427" display="vSaleOrder.aspx%3fID=277937" xr:uid="{BD79FE1F-8669-417C-B720-E6023222598D}"/>
    <hyperlink ref="K93" r:id="rId428" display="vSaleOrder.aspx%3fID=277336" xr:uid="{E4B06564-D24D-44AA-BEFA-30E9CB667660}"/>
    <hyperlink ref="K95" r:id="rId429" display="vSaleOrder.aspx%3fID=313886" xr:uid="{AB0FFE93-E63A-44FB-84E2-17BE4DEB54F7}"/>
    <hyperlink ref="K97" r:id="rId430" display="vSaleOrder.aspx%3fID=318128" xr:uid="{9D606983-AEB6-4F1B-B5B4-A2F6AC6CB564}"/>
    <hyperlink ref="K99" r:id="rId431" display="vSaleOrder.aspx%3fID=295777" xr:uid="{8F337DF4-519B-4C04-8E71-2BE344564CB8}"/>
    <hyperlink ref="K101" r:id="rId432" display="vSaleOrder.aspx%3fID=295777" xr:uid="{BAECD241-07EB-4E9F-B2FD-452AB026F9F2}"/>
    <hyperlink ref="K103" r:id="rId433" display="vSaleOrder.aspx%3fID=295777" xr:uid="{FF2B9655-DB61-48A9-A0C3-1D88C5A48954}"/>
    <hyperlink ref="K105" r:id="rId434" display="vSaleOrder.aspx%3fID=250544" xr:uid="{83E251BB-8EAD-4314-ADB7-6AA74EFFC0B9}"/>
    <hyperlink ref="K107" r:id="rId435" display="vSaleOrder.aspx%3fID=314269" xr:uid="{2A30AB81-2647-434E-8523-9818AAFCA0C5}"/>
    <hyperlink ref="K109" r:id="rId436" display="vSaleOrder.aspx%3fID=286505" xr:uid="{A3141BCF-761A-4D19-9715-BF49AF6D9363}"/>
    <hyperlink ref="K111" r:id="rId437" display="vSaleOrder.aspx%3fID=314290" xr:uid="{FF519120-B56E-4E52-9716-B5A52C92E36F}"/>
    <hyperlink ref="K113" r:id="rId438" display="vSaleOrder.aspx%3fID=314271" xr:uid="{0107513B-A29B-4B4D-BEE7-DB1375828BE0}"/>
    <hyperlink ref="K115" r:id="rId439" display="vSaleOrder.aspx%3fID=288348" xr:uid="{A3D6C385-E171-4218-88EB-00971D6623CB}"/>
    <hyperlink ref="K117" r:id="rId440" display="vSaleOrder.aspx%3fID=314270" xr:uid="{778CB280-9DF0-4AEA-B9BC-2F8652866EE9}"/>
    <hyperlink ref="K119" r:id="rId441" display="vSaleOrder.aspx%3fID=266371" xr:uid="{7D1785F7-C72A-4336-BFFE-D5682D196CF3}"/>
    <hyperlink ref="K121" r:id="rId442" display="vSaleOrder.aspx%3fID=243141" xr:uid="{4893546B-0848-4B81-8F27-35B7D11E7C29}"/>
    <hyperlink ref="K123" r:id="rId443" display="vSaleOrder.aspx%3fID=" xr:uid="{5EF4ACA0-5BFA-4C60-A7F8-1B91E8AE46EE}"/>
    <hyperlink ref="K125" r:id="rId444" display="vSaleOrder.aspx%3fID=280293" xr:uid="{322C3A34-64A2-4A72-92DF-C4B23B0D6F3E}"/>
    <hyperlink ref="K127" r:id="rId445" display="vSaleOrder.aspx%3fID=294193" xr:uid="{D97B90DF-4AD3-4C47-A660-B2EEEB683B22}"/>
    <hyperlink ref="K129" r:id="rId446" display="vSaleOrder.aspx%3fID=290226" xr:uid="{7651FFE7-0FE7-4D26-8F76-B2F2E48009E9}"/>
    <hyperlink ref="K131" r:id="rId447" display="vSaleOrder.aspx%3fID=290226" xr:uid="{0BFF7249-95C8-4C95-8129-585B927CE092}"/>
    <hyperlink ref="K133" r:id="rId448" display="vSaleOrder.aspx%3fID=304459" xr:uid="{E9FC0362-287B-4E5E-8867-A320C9D9A8A4}"/>
    <hyperlink ref="K135" r:id="rId449" display="vSaleOrder.aspx%3fID=277126" xr:uid="{5D78495F-6CE2-4CFA-9E6F-2BD1B7DCADBB}"/>
    <hyperlink ref="K137" r:id="rId450" display="vSaleOrder.aspx%3fID=279701" xr:uid="{15254EDB-C944-4A21-942E-10DC6B688922}"/>
    <hyperlink ref="K139" r:id="rId451" display="vSaleOrder.aspx%3fID=305471" xr:uid="{6EBFA8F1-1A30-40A5-A7CA-CBB5FC238831}"/>
    <hyperlink ref="K141" r:id="rId452" display="vSaleOrder.aspx%3fID=316920" xr:uid="{62B71249-F40E-40CB-8745-06DDC70EB1F3}"/>
    <hyperlink ref="K143" r:id="rId453" display="vSaleOrder.aspx%3fID=314298" xr:uid="{56C48E4F-F2D2-49C2-BCBE-7B216F71D9FA}"/>
    <hyperlink ref="K145" r:id="rId454" display="vSaleOrder.aspx%3fID=314265" xr:uid="{23AC1A45-63D9-4BC2-BD03-7B98E708ACA1}"/>
    <hyperlink ref="K147" r:id="rId455" display="vSaleOrder.aspx%3fID=271064" xr:uid="{145F0824-9C6B-433C-AF9D-F8A0C4165B19}"/>
    <hyperlink ref="K149" r:id="rId456" display="vSaleOrder.aspx%3fID=271494" xr:uid="{5D9549A2-207E-4C3D-99F1-D03F7F9181FF}"/>
    <hyperlink ref="K151" r:id="rId457" display="vSaleOrder.aspx%3fID=264620" xr:uid="{606EF5A2-E427-4AB0-A2E5-C4431A961045}"/>
    <hyperlink ref="K153" r:id="rId458" display="vSaleOrder.aspx%3fID=219186" xr:uid="{4B9BFBE9-7C63-4E5C-8191-B36F66DBC621}"/>
    <hyperlink ref="K155" r:id="rId459" display="vSaleOrder.aspx%3fID=315630" xr:uid="{B0EBEC81-7CDD-4269-834B-FFA3577D13F1}"/>
    <hyperlink ref="K157" r:id="rId460" display="vSaleOrder.aspx%3fID=314276" xr:uid="{261BE889-68F4-4E7E-8C7A-4630DF7A5BA9}"/>
    <hyperlink ref="K159" r:id="rId461" display="vSaleOrder.aspx%3fID=314276" xr:uid="{31806A42-8B9F-41DF-B9B7-E878F80A9BEE}"/>
    <hyperlink ref="K161" r:id="rId462" display="vSaleOrder.aspx%3fID=303435" xr:uid="{62B82330-E894-47A2-A7CF-B7F3AD1A76B2}"/>
    <hyperlink ref="K163" r:id="rId463" display="vSaleOrder.aspx%3fID=272472" xr:uid="{4C694F81-6666-44A3-8961-636392401BBF}"/>
    <hyperlink ref="K165" r:id="rId464" display="vSaleOrder.aspx%3fID=306185" xr:uid="{F2195E92-90CE-446F-90D2-BEC7FC8C1B7A}"/>
    <hyperlink ref="K167" r:id="rId465" display="vSaleOrder.aspx%3fID=313978" xr:uid="{A04DE1E8-8642-4A0A-8C3A-480164009DD5}"/>
    <hyperlink ref="K169" r:id="rId466" display="vSaleOrder.aspx%3fID=314010" xr:uid="{9886C00E-6788-4FC3-9418-1B535B631D0A}"/>
    <hyperlink ref="K171" r:id="rId467" display="vSaleOrder.aspx%3fID=274972" xr:uid="{E0BD588A-110E-4223-B888-042DF9FBD5AB}"/>
    <hyperlink ref="K173" r:id="rId468" display="vSaleOrder.aspx%3fID=274972" xr:uid="{FE65566D-3A12-4894-8AE6-1C8C75BF80D0}"/>
    <hyperlink ref="K175" r:id="rId469" display="vSaleOrder.aspx%3fID=274972" xr:uid="{21B6414D-D933-4D68-B351-4A5BF82C36D9}"/>
    <hyperlink ref="K177" r:id="rId470" display="vSaleOrder.aspx%3fID=287425" xr:uid="{CA092709-4165-471D-99D8-1DE242592F30}"/>
    <hyperlink ref="K179" r:id="rId471" display="vSaleOrder.aspx%3fID=319735" xr:uid="{D0032550-DAEF-4CF4-B3F5-A7EC285C00C8}"/>
    <hyperlink ref="K181" r:id="rId472" display="vSaleOrder.aspx%3fID=296643" xr:uid="{2D104DAA-C656-4CC9-8859-E24BA09D2B6F}"/>
    <hyperlink ref="K185" r:id="rId473" display="vSaleOrder.aspx%3fID=261362" xr:uid="{35CF2F97-BF9C-4305-A896-E375ED31ED93}"/>
    <hyperlink ref="K187" r:id="rId474" display="vSaleOrder.aspx%3fID=318124" xr:uid="{681F5F5C-313B-42A2-859B-7D150282BFFD}"/>
    <hyperlink ref="K189" r:id="rId475" display="vSaleOrder.aspx%3fID=261362" xr:uid="{C563A997-BC4D-415C-96A3-6E6D85D1F96F}"/>
    <hyperlink ref="K191" r:id="rId476" display="vSaleOrder.aspx%3fID=286499" xr:uid="{46A957E2-EF52-416E-BA6D-1664C67ADDC9}"/>
    <hyperlink ref="K193" r:id="rId477" display="vSaleOrder.aspx%3fID=314852" xr:uid="{9888A694-40B7-4FD4-963E-65F5A601117A}"/>
    <hyperlink ref="K195" r:id="rId478" display="vSaleOrder.aspx%3fID=314901" xr:uid="{7F658CBF-F132-4BC7-9FC1-53C05D65A415}"/>
    <hyperlink ref="K197" r:id="rId479" display="vSaleOrder.aspx%3fID=315627" xr:uid="{EBEEB82E-085D-46DC-9AF9-23DBC3E42C5B}"/>
    <hyperlink ref="K199" r:id="rId480" display="vSaleOrder.aspx%3fID=314891" xr:uid="{9315C80D-7A6B-4F27-91AD-33DDB15B7846}"/>
    <hyperlink ref="K201" r:id="rId481" display="vSaleOrder.aspx%3fID=313885" xr:uid="{E8497F67-A844-4D29-8113-6F015EC35760}"/>
    <hyperlink ref="K203" r:id="rId482" display="vSaleOrder.aspx%3fID=316861" xr:uid="{C33EBF82-5C36-45B1-81A2-0F3016E470F9}"/>
    <hyperlink ref="K205" r:id="rId483" display="vSaleOrder.aspx%3fID=317670" xr:uid="{5C526E28-DF56-4277-88DA-BC30A318842A}"/>
    <hyperlink ref="K207" r:id="rId484" display="vSaleOrder.aspx%3fID=315635" xr:uid="{C3CB78D0-CD7D-437D-ADA3-CE6E4D4EF96D}"/>
    <hyperlink ref="K209" r:id="rId485" display="vSaleOrder.aspx%3fID=300934" xr:uid="{5BC55CAF-25F1-4601-A7B4-44FCB2919E33}"/>
    <hyperlink ref="K211" r:id="rId486" display="vSaleOrder.aspx%3fID=292727" xr:uid="{481E06AF-5EDE-4DAE-BD04-82757CA0E80C}"/>
    <hyperlink ref="K213" r:id="rId487" display="vSaleOrder.aspx%3fID=284734" xr:uid="{8B492A23-8CC4-4F93-9E5F-984A743EEF2B}"/>
    <hyperlink ref="K215" r:id="rId488" display="vSaleOrder.aspx%3fID=" xr:uid="{CE1DE57E-DED4-4C61-8523-325EBB4BA5E0}"/>
    <hyperlink ref="K217" r:id="rId489" display="vSaleOrder.aspx%3fID=" xr:uid="{A325AFCD-FAE4-4EA9-BF9C-A47B3D372CA9}"/>
    <hyperlink ref="K219" r:id="rId490" display="vSaleOrder.aspx%3fID=314895" xr:uid="{FEF4C6B6-F38F-47CB-8FAF-A7ADEF9591A3}"/>
    <hyperlink ref="K221" r:id="rId491" display="vSaleOrder.aspx%3fID=196480" xr:uid="{3059981A-3504-45D6-861C-4B913F3AA613}"/>
    <hyperlink ref="K223" r:id="rId492" display="vSaleOrder.aspx%3fID=" xr:uid="{24045635-C34B-4B3B-B8D2-036408E67672}"/>
    <hyperlink ref="K225" r:id="rId493" display="vSaleOrder.aspx%3fID=303456" xr:uid="{62CBA0DE-2C28-484C-83FD-5C70C8909AC9}"/>
    <hyperlink ref="K227" r:id="rId494" display="vSaleOrder.aspx%3fID=196481" xr:uid="{0DBD356E-E98C-48D7-B8AB-0C0941B7859A}"/>
    <hyperlink ref="K229" r:id="rId495" display="vSaleOrder.aspx%3fID=303529" xr:uid="{568A45AB-54F7-4903-84DE-315B6E138BB8}"/>
    <hyperlink ref="K231" r:id="rId496" display="vSaleOrder.aspx%3fID=296853" xr:uid="{7E6BD534-97C3-4491-9B62-4E23AAC4A900}"/>
    <hyperlink ref="K233" r:id="rId497" display="vSaleOrder.aspx%3fID=315641" xr:uid="{2B15BCD6-04E4-4E08-BC2A-9A18D2ECB366}"/>
    <hyperlink ref="K235" r:id="rId498" display="vSaleOrder.aspx%3fID=306498" xr:uid="{A83A9805-FF2E-42A5-BE69-CE42D7C9B1C3}"/>
    <hyperlink ref="K237" r:id="rId499" display="vSaleOrder.aspx%3fID=" xr:uid="{CA097823-3B1F-4B6F-A46F-7753E13677F7}"/>
    <hyperlink ref="K239" r:id="rId500" display="vSaleOrder.aspx%3fID=259030" xr:uid="{56E29736-EF29-4978-B892-7B5AF7E48390}"/>
    <hyperlink ref="K241" r:id="rId501" display="vSaleOrder.aspx%3fID=259030" xr:uid="{99FA4C4E-FF0D-42CD-8F01-335220B2A489}"/>
    <hyperlink ref="K243" r:id="rId502" display="vSaleOrder.aspx%3fID=259030" xr:uid="{78E1C1D5-350D-433C-A50F-1A2BD5FA77F1}"/>
    <hyperlink ref="K245" r:id="rId503" display="vSaleOrder.aspx%3fID=314002" xr:uid="{758F55F4-7996-4EAA-8CD8-58B3C93C9D84}"/>
    <hyperlink ref="K247" r:id="rId504" display="vSaleOrder.aspx%3fID=308189" xr:uid="{214C9526-02F0-4692-AB42-E567C163F2A8}"/>
    <hyperlink ref="K249" r:id="rId505" display="vSaleOrder.aspx%3fID=289009" xr:uid="{A0EF3F84-C2F0-44F0-865D-882F6F9ECD35}"/>
    <hyperlink ref="K251" r:id="rId506" display="vSaleOrder.aspx%3fID=242401" xr:uid="{AC41BDE1-9FA7-45C6-BD2B-F31EF520D934}"/>
    <hyperlink ref="K253" r:id="rId507" display="vSaleOrder.aspx%3fID=242397" xr:uid="{031F3C5C-29BB-4AAB-8418-3D73761056AE}"/>
    <hyperlink ref="K255" r:id="rId508" display="vSaleOrder.aspx%3fID=242403" xr:uid="{F1CDE26D-66E0-4511-825C-14F478CD98B1}"/>
    <hyperlink ref="K257" r:id="rId509" display="vSaleOrder.aspx%3fID=230770" xr:uid="{4B1BB7AA-DF62-4C39-8875-E717461ED073}"/>
    <hyperlink ref="K259" r:id="rId510" display="vSaleOrder.aspx%3fID=251147" xr:uid="{EC8F8C07-459D-44D5-BC34-EA8696393853}"/>
    <hyperlink ref="K261" r:id="rId511" display="vSaleOrder.aspx%3fID=251152" xr:uid="{CE9A4009-FC22-4A22-A297-D25DBFB95876}"/>
    <hyperlink ref="K263" r:id="rId512" display="vSaleOrder.aspx%3fID=284497" xr:uid="{6B24EA2F-6ED8-4F9F-A7FA-6D7DF951E247}"/>
    <hyperlink ref="K265" r:id="rId513" display="vSaleOrder.aspx%3fID=290707" xr:uid="{CBFCD892-F656-4066-B077-4C1827B7E9A5}"/>
    <hyperlink ref="K267" r:id="rId514" display="vSaleOrder.aspx%3fID=292407" xr:uid="{C8464BB0-C2CE-4B13-9510-F6E325483A4C}"/>
    <hyperlink ref="K269" r:id="rId515" display="vSaleOrder.aspx%3fID=299345" xr:uid="{75D8AFA1-8DD6-4829-BCEC-A54CD2292B5F}"/>
    <hyperlink ref="K271" r:id="rId516" display="vSaleOrder.aspx%3fID=" xr:uid="{48E3EEC5-F5AF-4852-867E-5DF04C4AFC47}"/>
    <hyperlink ref="K273" r:id="rId517" display="vSaleOrder.aspx%3fID=304486" xr:uid="{85B12EB5-75F5-4EED-B60D-A6EA1BA24B16}"/>
    <hyperlink ref="K275" r:id="rId518" display="vSaleOrder.aspx%3fID=316914" xr:uid="{0198DD5D-0D88-4383-8E89-2A0F5917843A}"/>
    <hyperlink ref="K277" r:id="rId519" display="vSaleOrder.aspx%3fID=316908" xr:uid="{9BF73152-846E-4ED3-BA86-1D097A3ED7EF}"/>
    <hyperlink ref="K279" r:id="rId520" display="vSaleOrder.aspx%3fID=314851" xr:uid="{6D160AA1-4E7C-4014-B546-5749A3816CCB}"/>
    <hyperlink ref="K281" r:id="rId521" display="vSaleOrder.aspx%3fID=308013" xr:uid="{F53D9B61-84A9-455B-9646-448D2592F206}"/>
    <hyperlink ref="K283" r:id="rId522" display="vSaleOrder.aspx%3fID=315639" xr:uid="{02EC0B15-DAE6-4C4F-BB26-07575D50EB08}"/>
    <hyperlink ref="K285" r:id="rId523" display="vSaleOrder.aspx%3fID=295775" xr:uid="{7154DD21-A8D1-46A8-87EE-EA2E31BD65B2}"/>
    <hyperlink ref="K287" r:id="rId524" display="vSaleOrder.aspx%3fID=295775" xr:uid="{2A9BFB76-AA54-4E0C-AA08-E43074EA021D}"/>
    <hyperlink ref="K289" r:id="rId525" display="vSaleOrder.aspx%3fID=269238" xr:uid="{02715D9C-4E10-4966-8504-5DCE3CC0AD12}"/>
    <hyperlink ref="K291" r:id="rId526" display="vSaleOrder.aspx%3fID=249454" xr:uid="{2ED27483-85F6-4B8C-9BF6-5038F09645DF}"/>
    <hyperlink ref="K293" r:id="rId527" display="vSaleOrder.aspx%3fID=284027" xr:uid="{0B592E2A-3461-4AE1-A589-8E3EC9FC48E2}"/>
    <hyperlink ref="K295" r:id="rId528" display="vSaleOrder.aspx%3fID=" xr:uid="{DD2D357C-2803-4203-9596-0C56480D3079}"/>
    <hyperlink ref="K297" r:id="rId529" display="vSaleOrder.aspx%3fID=318028" xr:uid="{F155F75A-BE60-42D0-9B69-04EC9CF05F0F}"/>
    <hyperlink ref="K299" r:id="rId530" display="vSaleOrder.aspx%3fID=318255" xr:uid="{9768693B-4CDA-45B7-883C-D8DF2CB5769B}"/>
    <hyperlink ref="K301" r:id="rId531" display="vSaleOrder.aspx%3fID=313987" xr:uid="{A230D5B9-9801-49B5-830F-66458B923DE6}"/>
    <hyperlink ref="K303" r:id="rId532" display="vSaleOrder.aspx%3fID=318244" xr:uid="{96090923-B0FB-4A24-88B6-44B67FF48DDE}"/>
    <hyperlink ref="K305" r:id="rId533" display="vSaleOrder.aspx%3fID=292985" xr:uid="{196E734C-723F-4D03-8902-B583E1428A42}"/>
    <hyperlink ref="K307" r:id="rId534" display="vSaleOrder.aspx%3fID=314044" xr:uid="{97EB00D7-4BDD-4E9E-AE2D-D8BBA4524A0B}"/>
    <hyperlink ref="K309" r:id="rId535" display="vSaleOrder.aspx%3fID=276731" xr:uid="{88868CEF-FDB1-48FE-9672-2F7881EC78E2}"/>
    <hyperlink ref="K311" r:id="rId536" display="vSaleOrder.aspx%3fID=276731" xr:uid="{4B94F818-613B-4907-8B3C-D6CE6FB49DA1}"/>
    <hyperlink ref="K313" r:id="rId537" display="vSaleOrder.aspx%3fID=261271" xr:uid="{CAC0B624-2644-4963-BC3F-B0FCAF73361C}"/>
    <hyperlink ref="K315" r:id="rId538" display="vSaleOrder.aspx%3fID=268449" xr:uid="{6A0AD15D-8CBE-4C85-BDBA-D89ACEDE14BA}"/>
    <hyperlink ref="K317" r:id="rId539" display="vSaleOrder.aspx%3fID=295306" xr:uid="{399F6CA5-A301-436C-8B58-E6F41E5C404F}"/>
    <hyperlink ref="K319" r:id="rId540" display="vSaleOrder.aspx%3fID=300892" xr:uid="{B686644A-7E54-497E-B0BF-B85E5E209DA4}"/>
    <hyperlink ref="K321" r:id="rId541" display="vSaleOrder.aspx%3fID=258611" xr:uid="{4032C752-87D8-4EC9-B7CA-EAC0119472E9}"/>
    <hyperlink ref="K323" r:id="rId542" display="vSaleOrder.aspx%3fID=314303" xr:uid="{65D77479-0BD9-430A-8D22-2D593027DF02}"/>
    <hyperlink ref="K325" r:id="rId543" display="vSaleOrder.aspx%3fID=314303" xr:uid="{AF3E17AA-0277-4667-828C-0EDA18CBC099}"/>
    <hyperlink ref="K327" r:id="rId544" display="vSaleOrder.aspx%3fID=314257" xr:uid="{CAD3AD85-D661-4E6E-8ED8-B02190909779}"/>
    <hyperlink ref="K329" r:id="rId545" display="vSaleOrder.aspx%3fID=257823" xr:uid="{5E986A31-F85B-4575-9734-EFB7BD197BFA}"/>
    <hyperlink ref="K331" r:id="rId546" display="vSaleOrder.aspx%3fID=302795" xr:uid="{D5F5E91C-EAB9-4F54-BCAB-116E2417D95B}"/>
    <hyperlink ref="K333" r:id="rId547" display="vSaleOrder.aspx%3fID=313970" xr:uid="{737AAE60-E574-4861-A081-5E1DA9A94728}"/>
    <hyperlink ref="K335" r:id="rId548" display="vSaleOrder.aspx%3fID=318132" xr:uid="{25546EC9-3A47-4A52-AF47-DDB2BDF38238}"/>
    <hyperlink ref="K337" r:id="rId549" display="vSaleOrder.aspx%3fID=318272" xr:uid="{B220F3E5-A088-4819-8386-3960B04799BE}"/>
    <hyperlink ref="K339" r:id="rId550" display="vSaleOrder.aspx%3fID=" xr:uid="{F46A3188-7B9C-4035-A550-BDF43E2C0A51}"/>
    <hyperlink ref="K341" r:id="rId551" display="vSaleOrder.aspx%3fID=318125" xr:uid="{53A3F8D4-6BD3-46E6-85A6-3402FBE8508E}"/>
    <hyperlink ref="K343" r:id="rId552" display="vSaleOrder.aspx%3fID=316918" xr:uid="{DFE19D70-D2DC-439B-ACAC-9B76E934A3ED}"/>
    <hyperlink ref="K345" r:id="rId553" display="vSaleOrder.aspx%3fID=" xr:uid="{83FD0737-5D14-467E-964C-53DB0F2A43BB}"/>
    <hyperlink ref="K347" r:id="rId554" display="vSaleOrder.aspx%3fID=268214" xr:uid="{3482D148-3867-47B7-AF06-87EE6CD1DD3B}"/>
    <hyperlink ref="K349" r:id="rId555" display="vSaleOrder.aspx%3fID=298216" xr:uid="{A35CC065-FFB2-419D-9A46-E5368C7BB4F1}"/>
    <hyperlink ref="K351" r:id="rId556" display="vSaleOrder.aspx%3fID=314244" xr:uid="{F2C3C7F9-6E93-4B9F-8A74-9F728C57C5E5}"/>
    <hyperlink ref="K353" r:id="rId557" display="vSaleOrder.aspx%3fID=318021" xr:uid="{42A385D5-AF4F-4526-A2FB-7100A0CC7594}"/>
    <hyperlink ref="K355" r:id="rId558" display="vSaleOrder.aspx%3fID=" xr:uid="{B2B1D1FE-17EB-4C35-AF74-F77DECE75CAF}"/>
    <hyperlink ref="K357" r:id="rId559" display="vSaleOrder.aspx%3fID=258619" xr:uid="{ACA1F8C3-5DD4-4A16-A81D-8E1AD9DBD56E}"/>
    <hyperlink ref="K359" r:id="rId560" display="vSaleOrder.aspx%3fID=295409" xr:uid="{5CF2C616-DA01-46B8-89B9-15E7D7F3F5EA}"/>
    <hyperlink ref="K361" r:id="rId561" display="vSaleOrder.aspx%3fID=295409" xr:uid="{D5E774D0-4575-427F-9511-9FC4BCDD421E}"/>
    <hyperlink ref="K363" r:id="rId562" display="vSaleOrder.aspx%3fID=269107" xr:uid="{B41203AF-3C9A-4B1F-81E9-29A22F723A6B}"/>
    <hyperlink ref="K365" r:id="rId563" display="vSaleOrder.aspx%3fID=266373" xr:uid="{B953AC89-8E94-4756-A03B-FD7C7D49980D}"/>
    <hyperlink ref="K367" r:id="rId564" display="vSaleOrder.aspx%3fID=314274" xr:uid="{80771316-F16A-4289-A116-36CE38CFEB15}"/>
    <hyperlink ref="K369" r:id="rId565" display="vSaleOrder.aspx%3fID=254433" xr:uid="{A442A799-BFDE-43F2-AD62-0DF01C25593D}"/>
    <hyperlink ref="K371" r:id="rId566" display="vSaleOrder.aspx%3fID=254421" xr:uid="{6109E306-FE70-408A-8F46-57C3CBE8018A}"/>
    <hyperlink ref="K373" r:id="rId567" display="vSaleOrder.aspx%3fID=" xr:uid="{100F52B4-5851-4013-8EC7-607EC08BC114}"/>
    <hyperlink ref="K375" r:id="rId568" display="vSaleOrder.aspx%3fID=254420" xr:uid="{E5D856B5-D44C-4538-865C-6CE4E05CA16A}"/>
    <hyperlink ref="K377" r:id="rId569" display="vSaleOrder.aspx%3fID=" xr:uid="{27AB3D6D-E47B-4F0A-9E49-D111F7533B24}"/>
    <hyperlink ref="K379" r:id="rId570" display="vSaleOrder.aspx%3fID=254435" xr:uid="{13D4CCEC-A365-4583-BB86-4C30B329CFE2}"/>
    <hyperlink ref="K381" r:id="rId571" display="vSaleOrder.aspx%3fID=264389" xr:uid="{377FA381-C59E-4670-AFDB-0D87EE525E2F}"/>
    <hyperlink ref="K383" r:id="rId572" display="vSaleOrder.aspx%3fID=315636" xr:uid="{9AB562EA-02A0-4D2A-B27C-07B45B704BBB}"/>
    <hyperlink ref="K385" r:id="rId573" display="vSaleOrder.aspx%3fID=275386" xr:uid="{48EAAE76-71F9-416E-A0E6-4FBD51661514}"/>
    <hyperlink ref="K387" r:id="rId574" display="vSaleOrder.aspx%3fID=318131" xr:uid="{E4037136-13BB-470B-A9DE-F374DA67423B}"/>
    <hyperlink ref="K389" r:id="rId575" display="vSaleOrder.aspx%3fID=318130" xr:uid="{D4D3BB70-D4EC-4E0F-8A24-8BC5476F184A}"/>
    <hyperlink ref="K391" r:id="rId576" display="vSaleOrder.aspx%3fID=316922" xr:uid="{33FDAC16-B04E-464E-B398-9C366C61271F}"/>
    <hyperlink ref="K393" r:id="rId577" display="vSaleOrder.aspx%3fID=246931" xr:uid="{427CEDE9-B454-48AA-BDDB-F2FC5E84E3F4}"/>
    <hyperlink ref="K395" r:id="rId578" display="vSaleOrder.aspx%3fID=260869" xr:uid="{3A989B78-8B30-406C-B966-DCF3D6A190EA}"/>
    <hyperlink ref="K397" r:id="rId579" display="vSaleOrder.aspx%3fID=260873" xr:uid="{C36CE6A7-1C51-4160-B5CF-DBF4BEBFB770}"/>
    <hyperlink ref="K399" r:id="rId580" display="vSaleOrder.aspx%3fID=260870" xr:uid="{87A2C2BB-003B-4BB1-A52B-529C77227620}"/>
    <hyperlink ref="K401" r:id="rId581" display="vSaleOrder.aspx%3fID=297692" xr:uid="{A3EA5E78-5A94-4133-B662-1619597B99B9}"/>
    <hyperlink ref="K403" r:id="rId582" display="vSaleOrder.aspx%3fID=260861" xr:uid="{CA6E36C0-2FFD-462C-82FD-431CE16D335D}"/>
    <hyperlink ref="K405" r:id="rId583" display="vSaleOrder.aspx%3fID=260880" xr:uid="{215F93B6-7DA0-4E72-BFB8-D2C2FD952A9A}"/>
    <hyperlink ref="K407" r:id="rId584" display="vSaleOrder.aspx%3fID=260882" xr:uid="{09A3A729-02F9-4851-9BB4-1A82A375532E}"/>
    <hyperlink ref="K409" r:id="rId585" display="vSaleOrder.aspx%3fID=260881" xr:uid="{F0CEE94A-BF57-412D-93A9-50FC34CDD793}"/>
    <hyperlink ref="K411" r:id="rId586" display="vSaleOrder.aspx%3fID=282909" xr:uid="{E8F252F5-DD91-40C0-A82D-D5F87342C596}"/>
    <hyperlink ref="K413" r:id="rId587" display="vSaleOrder.aspx%3fID=282909" xr:uid="{44B29AE4-BCE5-4EE9-B713-DC575191CC3D}"/>
    <hyperlink ref="K415" r:id="rId588" display="vSaleOrder.aspx%3fID=" xr:uid="{D3CB96F3-015B-4CA4-AD83-426EF62634A7}"/>
    <hyperlink ref="K417" r:id="rId589" display="vSaleOrder.aspx%3fID=313948" xr:uid="{06C5D975-4CA6-4397-AA84-FA3D8FF6FB00}"/>
    <hyperlink ref="K419" r:id="rId590" display="vSaleOrder.aspx%3fID=219578" xr:uid="{B199DA38-C929-413C-9D81-C219619F3985}"/>
    <hyperlink ref="K421" r:id="rId591" display="vSaleOrder.aspx%3fID=239866" xr:uid="{05D9A17D-798A-41EC-9AD9-944FC27961C7}"/>
    <hyperlink ref="K423" r:id="rId592" display="vSaleOrder.aspx%3fID=239867" xr:uid="{50A27BBF-F2F0-4E63-B394-2D1195AD7D3B}"/>
    <hyperlink ref="K425" r:id="rId593" display="vSaleOrder.aspx%3fID=239880" xr:uid="{BE5CC62B-72F8-4C33-9F9E-0CF9F4795E8C}"/>
    <hyperlink ref="K427" r:id="rId594" display="vSaleOrder.aspx%3fID=" xr:uid="{C9E8187A-9DC0-49ED-9D09-D765DB8AC58E}"/>
    <hyperlink ref="K429" r:id="rId595" display="vSaleOrder.aspx%3fID=" xr:uid="{689689A3-0473-4282-9766-A6B24F96AB4B}"/>
    <hyperlink ref="K431" r:id="rId596" display="vSaleOrder.aspx%3fID=205851" xr:uid="{657E9357-FB3D-4E49-823F-ADF51B6027A3}"/>
    <hyperlink ref="K433" r:id="rId597" display="vSaleOrder.aspx%3fID=205841" xr:uid="{5ADEDD28-4174-41E1-B4AD-CBD9C0B1FBE8}"/>
    <hyperlink ref="K435" r:id="rId598" display="vSaleOrder.aspx%3fID=205848" xr:uid="{309E9A37-B42B-466F-8FD3-8D932C879A2C}"/>
    <hyperlink ref="K437" r:id="rId599" display="vSaleOrder.aspx%3fID=205843" xr:uid="{9E8BBA88-9EC7-4A23-B531-5C159BFD80BD}"/>
    <hyperlink ref="K439" r:id="rId600" display="vSaleOrder.aspx%3fID=205846" xr:uid="{D6F0F55C-6D5C-46EB-9F6A-E38CF2F9C65E}"/>
    <hyperlink ref="K441" r:id="rId601" display="vSaleOrder.aspx%3fID=205842" xr:uid="{0C3D9F17-9150-4046-92F4-FBBD5EF0FDD9}"/>
    <hyperlink ref="K443" r:id="rId602" display="vSaleOrder.aspx%3fID=205847" xr:uid="{CA6A6201-3206-4C1B-9C61-B26E805C2030}"/>
    <hyperlink ref="K445" r:id="rId603" display="vSaleOrder.aspx%3fID=205846" xr:uid="{B57879CC-7B0C-4DD3-AD86-722372373A10}"/>
    <hyperlink ref="K447" r:id="rId604" display="vSaleOrder.aspx%3fID=205847" xr:uid="{42B70A27-BFD7-4C57-84F4-5C237E8DEDB7}"/>
    <hyperlink ref="K449" r:id="rId605" display="vSaleOrder.aspx%3fID=205842" xr:uid="{109C9795-FEDC-41FA-8525-D5F2D81400DA}"/>
    <hyperlink ref="K451" r:id="rId606" display="vSaleOrder.aspx%3fID=205844" xr:uid="{A86A6960-2DE8-4171-A135-6AA05509EF18}"/>
    <hyperlink ref="K453" r:id="rId607" display="vSaleOrder.aspx%3fID=205841" xr:uid="{FA2421D4-8C96-423D-9EFD-F39E7AC4AEC1}"/>
    <hyperlink ref="K455" r:id="rId608" display="vSaleOrder.aspx%3fID=205848" xr:uid="{980667DF-771A-47F3-9B6B-DC3147B6C1FA}"/>
    <hyperlink ref="K457" r:id="rId609" display="vSaleOrder.aspx%3fID=205845" xr:uid="{22B201A3-D83B-4F5B-AF78-AF6C2920C449}"/>
    <hyperlink ref="K459" r:id="rId610" display="vSaleOrder.aspx%3fID=205851" xr:uid="{68FEF281-8062-4C01-B197-435F94E5DE2D}"/>
    <hyperlink ref="K461" r:id="rId611" display="vSaleOrder.aspx%3fID=205845" xr:uid="{4D1A5F9D-130C-4EB8-94D5-65331E0295A2}"/>
    <hyperlink ref="K463" r:id="rId612" display="vSaleOrder.aspx%3fID=205843" xr:uid="{BA965340-658F-4281-8994-390DA6DF3DAC}"/>
    <hyperlink ref="K465" r:id="rId613" display="vSaleOrder.aspx%3fID=308809" xr:uid="{B0CB3828-A325-434E-95CA-F2029891AB7A}"/>
    <hyperlink ref="K467" r:id="rId614" display="vSaleOrder.aspx%3fID=317659" xr:uid="{0015C724-9AE9-45CB-B42A-E5BD3B562D51}"/>
    <hyperlink ref="K469" r:id="rId615" display="vSaleOrder.aspx%3fID=" xr:uid="{BCBBE15E-0E1D-4E8F-B6B8-931381186DBA}"/>
    <hyperlink ref="K471" r:id="rId616" display="vSaleOrder.aspx%3fID=263383" xr:uid="{05C0A4EB-6092-4F67-8D76-CC9E39E7EAB7}"/>
    <hyperlink ref="K473" r:id="rId617" display="vSaleOrder.aspx%3fID=270064" xr:uid="{13AC5E36-449D-46EC-81C5-BD99D13D8DB8}"/>
    <hyperlink ref="K475" r:id="rId618" display="vSaleOrder.aspx%3fID=223681" xr:uid="{3C813D34-2427-4362-89BF-CC97C34273A2}"/>
    <hyperlink ref="K477" r:id="rId619" display="vSaleOrder.aspx%3fID=291150" xr:uid="{B8712F1C-57A9-4C9D-8F84-85F69406C8CF}"/>
    <hyperlink ref="K479" r:id="rId620" display="vSaleOrder.aspx%3fID=314884" xr:uid="{F8F06A61-5C8F-4D23-B8D7-5B5E6D3FE8F5}"/>
    <hyperlink ref="K481" r:id="rId621" display="vSaleOrder.aspx%3fID=304181" xr:uid="{0F08D3A5-F05F-4A43-BF50-5CCD31621D67}"/>
    <hyperlink ref="K483" r:id="rId622" display="vSaleOrder.aspx%3fID=" xr:uid="{6C817DA1-48B8-4579-A376-BFB4A5BF7EAF}"/>
    <hyperlink ref="K485" r:id="rId623" display="vSaleOrder.aspx%3fID=300562" xr:uid="{D9F56F1F-458C-45A5-9CC2-B9FDC4A3C462}"/>
    <hyperlink ref="K487" r:id="rId624" display="vSaleOrder.aspx%3fID=315638" xr:uid="{77933108-E585-4D52-AE3D-1A9CE768A5A3}"/>
    <hyperlink ref="K489" r:id="rId625" display="vSaleOrder.aspx%3fID=295155" xr:uid="{899970D0-82C1-4B27-A545-F32F56E91296}"/>
    <hyperlink ref="K491" r:id="rId626" display="vSaleOrder.aspx%3fID=295155" xr:uid="{BD520CEB-3AF2-4750-B0C9-AD570A7152D6}"/>
    <hyperlink ref="K493" r:id="rId627" display="vSaleOrder.aspx%3fID=313887" xr:uid="{2378A99F-D267-4A5E-A8DB-7B38FF9C5858}"/>
    <hyperlink ref="K495" r:id="rId628" display="vSaleOrder.aspx%3fID=319804" xr:uid="{E78A8313-C941-445D-9F5F-BABB530609E1}"/>
    <hyperlink ref="K497" r:id="rId629" display="vSaleOrder.aspx%3fID=" xr:uid="{72EF1585-CBDD-49D2-B47A-6474825A8AB3}"/>
    <hyperlink ref="K499" r:id="rId630" display="vSaleOrder.aspx%3fID=314262" xr:uid="{0D80CE0D-C1FB-4D2A-86AE-472F49DB3336}"/>
    <hyperlink ref="K501" r:id="rId631" display="vSaleOrder.aspx%3fID=318283" xr:uid="{77AA538B-2CEE-4F20-A2B9-3C68EFF3C6E1}"/>
    <hyperlink ref="K503" r:id="rId632" display="vSaleOrder.aspx%3fID=313973" xr:uid="{B99761C2-FF51-42AD-86E3-6039F4743D96}"/>
    <hyperlink ref="K505" r:id="rId633" display="vSaleOrder.aspx%3fID=317663" xr:uid="{8C88F6F9-31B1-4F66-B22F-8AC6347B9D9C}"/>
    <hyperlink ref="K507" r:id="rId634" display="vSaleOrder.aspx%3fID=317669" xr:uid="{7AE808D5-EBE4-47BC-AD74-297FE5CCC7F5}"/>
    <hyperlink ref="K509" r:id="rId635" display="vSaleOrder.aspx%3fID=" xr:uid="{DDF66D87-6AA7-4A25-A780-8EFE85D2BF41}"/>
    <hyperlink ref="K511" r:id="rId636" display="vSaleOrder.aspx%3fID=316912" xr:uid="{50CE969E-4C0F-4CAF-919B-2A50E2FA1FB3}"/>
    <hyperlink ref="K513" r:id="rId637" display="vSaleOrder.aspx%3fID=314854" xr:uid="{92786095-58FF-4494-A9A9-8A08862F7DB2}"/>
    <hyperlink ref="K515" r:id="rId638" display="vSaleOrder.aspx%3fID=302236" xr:uid="{84BDD608-AA4A-4FA5-88DD-010A421B8E5C}"/>
    <hyperlink ref="K517" r:id="rId639" display="vSaleOrder.aspx%3fID=314854" xr:uid="{53B89C57-23D7-46B3-94C0-8257927B3D86}"/>
    <hyperlink ref="K519" r:id="rId640" display="vSaleOrder.aspx%3fID=288930" xr:uid="{E9A1F938-AD85-44CD-A982-7608CB068578}"/>
    <hyperlink ref="K521" r:id="rId641" display="vSaleOrder.aspx%3fID=288930" xr:uid="{3FD496EA-B0C0-4030-AD9A-A522A8517DF6}"/>
    <hyperlink ref="K523" r:id="rId642" display="vSaleOrder.aspx%3fID=288930" xr:uid="{0737BC47-C806-4E23-800E-B822A690A63A}"/>
    <hyperlink ref="K525" r:id="rId643" display="vSaleOrder.aspx%3fID=288930" xr:uid="{CE234C6D-893D-427B-B32D-55C957B2B694}"/>
    <hyperlink ref="K527" r:id="rId644" display="vSaleOrder.aspx%3fID=288930" xr:uid="{96965678-109F-45EF-9F19-892E093CC121}"/>
    <hyperlink ref="K529" r:id="rId645" display="vSaleOrder.aspx%3fID=305993" xr:uid="{943ED356-9346-4C54-8504-079B860117F5}"/>
    <hyperlink ref="K531" r:id="rId646" display="vSaleOrder.aspx%3fID=318252" xr:uid="{5A54B7EC-C8D1-4B29-B8C7-4F96E7973B96}"/>
    <hyperlink ref="K533" r:id="rId647" display="vSaleOrder.aspx%3fID=316158" xr:uid="{E585B772-6E05-45AF-B167-B017C83302A1}"/>
    <hyperlink ref="K535" r:id="rId648" display="vSaleOrder.aspx%3fID=313889" xr:uid="{037E150B-7988-4278-896A-61A92120117C}"/>
    <hyperlink ref="K537" r:id="rId649" display="vSaleOrder.aspx%3fID=" xr:uid="{251ACDDF-C523-4DA5-80C1-4C57A2A7CD50}"/>
    <hyperlink ref="K539" r:id="rId650" display="vSaleOrder.aspx%3fID=300910" xr:uid="{818C1B16-3E78-425E-BDD2-9C6E41EBB7F1}"/>
    <hyperlink ref="K541" r:id="rId651" display="vSaleOrder.aspx%3fID=318123" xr:uid="{1701AA35-9756-4A60-8706-7B8112691858}"/>
    <hyperlink ref="K543" r:id="rId652" display="vSaleOrder.aspx%3fID=314281" xr:uid="{C68CBB04-5C66-4BA7-BD1A-A0A52520C8C5}"/>
    <hyperlink ref="K545" r:id="rId653" display="vSaleOrder.aspx%3fID=" xr:uid="{B619C823-D40B-470A-94CC-9072F3DA6B59}"/>
    <hyperlink ref="K547" r:id="rId654" display="vSaleOrder.aspx%3fID=314281" xr:uid="{B44A3E9E-024A-4BA3-90DB-EA11EF7452F8}"/>
    <hyperlink ref="K549" r:id="rId655" display="vSaleOrder.aspx%3fID=" xr:uid="{4CA2F70E-280E-4B69-854E-B714A0CCFAF6}"/>
    <hyperlink ref="K551" r:id="rId656" display="vSaleOrder.aspx%3fID=283391" xr:uid="{CB459DFE-9A43-4D2C-A502-AA7CC0C841AE}"/>
    <hyperlink ref="K553" r:id="rId657" display="vSaleOrder.aspx%3fID=283420" xr:uid="{300912F7-3ABA-4A85-BB5D-57F881210331}"/>
    <hyperlink ref="K555" r:id="rId658" display="vSaleOrder.aspx%3fID=314914" xr:uid="{D2A95CDB-952B-4CCF-B766-9C3637B5004E}"/>
    <hyperlink ref="K557" r:id="rId659" display="vSaleOrder.aspx%3fID=267591" xr:uid="{AF2B9855-ADDC-4AC2-9F26-AAD1EFF870F7}"/>
    <hyperlink ref="K559" r:id="rId660" display="vSaleOrder.aspx%3fID=314048" xr:uid="{AA0EF25B-2A4E-4229-AAC6-AF86893E0762}"/>
    <hyperlink ref="K561" r:id="rId661" display="vSaleOrder.aspx%3fID=308841" xr:uid="{72899089-CBC9-41F4-99FC-4FD375D49B5C}"/>
    <hyperlink ref="K563" r:id="rId662" display="vSaleOrder.aspx%3fID=294093" xr:uid="{11507029-F6B7-4309-A384-18191F59A600}"/>
    <hyperlink ref="K565" r:id="rId663" display="vSaleOrder.aspx%3fID=318122" xr:uid="{CF798D19-897D-4368-AC28-4157E9E25177}"/>
    <hyperlink ref="K567" r:id="rId664" display="vSaleOrder.aspx%3fID=" xr:uid="{A6AE26C5-1843-408D-84E5-B0C3DBDB884C}"/>
    <hyperlink ref="K569" r:id="rId665" display="vSaleOrder.aspx%3fID=314296" xr:uid="{E1F8D292-2199-437E-A299-DAED25D9ACFF}"/>
    <hyperlink ref="K571" r:id="rId666" display="vSaleOrder.aspx%3fID=273766" xr:uid="{3BBDF8FA-243E-41DF-94B5-59A593159F15}"/>
    <hyperlink ref="K573" r:id="rId667" display="vSaleOrder.aspx%3fID=273766" xr:uid="{93DAC67F-AA10-4CCE-BDFC-544F4B97E03A}"/>
    <hyperlink ref="K575" r:id="rId668" display="vSaleOrder.aspx%3fID=316706" xr:uid="{EA4EE648-AFD5-4641-88DD-F42E9743C5B5}"/>
    <hyperlink ref="K577" r:id="rId669" display="vSaleOrder.aspx%3fID=254270" xr:uid="{27DC6850-69E0-4427-A092-CD3B03919562}"/>
    <hyperlink ref="K579" r:id="rId670" display="vSaleOrder.aspx%3fID=306719" xr:uid="{D0F0C6E4-CC6C-4B9D-BDA8-BA61CE88DD18}"/>
    <hyperlink ref="K581" r:id="rId671" display="vSaleOrder.aspx%3fID=314287" xr:uid="{E3AECED4-C56E-4AE6-A283-5C53DE9538AF}"/>
    <hyperlink ref="K583" r:id="rId672" display="vSaleOrder.aspx%3fID=296736" xr:uid="{54220301-50AD-4E47-B6FB-716DF402ACF9}"/>
    <hyperlink ref="K585" r:id="rId673" display="vSaleOrder.aspx%3fID=" xr:uid="{46CA6908-D2AD-4D93-9D8F-F3ECCCA11C66}"/>
    <hyperlink ref="K587" r:id="rId674" display="vSaleOrder.aspx%3fID=289642" xr:uid="{779737F9-2C9B-4098-A3C3-B5FD269F6DA0}"/>
    <hyperlink ref="K589" r:id="rId675" display="vSaleOrder.aspx%3fID=314882" xr:uid="{440DF895-1F70-430D-86C8-F7F776D04613}"/>
    <hyperlink ref="K591" r:id="rId676" display="vSaleOrder.aspx%3fID=296704" xr:uid="{B1C5A814-CB73-492D-A02F-7DC68A557545}"/>
    <hyperlink ref="K593" r:id="rId677" display="vSaleOrder.aspx%3fID=314304" xr:uid="{968ACD80-9736-4468-B69D-C8DA36D617ED}"/>
    <hyperlink ref="K595" r:id="rId678" display="vSaleOrder.aspx%3fID=296704" xr:uid="{C62F7BDE-1CAE-4D0D-8314-2DC743874DA5}"/>
    <hyperlink ref="K597" r:id="rId679" display="vSaleOrder.aspx%3fID=315647" xr:uid="{B557541C-D1F6-4D1B-AED0-74A3F9FC2D77}"/>
    <hyperlink ref="K599" r:id="rId680" display="vSaleOrder.aspx%3fID=307812" xr:uid="{CAB84B55-2DF4-4539-A582-67EC2546D5C1}"/>
    <hyperlink ref="K601" r:id="rId681" display="vSaleOrder.aspx%3fID=314263" xr:uid="{AEE6BCC6-5AAB-4580-A313-C1D87A7D3CB8}"/>
    <hyperlink ref="K603" r:id="rId682" display="vSaleOrder.aspx%3fID=316863" xr:uid="{9B8873AB-0C74-4CD6-A48C-808048520EBD}"/>
    <hyperlink ref="K605" r:id="rId683" display="vSaleOrder.aspx%3fID=315645" xr:uid="{013313D2-D64E-4DCE-93D4-4E354258D232}"/>
    <hyperlink ref="K607" r:id="rId684" display="vSaleOrder.aspx%3fID=316926" xr:uid="{2B30C76B-9BFA-4106-B4E4-44E99FAF3B61}"/>
    <hyperlink ref="K609" r:id="rId685" display="vSaleOrder.aspx%3fID=314239" xr:uid="{C56A6C71-A5DF-4399-A2EF-050BCC44020E}"/>
    <hyperlink ref="K611" r:id="rId686" display="vSaleOrder.aspx%3fID=314297" xr:uid="{543CA391-1F01-4A6C-B603-AC32B586DE14}"/>
    <hyperlink ref="K613" r:id="rId687" display="vSaleOrder.aspx%3fID=313888" xr:uid="{69FE3561-B915-4E79-AA4B-13D74322CF77}"/>
    <hyperlink ref="K615" r:id="rId688" display="vSaleOrder.aspx%3fID=305972" xr:uid="{61701458-C7CA-45BF-B3BE-BF99E27CEB31}"/>
    <hyperlink ref="K617" r:id="rId689" display="vSaleOrder.aspx%3fID=314860" xr:uid="{D5361009-8739-466E-95DA-41F7708DB9A1}"/>
    <hyperlink ref="K619" r:id="rId690" display="vSaleOrder.aspx%3fID=314278" xr:uid="{B1DA5B56-664B-486B-8F27-65E1BC48E8FB}"/>
    <hyperlink ref="K621" r:id="rId691" display="vSaleOrder.aspx%3fID=291113" xr:uid="{77B8E033-C800-4036-9B2D-7B6A0D13BEC5}"/>
    <hyperlink ref="K623" r:id="rId692" display="vSaleOrder.aspx%3fID=306100" xr:uid="{60C54F83-BF85-4742-A108-9CD919C7EECF}"/>
    <hyperlink ref="K625" r:id="rId693" display="vSaleOrder.aspx%3fID=291113" xr:uid="{2AAA3228-0212-4932-80E9-5539467CF242}"/>
    <hyperlink ref="K627" r:id="rId694" display="vSaleOrder.aspx%3fID=" xr:uid="{6F93B5E2-677A-40C8-AD96-0C3B92B92546}"/>
    <hyperlink ref="K629" r:id="rId695" display="vSaleOrder.aspx%3fID=313895" xr:uid="{59974C10-22D3-47E2-A100-057E2E6F254B}"/>
    <hyperlink ref="K631" r:id="rId696" display="vSaleOrder.aspx%3fID=314251" xr:uid="{8040597B-4E85-46B9-971F-80AA6DA58E9C}"/>
    <hyperlink ref="K633" r:id="rId697" display="vSaleOrder.aspx%3fID=314272" xr:uid="{1FFFF518-8F26-4EC3-9DEA-61D081BE0861}"/>
    <hyperlink ref="K635" r:id="rId698" display="vSaleOrder.aspx%3fID=313894" xr:uid="{990FE705-F1BB-4BA2-BACE-7200FDAF520A}"/>
    <hyperlink ref="K637" r:id="rId699" display="vSaleOrder.aspx%3fID=240704" xr:uid="{2AF9105C-5348-4F9A-AE46-F61C84C75F35}"/>
    <hyperlink ref="K639" r:id="rId700" display="vSaleOrder.aspx%3fID=255653" xr:uid="{E16FD011-D226-47CF-8D77-F1692ED4284F}"/>
    <hyperlink ref="K641" r:id="rId701" display="vSaleOrder.aspx%3fID=253932" xr:uid="{BEB97C03-92CF-402E-8F11-20FAC563AE88}"/>
    <hyperlink ref="K643" r:id="rId702" display="vSaleOrder.aspx%3fID=314277" xr:uid="{986193D3-7E1F-47ED-86AF-1F45FCD4BAC7}"/>
    <hyperlink ref="K645" r:id="rId703" display="vSaleOrder.aspx%3fID=319922" xr:uid="{7A7E0FCF-DB1B-48E7-8F74-CBB0CADA64B3}"/>
    <hyperlink ref="K647" r:id="rId704" display="vSaleOrder.aspx%3fID=319943" xr:uid="{4B9F92E4-3886-4660-9726-F303B3D1BF9D}"/>
    <hyperlink ref="K649" r:id="rId705" display="vSaleOrder.aspx%3fID=314277" xr:uid="{73F9C54D-EFB6-4BB9-A5F2-4E10CD7302E9}"/>
    <hyperlink ref="K651" r:id="rId706" display="vSaleOrder.aspx%3fID=295518" xr:uid="{68AD22AC-5EEC-4AF1-A241-3FC63360C22C}"/>
    <hyperlink ref="K653" r:id="rId707" display="vSaleOrder.aspx%3fID=295518" xr:uid="{B00B71CA-F28B-4902-B20C-99088F4AED88}"/>
    <hyperlink ref="K655" r:id="rId708" display="vSaleOrder.aspx%3fID=314250" xr:uid="{B4531692-1BFA-458D-8102-0F970574E9DA}"/>
    <hyperlink ref="K657" r:id="rId709" display="vSaleOrder.aspx%3fID=318241" xr:uid="{BCF87207-124D-42D1-99DF-86F629545395}"/>
    <hyperlink ref="K659" r:id="rId710" display="vSaleOrder.aspx%3fID=274489" xr:uid="{D3FF9893-0A76-4EDE-AD12-9569709FC0E8}"/>
    <hyperlink ref="K661" r:id="rId711" display="vSaleOrder.aspx%3fID=287201" xr:uid="{9AA1550D-1F50-456F-B00E-E773422CF95B}"/>
    <hyperlink ref="K663" r:id="rId712" display="vSaleOrder.aspx%3fID=318237" xr:uid="{61EB83F8-68AE-4068-9E2A-F51915F739FA}"/>
    <hyperlink ref="K665" r:id="rId713" display="vSaleOrder.aspx%3fID=247506" xr:uid="{6CD8FF12-E579-4B81-AEAD-4B1BE2D957C2}"/>
    <hyperlink ref="K667" r:id="rId714" display="vSaleOrder.aspx%3fID=247507" xr:uid="{37C6ACA6-A456-40B9-9D6C-9DE2E99A4FB3}"/>
    <hyperlink ref="K669" r:id="rId715" display="vSaleOrder.aspx%3fID=318269" xr:uid="{81039BCA-2740-4773-A606-1DE9F30F5961}"/>
    <hyperlink ref="K671" r:id="rId716" display="vSaleOrder.aspx%3fID=295134" xr:uid="{38028ACF-6385-452C-846F-2B0BCE2537E2}"/>
    <hyperlink ref="K673" r:id="rId717" display="vSaleOrder.aspx%3fID=" xr:uid="{08CB5854-E93B-463E-9BC1-6E6A3B03A38C}"/>
    <hyperlink ref="K675" r:id="rId718" display="vSaleOrder.aspx%3fID=319606" xr:uid="{773E197E-EA19-4729-A0F3-CDDAD1DC3456}"/>
    <hyperlink ref="K677" r:id="rId719" display="vSaleOrder.aspx%3fID=311581" xr:uid="{0D61DC2C-E19E-44F8-A6BF-72008BA9C22C}"/>
    <hyperlink ref="K679" r:id="rId720" display="vSaleOrder.aspx%3fID=289980" xr:uid="{E358F361-5DB7-4890-AD17-B757D6EFBCFC}"/>
    <hyperlink ref="K681" r:id="rId721" display="vSaleOrder.aspx%3fID=" xr:uid="{2FE55343-FF36-4DFC-B153-65FC3C982257}"/>
    <hyperlink ref="K683" r:id="rId722" display="vSaleOrder.aspx%3fID=250843" xr:uid="{F6254345-18A0-487C-AFFB-BB3FC67DA837}"/>
    <hyperlink ref="K685" r:id="rId723" display="vSaleOrder.aspx%3fID=251539" xr:uid="{1F904D60-F9BC-4E65-9DA5-0425FD4B2E71}"/>
    <hyperlink ref="K687" r:id="rId724" display="vSaleOrder.aspx%3fID=215256" xr:uid="{04541BE1-272A-446C-B67A-6CDF17C80113}"/>
    <hyperlink ref="K689" r:id="rId725" display="vSaleOrder.aspx%3fID=300337" xr:uid="{5ACBF3C3-E774-42D2-AB4F-D1ECC3EE8BA4}"/>
    <hyperlink ref="K691" r:id="rId726" display="vSaleOrder.aspx%3fID=316905" xr:uid="{DC7077FA-C9D3-4974-B778-EE0912F756BC}"/>
    <hyperlink ref="K693" r:id="rId727" display="vSaleOrder.aspx%3fID=293393" xr:uid="{19D2EB51-AB99-47FF-B864-FB9AA747C665}"/>
    <hyperlink ref="K695" r:id="rId728" display="vSaleOrder.aspx%3fID=293393" xr:uid="{6ADBD8D3-625E-4B99-A7AA-1E0B85E35CD4}"/>
    <hyperlink ref="K697" r:id="rId729" display="vSaleOrder.aspx%3fID=318265" xr:uid="{F57D504A-E400-40D0-A511-230DD692B0AC}"/>
    <hyperlink ref="K699" r:id="rId730" display="vSaleOrder.aspx%3fID=315625" xr:uid="{7F9FD5FF-6491-4448-96EA-F09D6F4E8A1E}"/>
    <hyperlink ref="K701" r:id="rId731" display="vSaleOrder.aspx%3fID=314295" xr:uid="{0D274721-262E-4D5F-9B11-B96B36A06334}"/>
    <hyperlink ref="K703" r:id="rId732" display="vSaleOrder.aspx%3fID=315637" xr:uid="{5F036D86-AFD6-420B-8FF9-1170582BBFFE}"/>
    <hyperlink ref="K705" r:id="rId733" display="vSaleOrder.aspx%3fID=313890" xr:uid="{39FBB87E-232F-48A8-A6E7-E5305582E174}"/>
    <hyperlink ref="K707" r:id="rId734" display="vSaleOrder.aspx%3fID=314299" xr:uid="{D4A2F216-32FB-4C28-B808-6223A879DD53}"/>
    <hyperlink ref="K709" r:id="rId735" display="vSaleOrder.aspx%3fID=304152" xr:uid="{4CFFD1C1-E0EC-4E5A-A038-B78336DB6539}"/>
    <hyperlink ref="K711" r:id="rId736" display="vSaleOrder.aspx%3fID=304067" xr:uid="{63AD193F-3A61-4FDA-AD88-F5E8266F7585}"/>
    <hyperlink ref="K713" r:id="rId737" display="vSaleOrder.aspx%3fID=262040" xr:uid="{6F0DF2B1-6C17-48D2-9F02-6CAA762D5CE9}"/>
    <hyperlink ref="K715" r:id="rId738" display="vSaleOrder.aspx%3fID=304067" xr:uid="{A4339940-744A-4CE8-A939-6FADD3EB875B}"/>
    <hyperlink ref="K717" r:id="rId739" display="vSaleOrder.aspx%3fID=" xr:uid="{C9C2102C-A54C-4770-BA68-B0005553EB30}"/>
    <hyperlink ref="K719" r:id="rId740" display="vSaleOrder.aspx%3fID=313876" xr:uid="{1C0553EC-1EAC-4FF1-8104-62237B3637EE}"/>
    <hyperlink ref="K721" r:id="rId741" display="vSaleOrder.aspx%3fID=313891" xr:uid="{1F115931-8741-411B-9E05-4DBD4985659C}"/>
    <hyperlink ref="K723" r:id="rId742" display="vSaleOrder.aspx%3fID=296681" xr:uid="{DC43849D-C8B5-4548-A3A5-EB8285A63305}"/>
    <hyperlink ref="K725" r:id="rId743" display="vSaleOrder.aspx%3fID=314248" xr:uid="{6892FF16-B229-49B0-BD76-B50BE17816A2}"/>
    <hyperlink ref="K727" r:id="rId744" display="vSaleOrder.aspx%3fID=" xr:uid="{7910366C-32C9-425B-B505-3C3BC53D91EA}"/>
    <hyperlink ref="K729" r:id="rId745" display="vSaleOrder.aspx%3fID=266335" xr:uid="{ADDFC87F-6B43-4E63-BBEB-275BC7DA2BE4}"/>
    <hyperlink ref="K731" r:id="rId746" display="vSaleOrder.aspx%3fID=235969" xr:uid="{1584B9C6-0BD5-436E-88BD-58169B665881}"/>
    <hyperlink ref="K733" r:id="rId747" display="vSaleOrder.aspx%3fID=" xr:uid="{728B4FB7-5970-4073-90E0-B2F81EF5CEBD}"/>
    <hyperlink ref="K735" r:id="rId748" display="vSaleOrder.aspx%3fID=315631" xr:uid="{ED0C98DE-45ED-4FAA-AC88-578148065C42}"/>
    <hyperlink ref="K737" r:id="rId749" display="vSaleOrder.aspx%3fID=314280" xr:uid="{DC47C1DA-856F-470E-812F-613D95CBFE4D}"/>
    <hyperlink ref="K739" r:id="rId750" display="vSaleOrder.aspx%3fID=318261" xr:uid="{FAD56E2B-11DD-4C73-A1C7-F49A0ABB481B}"/>
    <hyperlink ref="K741" r:id="rId751" display="vSaleOrder.aspx%3fID=258271" xr:uid="{A741D1DB-D668-4941-8FA7-23630540D087}"/>
    <hyperlink ref="K743" r:id="rId752" display="vSaleOrder.aspx%3fID=266394" xr:uid="{B788DBDD-91F7-4645-92C8-65DC0A9B1CD7}"/>
    <hyperlink ref="K745" r:id="rId753" display="vSaleOrder.aspx%3fID=" xr:uid="{2299DC59-A243-49B7-92B0-579443C502D8}"/>
    <hyperlink ref="K747" r:id="rId754" display="vSaleOrder.aspx%3fID=" xr:uid="{8165DDAC-E353-4F48-859F-93ED273199AE}"/>
    <hyperlink ref="K749" r:id="rId755" display="vSaleOrder.aspx%3fID=305906" xr:uid="{EE7D2FFC-8B8E-486F-852D-3E3CC7D20C5F}"/>
    <hyperlink ref="K751" r:id="rId756" display="vSaleOrder.aspx%3fID=" xr:uid="{E3B0E978-D911-4D85-8DC2-1EBF05FA4F84}"/>
    <hyperlink ref="K753" r:id="rId757" display="vSaleOrder.aspx%3fID=283738" xr:uid="{E25303F1-ADDF-4399-AA3F-2A36A00282E7}"/>
    <hyperlink ref="K755" r:id="rId758" display="vSaleOrder.aspx%3fID=" xr:uid="{E57801E2-121D-4D02-AB7A-FF8EB48A8B12}"/>
    <hyperlink ref="K757" r:id="rId759" display="vSaleOrder.aspx%3fID=" xr:uid="{56811DFB-DDA0-49AA-BA71-33CD59C3C1DB}"/>
    <hyperlink ref="K759" r:id="rId760" display="vSaleOrder.aspx%3fID=279835" xr:uid="{6BB5EFDE-4F12-4C52-AAB5-E8D71BB4D71E}"/>
    <hyperlink ref="K761" r:id="rId761" display="vSaleOrder.aspx%3fID=" xr:uid="{A1F0F6F7-18D2-4FDA-B297-F4D9C969A01F}"/>
    <hyperlink ref="K763" r:id="rId762" display="vSaleOrder.aspx%3fID=" xr:uid="{9E0A9FC6-D06D-4282-9F5E-4D6A512A3586}"/>
    <hyperlink ref="K765" r:id="rId763" display="vSaleOrder.aspx%3fID=260253" xr:uid="{16437A0E-5B9A-4C60-B084-7868F8DB7674}"/>
    <hyperlink ref="K767" r:id="rId764" display="vSaleOrder.aspx%3fID=260253" xr:uid="{8D63D0A8-6C96-4802-A4C1-4AFEEDC65456}"/>
    <hyperlink ref="K769" r:id="rId765" display="vSaleOrder.aspx%3fID=272670" xr:uid="{5AC9B98C-6241-4F1C-8437-18626F252D8E}"/>
    <hyperlink ref="K771" r:id="rId766" display="vSaleOrder.aspx%3fID=318248" xr:uid="{75743DDF-3591-448E-BB01-AC5C5A47887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8FAE-04C0-475B-9653-9ACA777DAF3B}">
  <dimension ref="A1:O372"/>
  <sheetViews>
    <sheetView topLeftCell="H34" workbookViewId="0">
      <selection activeCell="F1" sqref="A1:XFD1048576"/>
    </sheetView>
  </sheetViews>
  <sheetFormatPr defaultRowHeight="14.5" x14ac:dyDescent="0.35"/>
  <cols>
    <col min="1" max="1" width="21.6328125" style="2" bestFit="1" customWidth="1"/>
    <col min="2" max="6" width="8.7265625" style="2"/>
    <col min="7" max="7" width="6.26953125" style="2" customWidth="1"/>
    <col min="8" max="9" width="42.453125" style="2" customWidth="1"/>
    <col min="10" max="10" width="11.54296875" style="2" customWidth="1"/>
    <col min="11" max="12" width="15.26953125" style="2" customWidth="1"/>
    <col min="13" max="13" width="18.1796875" style="2" customWidth="1"/>
    <col min="14" max="14" width="35.7265625" style="2" customWidth="1"/>
    <col min="15" max="15" width="43" style="2" customWidth="1"/>
    <col min="16" max="16384" width="8.7265625" style="2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>
        <v>1</v>
      </c>
      <c r="C2" s="2" t="s">
        <v>16</v>
      </c>
      <c r="D2" s="2">
        <v>968</v>
      </c>
      <c r="E2" s="2">
        <v>20020</v>
      </c>
      <c r="G2" s="2">
        <v>314</v>
      </c>
      <c r="H2" s="2" t="s">
        <v>17</v>
      </c>
      <c r="I2" s="2">
        <f>VLOOKUP(H2,[1]Customers!$A:$B,2,FALSE)</f>
        <v>1721</v>
      </c>
      <c r="J2" s="2">
        <v>45791</v>
      </c>
      <c r="K2" s="2" t="s">
        <v>18</v>
      </c>
      <c r="M2" s="2">
        <v>222392.98</v>
      </c>
      <c r="N2" s="3" t="s">
        <v>19</v>
      </c>
      <c r="O2" s="3"/>
    </row>
    <row r="3" spans="1:15" x14ac:dyDescent="0.35">
      <c r="A3" s="2" t="s">
        <v>21</v>
      </c>
      <c r="B3" s="2">
        <v>2</v>
      </c>
      <c r="C3" s="2" t="s">
        <v>16</v>
      </c>
      <c r="D3" s="2">
        <v>968</v>
      </c>
      <c r="E3" s="2">
        <v>20020</v>
      </c>
      <c r="G3" s="2">
        <v>435</v>
      </c>
      <c r="H3" s="2" t="s">
        <v>17</v>
      </c>
      <c r="I3" s="2">
        <f>VLOOKUP(H3,[1]Customers!$A:$B,2,FALSE)</f>
        <v>1721</v>
      </c>
      <c r="J3" s="2">
        <v>45670</v>
      </c>
      <c r="K3" s="2" t="s">
        <v>22</v>
      </c>
      <c r="M3" s="2">
        <v>230660.8</v>
      </c>
      <c r="N3" s="3" t="s">
        <v>19</v>
      </c>
    </row>
    <row r="4" spans="1:15" ht="15" customHeight="1" x14ac:dyDescent="0.35">
      <c r="A4" s="2" t="s">
        <v>23</v>
      </c>
      <c r="B4" s="2">
        <v>3</v>
      </c>
      <c r="C4" s="2" t="s">
        <v>16</v>
      </c>
      <c r="D4" s="2">
        <v>968</v>
      </c>
      <c r="E4" s="2">
        <v>20020</v>
      </c>
      <c r="G4" s="2">
        <v>398</v>
      </c>
      <c r="H4" s="2" t="s">
        <v>24</v>
      </c>
      <c r="I4" s="2">
        <f>VLOOKUP(H4,[1]Customers!$A:$B,2,FALSE)</f>
        <v>3309</v>
      </c>
      <c r="J4" s="2">
        <v>45707</v>
      </c>
      <c r="K4" s="2" t="s">
        <v>25</v>
      </c>
      <c r="M4" s="2">
        <v>3661.7</v>
      </c>
      <c r="N4" s="3" t="s">
        <v>19</v>
      </c>
    </row>
    <row r="5" spans="1:15" x14ac:dyDescent="0.35">
      <c r="A5" s="2" t="s">
        <v>26</v>
      </c>
      <c r="B5" s="2">
        <v>4</v>
      </c>
      <c r="C5" s="2" t="s">
        <v>16</v>
      </c>
      <c r="D5" s="2">
        <v>968</v>
      </c>
      <c r="E5" s="2">
        <v>20020</v>
      </c>
      <c r="G5" s="2">
        <v>372</v>
      </c>
      <c r="H5" s="2" t="s">
        <v>27</v>
      </c>
      <c r="I5" s="2">
        <f>VLOOKUP(H5,[1]Customers!$A:$B,2,FALSE)</f>
        <v>433</v>
      </c>
      <c r="J5" s="2">
        <v>45733</v>
      </c>
      <c r="K5" s="2" t="s">
        <v>28</v>
      </c>
      <c r="M5" s="2">
        <v>177.83</v>
      </c>
      <c r="N5" s="3" t="s">
        <v>19</v>
      </c>
    </row>
    <row r="6" spans="1:15" x14ac:dyDescent="0.35">
      <c r="A6" s="2" t="s">
        <v>29</v>
      </c>
      <c r="B6" s="2">
        <v>5</v>
      </c>
      <c r="C6" s="2" t="s">
        <v>16</v>
      </c>
      <c r="D6" s="2">
        <v>968</v>
      </c>
      <c r="E6" s="2">
        <v>20020</v>
      </c>
      <c r="G6" s="2">
        <v>379</v>
      </c>
      <c r="H6" s="2" t="s">
        <v>30</v>
      </c>
      <c r="I6" s="2">
        <f>VLOOKUP(H6,[1]Customers!$A:$B,2,FALSE)</f>
        <v>2164</v>
      </c>
      <c r="J6" s="2">
        <v>45726</v>
      </c>
      <c r="K6" s="2" t="s">
        <v>31</v>
      </c>
      <c r="M6" s="2">
        <v>3243.16</v>
      </c>
      <c r="N6" s="3" t="s">
        <v>19</v>
      </c>
    </row>
    <row r="7" spans="1:15" x14ac:dyDescent="0.35">
      <c r="A7" s="2" t="s">
        <v>32</v>
      </c>
      <c r="B7" s="2">
        <v>6</v>
      </c>
      <c r="C7" s="2" t="s">
        <v>16</v>
      </c>
      <c r="D7" s="2">
        <v>968</v>
      </c>
      <c r="E7" s="2">
        <v>20020</v>
      </c>
      <c r="G7" s="2">
        <v>278</v>
      </c>
      <c r="H7" s="2" t="s">
        <v>33</v>
      </c>
      <c r="I7" s="2">
        <f>VLOOKUP(H7,[1]Customers!$A:$B,2,FALSE)</f>
        <v>2380</v>
      </c>
      <c r="J7" s="2">
        <v>45827</v>
      </c>
      <c r="K7" s="2" t="s">
        <v>34</v>
      </c>
      <c r="M7" s="2">
        <v>21599.99</v>
      </c>
      <c r="N7" s="3" t="s">
        <v>19</v>
      </c>
    </row>
    <row r="8" spans="1:15" x14ac:dyDescent="0.35">
      <c r="A8" s="2" t="s">
        <v>41</v>
      </c>
      <c r="B8" s="2">
        <v>10</v>
      </c>
      <c r="C8" s="2" t="s">
        <v>16</v>
      </c>
      <c r="D8" s="2">
        <v>968</v>
      </c>
      <c r="E8" s="2">
        <v>20020</v>
      </c>
      <c r="G8" s="2">
        <v>286</v>
      </c>
      <c r="H8" s="2" t="s">
        <v>42</v>
      </c>
      <c r="I8" s="2">
        <f>VLOOKUP(H8,[1]Customers!$A:$B,2,FALSE)</f>
        <v>2566</v>
      </c>
      <c r="J8" s="2">
        <v>45819</v>
      </c>
      <c r="K8" s="2" t="s">
        <v>43</v>
      </c>
      <c r="M8" s="2">
        <v>4874.3999999999996</v>
      </c>
      <c r="N8" s="3" t="s">
        <v>19</v>
      </c>
    </row>
    <row r="9" spans="1:15" x14ac:dyDescent="0.35">
      <c r="A9" s="2" t="s">
        <v>44</v>
      </c>
      <c r="B9" s="2">
        <v>11</v>
      </c>
      <c r="C9" s="2" t="s">
        <v>16</v>
      </c>
      <c r="D9" s="2">
        <v>968</v>
      </c>
      <c r="E9" s="2">
        <v>20020</v>
      </c>
      <c r="G9" s="2">
        <v>425</v>
      </c>
      <c r="H9" s="2" t="s">
        <v>45</v>
      </c>
      <c r="I9" s="2">
        <f>VLOOKUP(H9,[1]Customers!$A:$B,2,FALSE)</f>
        <v>3553</v>
      </c>
      <c r="J9" s="2">
        <v>45680</v>
      </c>
      <c r="K9" s="2" t="s">
        <v>46</v>
      </c>
      <c r="M9" s="2">
        <v>29496.35</v>
      </c>
      <c r="N9" s="3" t="s">
        <v>19</v>
      </c>
    </row>
    <row r="10" spans="1:15" x14ac:dyDescent="0.35">
      <c r="A10" s="2" t="s">
        <v>52</v>
      </c>
      <c r="B10" s="2">
        <v>14</v>
      </c>
      <c r="C10" s="2" t="s">
        <v>16</v>
      </c>
      <c r="D10" s="2">
        <v>968</v>
      </c>
      <c r="E10" s="2">
        <v>20020</v>
      </c>
      <c r="G10" s="2">
        <v>463</v>
      </c>
      <c r="H10" s="2" t="s">
        <v>53</v>
      </c>
      <c r="I10" s="2">
        <f>VLOOKUP(H10,[1]Customers!$A:$B,2,FALSE)</f>
        <v>2692</v>
      </c>
      <c r="J10" s="2">
        <v>45642</v>
      </c>
      <c r="K10" s="2" t="s">
        <v>54</v>
      </c>
      <c r="M10" s="2">
        <v>10659.06</v>
      </c>
      <c r="N10" s="3" t="s">
        <v>19</v>
      </c>
    </row>
    <row r="11" spans="1:15" x14ac:dyDescent="0.35">
      <c r="A11" s="2" t="s">
        <v>55</v>
      </c>
      <c r="B11" s="2">
        <v>15</v>
      </c>
      <c r="C11" s="2" t="s">
        <v>16</v>
      </c>
      <c r="D11" s="2">
        <v>968</v>
      </c>
      <c r="E11" s="2">
        <v>20020</v>
      </c>
      <c r="G11" s="2">
        <v>558</v>
      </c>
      <c r="H11" s="2" t="s">
        <v>56</v>
      </c>
      <c r="I11" s="2">
        <f>VLOOKUP(H11,[1]Customers!$A:$B,2,FALSE)</f>
        <v>444</v>
      </c>
      <c r="J11" s="2">
        <v>45547</v>
      </c>
      <c r="K11" s="2" t="s">
        <v>57</v>
      </c>
      <c r="M11" s="2">
        <v>226000.53</v>
      </c>
      <c r="N11" s="3" t="s">
        <v>19</v>
      </c>
    </row>
    <row r="12" spans="1:15" x14ac:dyDescent="0.35">
      <c r="A12" s="2" t="s">
        <v>61</v>
      </c>
      <c r="B12" s="2">
        <v>17</v>
      </c>
      <c r="C12" s="2" t="s">
        <v>16</v>
      </c>
      <c r="D12" s="2">
        <v>968</v>
      </c>
      <c r="E12" s="2">
        <v>20020</v>
      </c>
      <c r="G12" s="2">
        <v>399</v>
      </c>
      <c r="H12" s="2" t="s">
        <v>62</v>
      </c>
      <c r="I12" s="2">
        <f>VLOOKUP(H12,[1]Customers!$A:$B,2,FALSE)</f>
        <v>2598</v>
      </c>
      <c r="J12" s="2">
        <v>45706</v>
      </c>
      <c r="K12" s="2" t="s">
        <v>63</v>
      </c>
      <c r="M12" s="2">
        <v>84.61</v>
      </c>
      <c r="N12" s="3" t="s">
        <v>19</v>
      </c>
      <c r="O12" s="2">
        <v>4248</v>
      </c>
    </row>
    <row r="13" spans="1:15" x14ac:dyDescent="0.35">
      <c r="A13" s="2" t="s">
        <v>78</v>
      </c>
      <c r="B13" s="2">
        <v>23</v>
      </c>
      <c r="C13" s="2" t="s">
        <v>16</v>
      </c>
      <c r="D13" s="2">
        <v>968</v>
      </c>
      <c r="E13" s="2">
        <v>20020</v>
      </c>
      <c r="G13" s="2">
        <v>357</v>
      </c>
      <c r="H13" s="2" t="s">
        <v>79</v>
      </c>
      <c r="I13" s="2">
        <f>VLOOKUP(H13,[1]Customers!$A:$B,2,FALSE)</f>
        <v>2161</v>
      </c>
      <c r="J13" s="2">
        <v>45748</v>
      </c>
      <c r="K13" s="2" t="s">
        <v>80</v>
      </c>
      <c r="M13" s="2">
        <v>21338</v>
      </c>
      <c r="N13" s="3" t="s">
        <v>19</v>
      </c>
    </row>
    <row r="14" spans="1:15" x14ac:dyDescent="0.35">
      <c r="A14" s="2" t="s">
        <v>81</v>
      </c>
      <c r="B14" s="2">
        <v>24</v>
      </c>
      <c r="C14" s="2" t="s">
        <v>16</v>
      </c>
      <c r="D14" s="2">
        <v>968</v>
      </c>
      <c r="E14" s="2">
        <v>20020</v>
      </c>
      <c r="G14" s="2">
        <v>386</v>
      </c>
      <c r="H14" s="2" t="s">
        <v>82</v>
      </c>
      <c r="I14" s="2">
        <f>VLOOKUP(H14,[1]Customers!$A:$B,2,FALSE)</f>
        <v>2670</v>
      </c>
      <c r="J14" s="2">
        <v>45719</v>
      </c>
      <c r="K14" s="2" t="s">
        <v>83</v>
      </c>
      <c r="M14" s="2">
        <v>3040</v>
      </c>
      <c r="N14" s="3" t="s">
        <v>19</v>
      </c>
      <c r="O14" s="2">
        <v>773</v>
      </c>
    </row>
    <row r="15" spans="1:15" x14ac:dyDescent="0.35">
      <c r="A15" s="2" t="s">
        <v>84</v>
      </c>
      <c r="B15" s="2">
        <v>25</v>
      </c>
      <c r="C15" s="2" t="s">
        <v>16</v>
      </c>
      <c r="D15" s="2">
        <v>968</v>
      </c>
      <c r="E15" s="2">
        <v>20020</v>
      </c>
      <c r="G15" s="2">
        <v>740</v>
      </c>
      <c r="H15" s="2" t="s">
        <v>85</v>
      </c>
      <c r="I15" s="2">
        <f>VLOOKUP(H15,[1]Customers!$A:$B,2,FALSE)</f>
        <v>3314</v>
      </c>
      <c r="J15" s="2">
        <v>45365</v>
      </c>
      <c r="K15" s="2" t="s">
        <v>86</v>
      </c>
      <c r="M15" s="2">
        <v>1100</v>
      </c>
      <c r="N15" s="3" t="s">
        <v>19</v>
      </c>
      <c r="O15" s="2">
        <v>35829</v>
      </c>
    </row>
    <row r="16" spans="1:15" x14ac:dyDescent="0.35">
      <c r="A16" s="2" t="s">
        <v>87</v>
      </c>
      <c r="B16" s="2">
        <v>26</v>
      </c>
      <c r="C16" s="2" t="s">
        <v>16</v>
      </c>
      <c r="D16" s="2">
        <v>968</v>
      </c>
      <c r="E16" s="2">
        <v>20020</v>
      </c>
      <c r="G16" s="2">
        <v>602</v>
      </c>
      <c r="H16" s="2" t="s">
        <v>85</v>
      </c>
      <c r="I16" s="2">
        <f>VLOOKUP(H16,[1]Customers!$A:$B,2,FALSE)</f>
        <v>3314</v>
      </c>
      <c r="J16" s="2">
        <v>45503</v>
      </c>
      <c r="M16" s="2">
        <v>39615.370000000003</v>
      </c>
      <c r="N16" s="3" t="s">
        <v>19</v>
      </c>
    </row>
    <row r="17" spans="1:14" x14ac:dyDescent="0.35">
      <c r="A17" s="2" t="s">
        <v>88</v>
      </c>
      <c r="B17" s="2">
        <v>27</v>
      </c>
      <c r="C17" s="2" t="s">
        <v>16</v>
      </c>
      <c r="D17" s="2">
        <v>968</v>
      </c>
      <c r="E17" s="2">
        <v>20020</v>
      </c>
      <c r="G17" s="2">
        <v>277</v>
      </c>
      <c r="H17" s="2" t="s">
        <v>89</v>
      </c>
      <c r="I17" s="2">
        <f>VLOOKUP(H17,[1]Customers!$A:$B,2,FALSE)</f>
        <v>459</v>
      </c>
      <c r="J17" s="2">
        <v>45828</v>
      </c>
      <c r="K17" s="2" t="s">
        <v>90</v>
      </c>
      <c r="M17" s="2">
        <v>641721</v>
      </c>
      <c r="N17" s="3" t="s">
        <v>19</v>
      </c>
    </row>
    <row r="18" spans="1:14" x14ac:dyDescent="0.35">
      <c r="A18" s="2" t="s">
        <v>91</v>
      </c>
      <c r="B18" s="2">
        <v>28</v>
      </c>
      <c r="C18" s="2" t="s">
        <v>16</v>
      </c>
      <c r="D18" s="2">
        <v>968</v>
      </c>
      <c r="E18" s="2">
        <v>20020</v>
      </c>
      <c r="G18" s="2">
        <v>356</v>
      </c>
      <c r="H18" s="2" t="s">
        <v>89</v>
      </c>
      <c r="I18" s="2">
        <f>VLOOKUP(H18,[1]Customers!$A:$B,2,FALSE)</f>
        <v>459</v>
      </c>
      <c r="J18" s="2">
        <v>45749</v>
      </c>
      <c r="K18" s="2" t="s">
        <v>92</v>
      </c>
      <c r="M18" s="2">
        <v>750000</v>
      </c>
      <c r="N18" s="3" t="s">
        <v>19</v>
      </c>
    </row>
    <row r="19" spans="1:14" x14ac:dyDescent="0.35">
      <c r="A19" s="2" t="s">
        <v>93</v>
      </c>
      <c r="B19" s="2">
        <v>29</v>
      </c>
      <c r="C19" s="2" t="s">
        <v>16</v>
      </c>
      <c r="D19" s="2">
        <v>968</v>
      </c>
      <c r="E19" s="2">
        <v>20020</v>
      </c>
      <c r="G19" s="2">
        <v>340</v>
      </c>
      <c r="H19" s="2" t="s">
        <v>89</v>
      </c>
      <c r="I19" s="2">
        <f>VLOOKUP(H19,[1]Customers!$A:$B,2,FALSE)</f>
        <v>459</v>
      </c>
      <c r="J19" s="2">
        <v>45765</v>
      </c>
      <c r="K19" s="2" t="s">
        <v>94</v>
      </c>
      <c r="M19" s="2">
        <v>940883.04</v>
      </c>
      <c r="N19" s="3" t="s">
        <v>19</v>
      </c>
    </row>
    <row r="20" spans="1:14" x14ac:dyDescent="0.35">
      <c r="A20" s="2" t="s">
        <v>95</v>
      </c>
      <c r="B20" s="2">
        <v>30</v>
      </c>
      <c r="C20" s="2" t="s">
        <v>16</v>
      </c>
      <c r="D20" s="2">
        <v>968</v>
      </c>
      <c r="E20" s="2">
        <v>20020</v>
      </c>
      <c r="G20" s="2">
        <v>372</v>
      </c>
      <c r="H20" s="2" t="s">
        <v>89</v>
      </c>
      <c r="I20" s="2">
        <f>VLOOKUP(H20,[1]Customers!$A:$B,2,FALSE)</f>
        <v>459</v>
      </c>
      <c r="J20" s="2">
        <v>45733</v>
      </c>
      <c r="K20" s="2" t="s">
        <v>96</v>
      </c>
      <c r="M20" s="2">
        <v>500000.6</v>
      </c>
      <c r="N20" s="3" t="s">
        <v>19</v>
      </c>
    </row>
    <row r="21" spans="1:14" x14ac:dyDescent="0.35">
      <c r="A21" s="2" t="s">
        <v>97</v>
      </c>
      <c r="B21" s="2">
        <v>31</v>
      </c>
      <c r="C21" s="2" t="s">
        <v>16</v>
      </c>
      <c r="D21" s="2">
        <v>968</v>
      </c>
      <c r="E21" s="2">
        <v>20020</v>
      </c>
      <c r="G21" s="2">
        <v>299</v>
      </c>
      <c r="H21" s="2" t="s">
        <v>98</v>
      </c>
      <c r="I21" s="2">
        <f>VLOOKUP(H21,[1]Customers!$A:$B,2,FALSE)</f>
        <v>2713</v>
      </c>
      <c r="J21" s="2">
        <v>45806</v>
      </c>
      <c r="K21" s="2" t="s">
        <v>99</v>
      </c>
      <c r="M21" s="2">
        <v>39071.79</v>
      </c>
      <c r="N21" s="3" t="s">
        <v>19</v>
      </c>
    </row>
    <row r="22" spans="1:14" x14ac:dyDescent="0.35">
      <c r="A22" s="2" t="s">
        <v>103</v>
      </c>
      <c r="B22" s="2">
        <v>33</v>
      </c>
      <c r="C22" s="2" t="s">
        <v>16</v>
      </c>
      <c r="D22" s="2">
        <v>968</v>
      </c>
      <c r="E22" s="2">
        <v>20020</v>
      </c>
      <c r="G22" s="2">
        <v>496</v>
      </c>
      <c r="H22" s="2" t="s">
        <v>104</v>
      </c>
      <c r="I22" s="2">
        <f>VLOOKUP(H22,[1]Customers!$A:$B,2,FALSE)</f>
        <v>3318</v>
      </c>
      <c r="J22" s="2">
        <v>45609</v>
      </c>
      <c r="M22" s="2">
        <v>189922.42</v>
      </c>
      <c r="N22" s="3" t="s">
        <v>19</v>
      </c>
    </row>
    <row r="23" spans="1:14" x14ac:dyDescent="0.35">
      <c r="A23" s="2" t="s">
        <v>105</v>
      </c>
      <c r="B23" s="2">
        <v>34</v>
      </c>
      <c r="C23" s="2" t="s">
        <v>16</v>
      </c>
      <c r="D23" s="2">
        <v>968</v>
      </c>
      <c r="E23" s="2">
        <v>20020</v>
      </c>
      <c r="G23" s="2">
        <v>516</v>
      </c>
      <c r="H23" s="2" t="s">
        <v>104</v>
      </c>
      <c r="I23" s="2">
        <f>VLOOKUP(H23,[1]Customers!$A:$B,2,FALSE)</f>
        <v>3318</v>
      </c>
      <c r="J23" s="2">
        <v>45589</v>
      </c>
      <c r="K23" s="2" t="s">
        <v>106</v>
      </c>
      <c r="M23" s="2">
        <v>139.53</v>
      </c>
      <c r="N23" s="3" t="s">
        <v>19</v>
      </c>
    </row>
    <row r="24" spans="1:14" x14ac:dyDescent="0.35">
      <c r="A24" s="2" t="s">
        <v>107</v>
      </c>
      <c r="B24" s="2">
        <v>35</v>
      </c>
      <c r="C24" s="2" t="s">
        <v>16</v>
      </c>
      <c r="D24" s="2">
        <v>968</v>
      </c>
      <c r="E24" s="2">
        <v>20020</v>
      </c>
      <c r="G24" s="2">
        <v>496</v>
      </c>
      <c r="H24" s="2" t="s">
        <v>104</v>
      </c>
      <c r="I24" s="2">
        <f>VLOOKUP(H24,[1]Customers!$A:$B,2,FALSE)</f>
        <v>3318</v>
      </c>
      <c r="J24" s="2">
        <v>45609</v>
      </c>
      <c r="K24" s="2" t="s">
        <v>108</v>
      </c>
      <c r="M24" s="2">
        <v>199723</v>
      </c>
      <c r="N24" s="3" t="s">
        <v>19</v>
      </c>
    </row>
    <row r="25" spans="1:14" x14ac:dyDescent="0.35">
      <c r="A25" s="2" t="s">
        <v>109</v>
      </c>
      <c r="B25" s="2">
        <v>36</v>
      </c>
      <c r="C25" s="2" t="s">
        <v>16</v>
      </c>
      <c r="D25" s="2">
        <v>968</v>
      </c>
      <c r="E25" s="2">
        <v>20020</v>
      </c>
      <c r="G25" s="2">
        <v>299</v>
      </c>
      <c r="H25" s="2" t="s">
        <v>104</v>
      </c>
      <c r="I25" s="2">
        <f>VLOOKUP(H25,[1]Customers!$A:$B,2,FALSE)</f>
        <v>3318</v>
      </c>
      <c r="J25" s="2">
        <v>45806</v>
      </c>
      <c r="K25" s="2" t="s">
        <v>110</v>
      </c>
      <c r="M25" s="2">
        <v>800000</v>
      </c>
      <c r="N25" s="3" t="s">
        <v>19</v>
      </c>
    </row>
    <row r="26" spans="1:14" x14ac:dyDescent="0.35">
      <c r="A26" s="2" t="s">
        <v>111</v>
      </c>
      <c r="B26" s="2">
        <v>37</v>
      </c>
      <c r="C26" s="2" t="s">
        <v>16</v>
      </c>
      <c r="D26" s="2">
        <v>968</v>
      </c>
      <c r="E26" s="2">
        <v>20020</v>
      </c>
      <c r="G26" s="2">
        <v>323</v>
      </c>
      <c r="H26" s="2" t="s">
        <v>112</v>
      </c>
      <c r="I26" s="2">
        <f>VLOOKUP(H26,[1]Customers!$A:$B,2,FALSE)</f>
        <v>3320</v>
      </c>
      <c r="J26" s="2">
        <v>45782</v>
      </c>
      <c r="K26" s="2" t="s">
        <v>113</v>
      </c>
      <c r="M26" s="2">
        <v>262505.84000000003</v>
      </c>
      <c r="N26" s="3" t="s">
        <v>19</v>
      </c>
    </row>
    <row r="27" spans="1:14" x14ac:dyDescent="0.35">
      <c r="A27" s="2" t="s">
        <v>120</v>
      </c>
      <c r="B27" s="2">
        <v>40</v>
      </c>
      <c r="C27" s="2" t="s">
        <v>16</v>
      </c>
      <c r="D27" s="2">
        <v>968</v>
      </c>
      <c r="E27" s="2">
        <v>20020</v>
      </c>
      <c r="G27" s="2">
        <v>384</v>
      </c>
      <c r="H27" s="2" t="s">
        <v>121</v>
      </c>
      <c r="I27" s="2">
        <f>VLOOKUP(H27,[1]Customers!$A:$B,2,FALSE)</f>
        <v>1548</v>
      </c>
      <c r="J27" s="2">
        <v>45721</v>
      </c>
      <c r="K27" s="2" t="s">
        <v>122</v>
      </c>
      <c r="M27" s="2">
        <v>625929.09</v>
      </c>
      <c r="N27" s="3" t="s">
        <v>19</v>
      </c>
    </row>
    <row r="28" spans="1:14" x14ac:dyDescent="0.35">
      <c r="A28" s="2" t="s">
        <v>123</v>
      </c>
      <c r="B28" s="2">
        <v>41</v>
      </c>
      <c r="C28" s="2" t="s">
        <v>16</v>
      </c>
      <c r="D28" s="2">
        <v>968</v>
      </c>
      <c r="E28" s="2">
        <v>20020</v>
      </c>
      <c r="G28" s="2">
        <v>494</v>
      </c>
      <c r="H28" s="2" t="s">
        <v>121</v>
      </c>
      <c r="I28" s="2">
        <f>VLOOKUP(H28,[1]Customers!$A:$B,2,FALSE)</f>
        <v>1548</v>
      </c>
      <c r="J28" s="2">
        <v>45611</v>
      </c>
      <c r="K28" s="2" t="s">
        <v>122</v>
      </c>
      <c r="M28" s="2">
        <v>141523.45000000001</v>
      </c>
      <c r="N28" s="3" t="s">
        <v>19</v>
      </c>
    </row>
    <row r="29" spans="1:14" x14ac:dyDescent="0.35">
      <c r="A29" s="2" t="s">
        <v>124</v>
      </c>
      <c r="B29" s="2">
        <v>42</v>
      </c>
      <c r="C29" s="2" t="s">
        <v>16</v>
      </c>
      <c r="D29" s="2">
        <v>968</v>
      </c>
      <c r="E29" s="2">
        <v>20020</v>
      </c>
      <c r="G29" s="2">
        <v>293</v>
      </c>
      <c r="H29" s="2" t="s">
        <v>125</v>
      </c>
      <c r="I29" s="2">
        <f>VLOOKUP(H29,[1]Customers!$A:$B,2,FALSE)</f>
        <v>2577</v>
      </c>
      <c r="J29" s="2">
        <v>45812</v>
      </c>
      <c r="K29" s="2" t="s">
        <v>126</v>
      </c>
      <c r="M29" s="2">
        <v>32003.74</v>
      </c>
      <c r="N29" s="3" t="s">
        <v>19</v>
      </c>
    </row>
    <row r="30" spans="1:14" x14ac:dyDescent="0.35">
      <c r="A30" s="2" t="s">
        <v>127</v>
      </c>
      <c r="B30" s="2">
        <v>43</v>
      </c>
      <c r="C30" s="2" t="s">
        <v>16</v>
      </c>
      <c r="D30" s="2">
        <v>968</v>
      </c>
      <c r="E30" s="2">
        <v>20020</v>
      </c>
      <c r="G30" s="2">
        <v>279</v>
      </c>
      <c r="H30" s="2" t="s">
        <v>125</v>
      </c>
      <c r="I30" s="2">
        <f>VLOOKUP(H30,[1]Customers!$A:$B,2,FALSE)</f>
        <v>2577</v>
      </c>
      <c r="J30" s="2">
        <v>45826</v>
      </c>
      <c r="K30" s="2" t="s">
        <v>128</v>
      </c>
      <c r="M30" s="2">
        <v>15100.62</v>
      </c>
      <c r="N30" s="3" t="s">
        <v>19</v>
      </c>
    </row>
    <row r="31" spans="1:14" x14ac:dyDescent="0.35">
      <c r="A31" s="2" t="s">
        <v>129</v>
      </c>
      <c r="B31" s="2">
        <v>44</v>
      </c>
      <c r="C31" s="2" t="s">
        <v>16</v>
      </c>
      <c r="D31" s="2">
        <v>968</v>
      </c>
      <c r="E31" s="2">
        <v>20020</v>
      </c>
      <c r="G31" s="2">
        <v>351</v>
      </c>
      <c r="H31" s="2" t="s">
        <v>130</v>
      </c>
      <c r="I31" s="2">
        <f>VLOOKUP(H31,[1]Customers!$A:$B,2,FALSE)</f>
        <v>464</v>
      </c>
      <c r="J31" s="2">
        <v>45754</v>
      </c>
      <c r="K31" s="2" t="s">
        <v>131</v>
      </c>
      <c r="M31" s="2">
        <v>10435.040000000001</v>
      </c>
      <c r="N31" s="3" t="s">
        <v>19</v>
      </c>
    </row>
    <row r="32" spans="1:14" ht="15" customHeight="1" x14ac:dyDescent="0.35">
      <c r="A32" s="2" t="s">
        <v>132</v>
      </c>
      <c r="B32" s="2">
        <v>45</v>
      </c>
      <c r="C32" s="2" t="s">
        <v>16</v>
      </c>
      <c r="D32" s="2">
        <v>968</v>
      </c>
      <c r="E32" s="2">
        <v>20020</v>
      </c>
      <c r="G32" s="2">
        <v>601</v>
      </c>
      <c r="H32" s="2" t="s">
        <v>130</v>
      </c>
      <c r="I32" s="2">
        <f>VLOOKUP(H32,[1]Customers!$A:$B,2,FALSE)</f>
        <v>464</v>
      </c>
      <c r="J32" s="2">
        <v>45504</v>
      </c>
      <c r="K32" s="2" t="s">
        <v>131</v>
      </c>
      <c r="M32" s="2">
        <v>10435.040000000001</v>
      </c>
      <c r="N32" s="3" t="s">
        <v>19</v>
      </c>
    </row>
    <row r="33" spans="1:15" x14ac:dyDescent="0.35">
      <c r="A33" s="2" t="s">
        <v>133</v>
      </c>
      <c r="B33" s="2">
        <v>46</v>
      </c>
      <c r="C33" s="2" t="s">
        <v>16</v>
      </c>
      <c r="D33" s="2">
        <v>968</v>
      </c>
      <c r="E33" s="2">
        <v>20020</v>
      </c>
      <c r="G33" s="2">
        <v>637</v>
      </c>
      <c r="H33" s="2" t="s">
        <v>130</v>
      </c>
      <c r="I33" s="2">
        <f>VLOOKUP(H33,[1]Customers!$A:$B,2,FALSE)</f>
        <v>464</v>
      </c>
      <c r="J33" s="2">
        <v>45468</v>
      </c>
      <c r="K33" s="2" t="s">
        <v>134</v>
      </c>
      <c r="M33" s="2">
        <v>27104</v>
      </c>
      <c r="N33" s="3" t="s">
        <v>19</v>
      </c>
      <c r="O33" s="2">
        <v>36920</v>
      </c>
    </row>
    <row r="34" spans="1:15" x14ac:dyDescent="0.35">
      <c r="A34" s="2" t="s">
        <v>135</v>
      </c>
      <c r="B34" s="2">
        <v>47</v>
      </c>
      <c r="C34" s="2" t="s">
        <v>16</v>
      </c>
      <c r="D34" s="2">
        <v>968</v>
      </c>
      <c r="E34" s="2">
        <v>20020</v>
      </c>
      <c r="G34" s="2">
        <v>333</v>
      </c>
      <c r="H34" s="2" t="s">
        <v>136</v>
      </c>
      <c r="I34" s="2">
        <f>VLOOKUP(H34,[1]Customers!$A:$B,2,FALSE)</f>
        <v>2371</v>
      </c>
      <c r="J34" s="2">
        <v>45772</v>
      </c>
      <c r="K34" s="2" t="s">
        <v>137</v>
      </c>
      <c r="M34" s="2">
        <v>51651.71</v>
      </c>
      <c r="N34" s="3" t="s">
        <v>19</v>
      </c>
    </row>
    <row r="35" spans="1:15" x14ac:dyDescent="0.35">
      <c r="A35" s="2" t="s">
        <v>138</v>
      </c>
      <c r="B35" s="2">
        <v>48</v>
      </c>
      <c r="C35" s="2" t="s">
        <v>16</v>
      </c>
      <c r="D35" s="2">
        <v>968</v>
      </c>
      <c r="E35" s="2">
        <v>20020</v>
      </c>
      <c r="G35" s="2">
        <v>305</v>
      </c>
      <c r="H35" s="2" t="s">
        <v>139</v>
      </c>
      <c r="I35" s="2">
        <f>VLOOKUP(H35,[1]Customers!$A:$B,2,FALSE)</f>
        <v>474</v>
      </c>
      <c r="J35" s="2">
        <v>45800</v>
      </c>
      <c r="K35" s="2" t="s">
        <v>140</v>
      </c>
      <c r="M35" s="2">
        <v>179770.18</v>
      </c>
      <c r="N35" s="3" t="s">
        <v>19</v>
      </c>
    </row>
    <row r="36" spans="1:15" x14ac:dyDescent="0.35">
      <c r="A36" s="2" t="s">
        <v>141</v>
      </c>
      <c r="B36" s="2">
        <v>49</v>
      </c>
      <c r="C36" s="2" t="s">
        <v>16</v>
      </c>
      <c r="D36" s="2">
        <v>968</v>
      </c>
      <c r="E36" s="2">
        <v>20020</v>
      </c>
      <c r="G36" s="2">
        <v>487</v>
      </c>
      <c r="H36" s="2" t="s">
        <v>139</v>
      </c>
      <c r="I36" s="2">
        <f>VLOOKUP(H36,[1]Customers!$A:$B,2,FALSE)</f>
        <v>474</v>
      </c>
      <c r="J36" s="2">
        <v>45618</v>
      </c>
      <c r="K36" s="2" t="s">
        <v>142</v>
      </c>
      <c r="M36" s="2">
        <v>250000</v>
      </c>
      <c r="N36" s="3" t="s">
        <v>19</v>
      </c>
    </row>
    <row r="37" spans="1:15" x14ac:dyDescent="0.35">
      <c r="A37" s="2" t="s">
        <v>143</v>
      </c>
      <c r="B37" s="2">
        <v>50</v>
      </c>
      <c r="C37" s="2" t="s">
        <v>16</v>
      </c>
      <c r="D37" s="2">
        <v>968</v>
      </c>
      <c r="E37" s="2">
        <v>20020</v>
      </c>
      <c r="G37" s="2">
        <v>488</v>
      </c>
      <c r="H37" s="2" t="s">
        <v>139</v>
      </c>
      <c r="I37" s="2">
        <f>VLOOKUP(H37,[1]Customers!$A:$B,2,FALSE)</f>
        <v>474</v>
      </c>
      <c r="J37" s="2">
        <v>45617</v>
      </c>
      <c r="K37" s="2" t="s">
        <v>142</v>
      </c>
      <c r="M37" s="2">
        <v>250000</v>
      </c>
      <c r="N37" s="3" t="s">
        <v>19</v>
      </c>
    </row>
    <row r="38" spans="1:15" x14ac:dyDescent="0.35">
      <c r="A38" s="2" t="s">
        <v>144</v>
      </c>
      <c r="B38" s="2">
        <v>51</v>
      </c>
      <c r="C38" s="2" t="s">
        <v>16</v>
      </c>
      <c r="D38" s="2">
        <v>968</v>
      </c>
      <c r="E38" s="2">
        <v>20020</v>
      </c>
      <c r="G38" s="2">
        <v>431</v>
      </c>
      <c r="H38" s="2" t="s">
        <v>139</v>
      </c>
      <c r="I38" s="2">
        <f>VLOOKUP(H38,[1]Customers!$A:$B,2,FALSE)</f>
        <v>474</v>
      </c>
      <c r="J38" s="2">
        <v>45674</v>
      </c>
      <c r="K38" s="2" t="s">
        <v>142</v>
      </c>
      <c r="M38" s="2">
        <v>250000</v>
      </c>
      <c r="N38" s="3" t="s">
        <v>19</v>
      </c>
    </row>
    <row r="39" spans="1:15" x14ac:dyDescent="0.35">
      <c r="A39" s="2" t="s">
        <v>145</v>
      </c>
      <c r="B39" s="2">
        <v>52</v>
      </c>
      <c r="C39" s="2" t="s">
        <v>16</v>
      </c>
      <c r="D39" s="2">
        <v>968</v>
      </c>
      <c r="E39" s="2">
        <v>20020</v>
      </c>
      <c r="G39" s="2">
        <v>461</v>
      </c>
      <c r="H39" s="4" t="s">
        <v>146</v>
      </c>
      <c r="I39" s="2">
        <f>VLOOKUP(H39,[1]Customers!$A:$B,2,FALSE)</f>
        <v>2574</v>
      </c>
      <c r="J39" s="2">
        <v>45644</v>
      </c>
      <c r="K39" s="2" t="s">
        <v>147</v>
      </c>
      <c r="M39" s="2">
        <v>1331.91</v>
      </c>
      <c r="N39" s="3" t="s">
        <v>19</v>
      </c>
    </row>
    <row r="40" spans="1:15" x14ac:dyDescent="0.35">
      <c r="A40" s="2" t="s">
        <v>148</v>
      </c>
      <c r="B40" s="2">
        <v>53</v>
      </c>
      <c r="C40" s="2" t="s">
        <v>16</v>
      </c>
      <c r="D40" s="2">
        <v>968</v>
      </c>
      <c r="E40" s="2">
        <v>20020</v>
      </c>
      <c r="G40" s="2">
        <v>274</v>
      </c>
      <c r="H40" s="2" t="s">
        <v>146</v>
      </c>
      <c r="I40" s="2">
        <f>VLOOKUP(H40,[1]Customers!$A:$B,2,FALSE)</f>
        <v>2574</v>
      </c>
      <c r="J40" s="2">
        <v>45831</v>
      </c>
      <c r="K40" s="2" t="s">
        <v>149</v>
      </c>
      <c r="M40" s="2">
        <v>33300</v>
      </c>
      <c r="N40" s="3" t="s">
        <v>19</v>
      </c>
    </row>
    <row r="41" spans="1:15" x14ac:dyDescent="0.35">
      <c r="A41" s="2" t="s">
        <v>150</v>
      </c>
      <c r="B41" s="2">
        <v>54</v>
      </c>
      <c r="C41" s="2" t="s">
        <v>16</v>
      </c>
      <c r="D41" s="2">
        <v>968</v>
      </c>
      <c r="E41" s="2">
        <v>20020</v>
      </c>
      <c r="G41" s="2">
        <v>286</v>
      </c>
      <c r="H41" s="2" t="s">
        <v>151</v>
      </c>
      <c r="I41" s="2">
        <f>VLOOKUP(H41,[1]Customers!$A:$B,2,FALSE)</f>
        <v>3321</v>
      </c>
      <c r="J41" s="2">
        <v>45819</v>
      </c>
      <c r="K41" s="2" t="s">
        <v>152</v>
      </c>
      <c r="M41" s="2">
        <v>64469.49</v>
      </c>
      <c r="N41" s="3" t="s">
        <v>19</v>
      </c>
    </row>
    <row r="42" spans="1:15" x14ac:dyDescent="0.35">
      <c r="A42" s="2" t="s">
        <v>153</v>
      </c>
      <c r="B42" s="2">
        <v>55</v>
      </c>
      <c r="C42" s="2" t="s">
        <v>16</v>
      </c>
      <c r="D42" s="2">
        <v>968</v>
      </c>
      <c r="E42" s="2">
        <v>20020</v>
      </c>
      <c r="G42" s="2">
        <v>328</v>
      </c>
      <c r="H42" s="2" t="s">
        <v>154</v>
      </c>
      <c r="I42" s="2">
        <f>VLOOKUP(H42,[1]Customers!$A:$B,2,FALSE)</f>
        <v>485</v>
      </c>
      <c r="J42" s="2">
        <v>45777</v>
      </c>
      <c r="K42" s="2" t="s">
        <v>155</v>
      </c>
      <c r="M42" s="2">
        <v>8529.09</v>
      </c>
      <c r="N42" s="3" t="s">
        <v>19</v>
      </c>
    </row>
    <row r="43" spans="1:15" x14ac:dyDescent="0.35">
      <c r="A43" s="2" t="s">
        <v>156</v>
      </c>
      <c r="B43" s="2">
        <v>56</v>
      </c>
      <c r="C43" s="2" t="s">
        <v>16</v>
      </c>
      <c r="D43" s="2">
        <v>968</v>
      </c>
      <c r="E43" s="2">
        <v>20020</v>
      </c>
      <c r="G43" s="2">
        <v>288</v>
      </c>
      <c r="H43" s="2" t="s">
        <v>157</v>
      </c>
      <c r="I43" s="2">
        <f>VLOOKUP(H43,[1]Customers!$A:$B,2,FALSE)</f>
        <v>487</v>
      </c>
      <c r="J43" s="2">
        <v>45817</v>
      </c>
      <c r="K43" s="2" t="s">
        <v>158</v>
      </c>
      <c r="M43" s="2">
        <v>32336.94</v>
      </c>
      <c r="N43" s="3" t="s">
        <v>19</v>
      </c>
    </row>
    <row r="44" spans="1:15" x14ac:dyDescent="0.35">
      <c r="A44" s="2" t="s">
        <v>159</v>
      </c>
      <c r="B44" s="2">
        <v>57</v>
      </c>
      <c r="C44" s="2" t="s">
        <v>16</v>
      </c>
      <c r="D44" s="2">
        <v>968</v>
      </c>
      <c r="E44" s="2">
        <v>20020</v>
      </c>
      <c r="G44" s="2">
        <v>497</v>
      </c>
      <c r="H44" s="2" t="s">
        <v>157</v>
      </c>
      <c r="I44" s="2">
        <f>VLOOKUP(H44,[1]Customers!$A:$B,2,FALSE)</f>
        <v>487</v>
      </c>
      <c r="J44" s="2">
        <v>45608</v>
      </c>
      <c r="K44" s="2" t="s">
        <v>160</v>
      </c>
      <c r="M44" s="2">
        <v>1050.5</v>
      </c>
      <c r="N44" s="3" t="s">
        <v>19</v>
      </c>
    </row>
    <row r="45" spans="1:15" x14ac:dyDescent="0.35">
      <c r="A45" s="2" t="s">
        <v>161</v>
      </c>
      <c r="B45" s="2">
        <v>58</v>
      </c>
      <c r="C45" s="2" t="s">
        <v>16</v>
      </c>
      <c r="D45" s="2">
        <v>968</v>
      </c>
      <c r="E45" s="2">
        <v>20020</v>
      </c>
      <c r="G45" s="2">
        <v>273</v>
      </c>
      <c r="H45" s="2" t="s">
        <v>157</v>
      </c>
      <c r="I45" s="2">
        <f>VLOOKUP(H45,[1]Customers!$A:$B,2,FALSE)</f>
        <v>487</v>
      </c>
      <c r="J45" s="2">
        <v>45832</v>
      </c>
      <c r="K45" s="2" t="s">
        <v>162</v>
      </c>
      <c r="M45" s="2">
        <v>7600</v>
      </c>
      <c r="N45" s="3" t="s">
        <v>19</v>
      </c>
    </row>
    <row r="46" spans="1:15" x14ac:dyDescent="0.35">
      <c r="A46" s="2" t="s">
        <v>163</v>
      </c>
      <c r="B46" s="2">
        <v>59</v>
      </c>
      <c r="C46" s="2" t="s">
        <v>16</v>
      </c>
      <c r="D46" s="2">
        <v>968</v>
      </c>
      <c r="E46" s="2">
        <v>20020</v>
      </c>
      <c r="G46" s="2">
        <v>671</v>
      </c>
      <c r="H46" s="2" t="s">
        <v>164</v>
      </c>
      <c r="I46" s="2">
        <f>VLOOKUP(H46,[1]Customers!$A:$B,2,FALSE)</f>
        <v>3546</v>
      </c>
      <c r="J46" s="2">
        <v>45434</v>
      </c>
      <c r="K46" s="2" t="s">
        <v>165</v>
      </c>
      <c r="M46" s="2">
        <v>340</v>
      </c>
      <c r="N46" s="3" t="s">
        <v>19</v>
      </c>
      <c r="O46" s="2">
        <v>36162</v>
      </c>
    </row>
    <row r="47" spans="1:15" x14ac:dyDescent="0.35">
      <c r="A47" s="2" t="s">
        <v>166</v>
      </c>
      <c r="B47" s="2">
        <v>60</v>
      </c>
      <c r="C47" s="2" t="s">
        <v>16</v>
      </c>
      <c r="D47" s="2">
        <v>968</v>
      </c>
      <c r="E47" s="2">
        <v>20020</v>
      </c>
      <c r="G47" s="2">
        <v>915</v>
      </c>
      <c r="H47" s="2" t="s">
        <v>167</v>
      </c>
      <c r="I47" s="2">
        <f>VLOOKUP(H47,[1]Customers!$A:$B,2,FALSE)</f>
        <v>3323</v>
      </c>
      <c r="J47" s="2">
        <v>45190</v>
      </c>
      <c r="K47" s="2" t="s">
        <v>168</v>
      </c>
      <c r="M47" s="2">
        <v>3194.36</v>
      </c>
      <c r="N47" s="3" t="s">
        <v>19</v>
      </c>
    </row>
    <row r="48" spans="1:15" x14ac:dyDescent="0.35">
      <c r="A48" s="2" t="s">
        <v>169</v>
      </c>
      <c r="B48" s="2">
        <v>61</v>
      </c>
      <c r="C48" s="2" t="s">
        <v>16</v>
      </c>
      <c r="D48" s="2">
        <v>968</v>
      </c>
      <c r="E48" s="2">
        <v>20020</v>
      </c>
      <c r="G48" s="2">
        <v>1037</v>
      </c>
      <c r="H48" s="2" t="s">
        <v>167</v>
      </c>
      <c r="I48" s="2">
        <f>VLOOKUP(H48,[1]Customers!$A:$B,2,FALSE)</f>
        <v>3323</v>
      </c>
      <c r="J48" s="2">
        <v>45068</v>
      </c>
      <c r="M48" s="2">
        <v>4677.08</v>
      </c>
      <c r="N48" s="3" t="s">
        <v>19</v>
      </c>
      <c r="O48" s="2">
        <v>34507</v>
      </c>
    </row>
    <row r="49" spans="1:15" x14ac:dyDescent="0.35">
      <c r="A49" s="2" t="s">
        <v>170</v>
      </c>
      <c r="B49" s="2">
        <v>62</v>
      </c>
      <c r="C49" s="2" t="s">
        <v>16</v>
      </c>
      <c r="D49" s="2">
        <v>968</v>
      </c>
      <c r="E49" s="2">
        <v>20020</v>
      </c>
      <c r="G49" s="2">
        <v>599</v>
      </c>
      <c r="H49" s="2" t="s">
        <v>171</v>
      </c>
      <c r="I49" s="2">
        <f>VLOOKUP(H49,[1]Customers!$A:$B,2,FALSE)</f>
        <v>3324</v>
      </c>
      <c r="J49" s="2">
        <v>45506</v>
      </c>
      <c r="K49" s="2" t="s">
        <v>172</v>
      </c>
      <c r="M49" s="2">
        <v>1095.42</v>
      </c>
      <c r="N49" s="3" t="s">
        <v>19</v>
      </c>
    </row>
    <row r="50" spans="1:15" x14ac:dyDescent="0.35">
      <c r="A50" s="2" t="s">
        <v>173</v>
      </c>
      <c r="B50" s="2">
        <v>63</v>
      </c>
      <c r="C50" s="2" t="s">
        <v>16</v>
      </c>
      <c r="D50" s="2">
        <v>968</v>
      </c>
      <c r="E50" s="2">
        <v>20020</v>
      </c>
      <c r="G50" s="2">
        <v>511</v>
      </c>
      <c r="H50" s="2" t="s">
        <v>174</v>
      </c>
      <c r="I50" s="2">
        <f>VLOOKUP(H50,[1]Customers!$A:$B,2,FALSE)</f>
        <v>1552</v>
      </c>
      <c r="J50" s="2">
        <v>45594</v>
      </c>
      <c r="K50" s="2" t="s">
        <v>175</v>
      </c>
      <c r="M50" s="2">
        <v>114.07</v>
      </c>
      <c r="N50" s="3" t="s">
        <v>19</v>
      </c>
    </row>
    <row r="51" spans="1:15" x14ac:dyDescent="0.35">
      <c r="A51" s="2" t="s">
        <v>176</v>
      </c>
      <c r="B51" s="2">
        <v>64</v>
      </c>
      <c r="C51" s="2" t="s">
        <v>16</v>
      </c>
      <c r="D51" s="2">
        <v>968</v>
      </c>
      <c r="E51" s="2">
        <v>20020</v>
      </c>
      <c r="G51" s="2">
        <v>398</v>
      </c>
      <c r="H51" s="4" t="s">
        <v>177</v>
      </c>
      <c r="I51" s="2">
        <f>VLOOKUP(H51,[1]Customers!$A:$B,2,FALSE)</f>
        <v>1558</v>
      </c>
      <c r="J51" s="2">
        <v>45707</v>
      </c>
      <c r="K51" s="2" t="s">
        <v>178</v>
      </c>
      <c r="M51" s="2">
        <v>43211.64</v>
      </c>
      <c r="N51" s="3" t="s">
        <v>19</v>
      </c>
    </row>
    <row r="52" spans="1:15" x14ac:dyDescent="0.35">
      <c r="A52" s="2" t="s">
        <v>179</v>
      </c>
      <c r="B52" s="2">
        <v>65</v>
      </c>
      <c r="C52" s="2" t="s">
        <v>16</v>
      </c>
      <c r="D52" s="2">
        <v>968</v>
      </c>
      <c r="E52" s="2">
        <v>20020</v>
      </c>
      <c r="G52" s="2">
        <v>551</v>
      </c>
      <c r="H52" s="4" t="s">
        <v>177</v>
      </c>
      <c r="I52" s="2">
        <f>VLOOKUP(H52,[1]Customers!$A:$B,2,FALSE)</f>
        <v>1558</v>
      </c>
      <c r="J52" s="2">
        <v>45554</v>
      </c>
      <c r="K52" s="2" t="s">
        <v>178</v>
      </c>
      <c r="M52" s="2">
        <v>145779.16</v>
      </c>
      <c r="N52" s="3" t="s">
        <v>19</v>
      </c>
    </row>
    <row r="53" spans="1:15" x14ac:dyDescent="0.35">
      <c r="A53" s="2" t="s">
        <v>180</v>
      </c>
      <c r="B53" s="2">
        <v>66</v>
      </c>
      <c r="C53" s="2" t="s">
        <v>16</v>
      </c>
      <c r="D53" s="2">
        <v>968</v>
      </c>
      <c r="E53" s="2">
        <v>20020</v>
      </c>
      <c r="G53" s="2">
        <v>428</v>
      </c>
      <c r="H53" s="2" t="s">
        <v>181</v>
      </c>
      <c r="I53" s="2">
        <f>VLOOKUP(H53,[1]Customers!$A:$B,2,FALSE)</f>
        <v>2708</v>
      </c>
      <c r="J53" s="2">
        <v>45677</v>
      </c>
      <c r="K53" s="2" t="s">
        <v>182</v>
      </c>
      <c r="M53" s="2">
        <v>1432.34</v>
      </c>
      <c r="N53" s="3" t="s">
        <v>19</v>
      </c>
    </row>
    <row r="54" spans="1:15" x14ac:dyDescent="0.35">
      <c r="A54" s="2" t="s">
        <v>183</v>
      </c>
      <c r="B54" s="2">
        <v>67</v>
      </c>
      <c r="C54" s="2" t="s">
        <v>16</v>
      </c>
      <c r="D54" s="2">
        <v>968</v>
      </c>
      <c r="E54" s="2">
        <v>20020</v>
      </c>
      <c r="G54" s="2">
        <v>580</v>
      </c>
      <c r="H54" s="2" t="s">
        <v>184</v>
      </c>
      <c r="I54" s="2">
        <f>VLOOKUP(H54,[1]Customers!$A:$B,2,FALSE)</f>
        <v>3325</v>
      </c>
      <c r="J54" s="2">
        <v>45525</v>
      </c>
      <c r="K54" s="2" t="s">
        <v>185</v>
      </c>
      <c r="M54" s="2">
        <v>458.63</v>
      </c>
      <c r="N54" s="3" t="s">
        <v>19</v>
      </c>
    </row>
    <row r="55" spans="1:15" x14ac:dyDescent="0.35">
      <c r="A55" s="2" t="s">
        <v>186</v>
      </c>
      <c r="B55" s="2">
        <v>68</v>
      </c>
      <c r="C55" s="2" t="s">
        <v>16</v>
      </c>
      <c r="D55" s="2">
        <v>968</v>
      </c>
      <c r="E55" s="2">
        <v>20020</v>
      </c>
      <c r="G55" s="2">
        <v>330</v>
      </c>
      <c r="H55" s="2" t="s">
        <v>184</v>
      </c>
      <c r="I55" s="2">
        <f>VLOOKUP(H55,[1]Customers!$A:$B,2,FALSE)</f>
        <v>3325</v>
      </c>
      <c r="J55" s="2">
        <v>45775</v>
      </c>
      <c r="K55" s="2" t="s">
        <v>187</v>
      </c>
      <c r="M55" s="2">
        <v>11.76</v>
      </c>
      <c r="N55" s="3" t="s">
        <v>19</v>
      </c>
    </row>
    <row r="56" spans="1:15" x14ac:dyDescent="0.35">
      <c r="A56" s="2" t="s">
        <v>188</v>
      </c>
      <c r="B56" s="2">
        <v>69</v>
      </c>
      <c r="C56" s="2" t="s">
        <v>16</v>
      </c>
      <c r="D56" s="2">
        <v>968</v>
      </c>
      <c r="E56" s="2">
        <v>20020</v>
      </c>
      <c r="G56" s="2">
        <v>421</v>
      </c>
      <c r="H56" s="2" t="s">
        <v>189</v>
      </c>
      <c r="I56" s="2">
        <f>VLOOKUP(H56,[1]Customers!$A:$B,2,FALSE)</f>
        <v>2640</v>
      </c>
      <c r="J56" s="2">
        <v>45684</v>
      </c>
      <c r="K56" s="2" t="s">
        <v>190</v>
      </c>
      <c r="M56" s="2">
        <v>3583</v>
      </c>
      <c r="N56" s="3" t="s">
        <v>19</v>
      </c>
    </row>
    <row r="57" spans="1:15" x14ac:dyDescent="0.35">
      <c r="A57" s="2" t="s">
        <v>191</v>
      </c>
      <c r="B57" s="2">
        <v>70</v>
      </c>
      <c r="C57" s="2" t="s">
        <v>16</v>
      </c>
      <c r="D57" s="2">
        <v>968</v>
      </c>
      <c r="E57" s="2">
        <v>20020</v>
      </c>
      <c r="G57" s="2">
        <v>377</v>
      </c>
      <c r="H57" s="4" t="s">
        <v>192</v>
      </c>
      <c r="I57" s="2">
        <f>VLOOKUP(H57,[1]Customers!$A:$B,2,FALSE)</f>
        <v>2456</v>
      </c>
      <c r="J57" s="2">
        <v>45728</v>
      </c>
      <c r="K57" s="2" t="s">
        <v>193</v>
      </c>
      <c r="M57" s="2">
        <v>111.8</v>
      </c>
      <c r="N57" s="3" t="s">
        <v>19</v>
      </c>
    </row>
    <row r="58" spans="1:15" x14ac:dyDescent="0.35">
      <c r="A58" s="2" t="s">
        <v>194</v>
      </c>
      <c r="B58" s="2">
        <v>71</v>
      </c>
      <c r="C58" s="2" t="s">
        <v>16</v>
      </c>
      <c r="D58" s="2">
        <v>968</v>
      </c>
      <c r="E58" s="2">
        <v>20020</v>
      </c>
      <c r="G58" s="2">
        <v>323</v>
      </c>
      <c r="H58" s="2" t="s">
        <v>192</v>
      </c>
      <c r="I58" s="2">
        <f>VLOOKUP(H58,[1]Customers!$A:$B,2,FALSE)</f>
        <v>2456</v>
      </c>
      <c r="J58" s="2">
        <v>45782</v>
      </c>
      <c r="K58" s="2" t="s">
        <v>195</v>
      </c>
      <c r="M58" s="2">
        <v>459.47</v>
      </c>
      <c r="N58" s="3" t="s">
        <v>19</v>
      </c>
    </row>
    <row r="59" spans="1:15" x14ac:dyDescent="0.35">
      <c r="A59" s="2" t="s">
        <v>196</v>
      </c>
      <c r="B59" s="2">
        <v>72</v>
      </c>
      <c r="C59" s="2" t="s">
        <v>16</v>
      </c>
      <c r="D59" s="2">
        <v>968</v>
      </c>
      <c r="E59" s="2">
        <v>20020</v>
      </c>
      <c r="G59" s="2">
        <v>292</v>
      </c>
      <c r="H59" s="2" t="s">
        <v>197</v>
      </c>
      <c r="I59" s="2">
        <f>VLOOKUP(H59,[1]Customers!$A:$B,2,FALSE)</f>
        <v>498</v>
      </c>
      <c r="J59" s="2">
        <v>45813</v>
      </c>
      <c r="K59" s="2" t="s">
        <v>198</v>
      </c>
      <c r="M59" s="2">
        <v>7811.06</v>
      </c>
      <c r="N59" s="3" t="s">
        <v>19</v>
      </c>
    </row>
    <row r="60" spans="1:15" x14ac:dyDescent="0.35">
      <c r="A60" s="2" t="s">
        <v>199</v>
      </c>
      <c r="B60" s="2">
        <v>73</v>
      </c>
      <c r="C60" s="2" t="s">
        <v>16</v>
      </c>
      <c r="D60" s="2">
        <v>968</v>
      </c>
      <c r="E60" s="2">
        <v>20020</v>
      </c>
      <c r="G60" s="2">
        <v>679</v>
      </c>
      <c r="H60" s="2" t="s">
        <v>200</v>
      </c>
      <c r="I60" s="2">
        <f>VLOOKUP(H60,[1]Customers!$A:$B,2,FALSE)</f>
        <v>502</v>
      </c>
      <c r="J60" s="2">
        <v>45426</v>
      </c>
      <c r="K60" s="2" t="s">
        <v>201</v>
      </c>
      <c r="M60" s="2">
        <v>6041.38</v>
      </c>
      <c r="N60" s="3" t="s">
        <v>19</v>
      </c>
      <c r="O60" s="2">
        <v>36417</v>
      </c>
    </row>
    <row r="61" spans="1:15" x14ac:dyDescent="0.35">
      <c r="A61" s="2" t="s">
        <v>202</v>
      </c>
      <c r="B61" s="2">
        <v>74</v>
      </c>
      <c r="C61" s="2" t="s">
        <v>16</v>
      </c>
      <c r="D61" s="2">
        <v>968</v>
      </c>
      <c r="E61" s="2">
        <v>20020</v>
      </c>
      <c r="G61" s="2">
        <v>729</v>
      </c>
      <c r="H61" s="2" t="s">
        <v>200</v>
      </c>
      <c r="I61" s="2">
        <f>VLOOKUP(H61,[1]Customers!$A:$B,2,FALSE)</f>
        <v>502</v>
      </c>
      <c r="J61" s="2">
        <v>45376</v>
      </c>
      <c r="K61" s="2" t="s">
        <v>203</v>
      </c>
      <c r="M61" s="2">
        <v>469.12</v>
      </c>
      <c r="N61" s="3" t="s">
        <v>19</v>
      </c>
      <c r="O61" s="2">
        <v>36432</v>
      </c>
    </row>
    <row r="62" spans="1:15" x14ac:dyDescent="0.35">
      <c r="A62" s="2" t="s">
        <v>204</v>
      </c>
      <c r="B62" s="2">
        <v>75</v>
      </c>
      <c r="C62" s="2" t="s">
        <v>16</v>
      </c>
      <c r="D62" s="2">
        <v>968</v>
      </c>
      <c r="E62" s="2">
        <v>20020</v>
      </c>
      <c r="G62" s="2">
        <v>761</v>
      </c>
      <c r="H62" s="2" t="s">
        <v>205</v>
      </c>
      <c r="I62" s="2">
        <f>VLOOKUP(H62,[1]Customers!$A:$B,2,FALSE)</f>
        <v>3328</v>
      </c>
      <c r="J62" s="2">
        <v>45344</v>
      </c>
      <c r="K62" s="2" t="s">
        <v>206</v>
      </c>
      <c r="M62" s="2">
        <v>48.64</v>
      </c>
      <c r="N62" s="3" t="s">
        <v>19</v>
      </c>
      <c r="O62" s="2">
        <v>36075</v>
      </c>
    </row>
    <row r="63" spans="1:15" ht="14.5" customHeight="1" x14ac:dyDescent="0.35">
      <c r="A63" s="2" t="s">
        <v>207</v>
      </c>
      <c r="B63" s="2">
        <v>76</v>
      </c>
      <c r="C63" s="2" t="s">
        <v>16</v>
      </c>
      <c r="D63" s="2">
        <v>968</v>
      </c>
      <c r="E63" s="2">
        <v>20020</v>
      </c>
      <c r="G63" s="2">
        <v>532</v>
      </c>
      <c r="H63" s="2" t="s">
        <v>208</v>
      </c>
      <c r="I63" s="2">
        <f>VLOOKUP(H63,[1]Customers!$A:$B,2,FALSE)</f>
        <v>506</v>
      </c>
      <c r="J63" s="2">
        <v>45573</v>
      </c>
      <c r="K63" s="2" t="s">
        <v>209</v>
      </c>
      <c r="M63" s="2">
        <v>2907.31</v>
      </c>
      <c r="N63" s="3" t="s">
        <v>19</v>
      </c>
    </row>
    <row r="64" spans="1:15" x14ac:dyDescent="0.35">
      <c r="A64" s="2" t="s">
        <v>210</v>
      </c>
      <c r="B64" s="2">
        <v>77</v>
      </c>
      <c r="C64" s="2" t="s">
        <v>16</v>
      </c>
      <c r="D64" s="2">
        <v>968</v>
      </c>
      <c r="E64" s="2">
        <v>20020</v>
      </c>
      <c r="G64" s="2">
        <v>390</v>
      </c>
      <c r="H64" s="2" t="s">
        <v>211</v>
      </c>
      <c r="I64" s="2">
        <f>VLOOKUP(H64,[1]Customers!$A:$B,2,FALSE)</f>
        <v>3568</v>
      </c>
      <c r="J64" s="2">
        <v>45715</v>
      </c>
      <c r="K64" s="2" t="s">
        <v>212</v>
      </c>
      <c r="M64" s="2">
        <v>2818.04</v>
      </c>
      <c r="N64" s="3" t="s">
        <v>19</v>
      </c>
      <c r="O64" s="2" t="s">
        <v>213</v>
      </c>
    </row>
    <row r="65" spans="1:15" x14ac:dyDescent="0.35">
      <c r="A65" s="2" t="s">
        <v>214</v>
      </c>
      <c r="B65" s="2">
        <v>78</v>
      </c>
      <c r="C65" s="2" t="s">
        <v>16</v>
      </c>
      <c r="D65" s="2">
        <v>968</v>
      </c>
      <c r="E65" s="2">
        <v>20020</v>
      </c>
      <c r="G65" s="2">
        <v>271</v>
      </c>
      <c r="H65" s="2" t="s">
        <v>215</v>
      </c>
      <c r="I65" s="2">
        <f>VLOOKUP(H65,[1]Customers!$A:$B,2,FALSE)</f>
        <v>2441</v>
      </c>
      <c r="J65" s="2">
        <v>45834</v>
      </c>
      <c r="K65" s="2" t="s">
        <v>216</v>
      </c>
      <c r="M65" s="2">
        <v>15346.06</v>
      </c>
      <c r="N65" s="3" t="s">
        <v>19</v>
      </c>
    </row>
    <row r="66" spans="1:15" x14ac:dyDescent="0.35">
      <c r="A66" s="2" t="s">
        <v>217</v>
      </c>
      <c r="B66" s="2">
        <v>79</v>
      </c>
      <c r="C66" s="2" t="s">
        <v>16</v>
      </c>
      <c r="D66" s="2">
        <v>968</v>
      </c>
      <c r="E66" s="2">
        <v>20020</v>
      </c>
      <c r="G66" s="2">
        <v>322</v>
      </c>
      <c r="H66" s="2" t="s">
        <v>215</v>
      </c>
      <c r="I66" s="2">
        <f>VLOOKUP(H66,[1]Customers!$A:$B,2,FALSE)</f>
        <v>2441</v>
      </c>
      <c r="J66" s="2">
        <v>45783</v>
      </c>
      <c r="K66" s="2" t="s">
        <v>216</v>
      </c>
      <c r="M66" s="2">
        <v>18287.919999999998</v>
      </c>
      <c r="N66" s="3" t="s">
        <v>19</v>
      </c>
    </row>
    <row r="67" spans="1:15" x14ac:dyDescent="0.35">
      <c r="A67" s="2" t="s">
        <v>218</v>
      </c>
      <c r="B67" s="2">
        <v>80</v>
      </c>
      <c r="C67" s="2" t="s">
        <v>16</v>
      </c>
      <c r="D67" s="2">
        <v>968</v>
      </c>
      <c r="E67" s="2">
        <v>20020</v>
      </c>
      <c r="G67" s="2">
        <v>442</v>
      </c>
      <c r="H67" s="4" t="s">
        <v>219</v>
      </c>
      <c r="I67" s="2">
        <f>VLOOKUP(H67,[1]Customers!$A:$B,2,FALSE)</f>
        <v>515</v>
      </c>
      <c r="J67" s="2">
        <v>45663</v>
      </c>
      <c r="K67" s="2" t="s">
        <v>220</v>
      </c>
      <c r="M67" s="2">
        <v>1143.47</v>
      </c>
      <c r="N67" s="3" t="s">
        <v>19</v>
      </c>
      <c r="O67" s="2">
        <v>1306</v>
      </c>
    </row>
    <row r="68" spans="1:15" x14ac:dyDescent="0.35">
      <c r="A68" s="2" t="s">
        <v>221</v>
      </c>
      <c r="B68" s="2">
        <v>81</v>
      </c>
      <c r="C68" s="2" t="s">
        <v>16</v>
      </c>
      <c r="D68" s="2">
        <v>968</v>
      </c>
      <c r="E68" s="2">
        <v>20020</v>
      </c>
      <c r="G68" s="2">
        <v>277</v>
      </c>
      <c r="H68" s="2" t="s">
        <v>222</v>
      </c>
      <c r="I68" s="2">
        <f>VLOOKUP(H68,[1]Customers!$A:$B,2,FALSE)</f>
        <v>1708</v>
      </c>
      <c r="J68" s="2">
        <v>45828</v>
      </c>
      <c r="K68" s="2" t="s">
        <v>223</v>
      </c>
      <c r="M68" s="2">
        <v>65354.81</v>
      </c>
      <c r="N68" s="3" t="s">
        <v>19</v>
      </c>
    </row>
    <row r="69" spans="1:15" x14ac:dyDescent="0.35">
      <c r="A69" s="2" t="s">
        <v>224</v>
      </c>
      <c r="B69" s="2">
        <v>82</v>
      </c>
      <c r="C69" s="2" t="s">
        <v>16</v>
      </c>
      <c r="D69" s="2">
        <v>968</v>
      </c>
      <c r="E69" s="2">
        <v>20020</v>
      </c>
      <c r="G69" s="2">
        <v>417</v>
      </c>
      <c r="H69" s="2" t="s">
        <v>225</v>
      </c>
      <c r="I69" s="2">
        <f>VLOOKUP(H69,[1]Customers!$A:$B,2,FALSE)</f>
        <v>3565</v>
      </c>
      <c r="J69" s="2">
        <v>45688</v>
      </c>
      <c r="K69" s="2" t="s">
        <v>226</v>
      </c>
      <c r="M69" s="2">
        <v>168.33</v>
      </c>
      <c r="N69" s="3" t="s">
        <v>19</v>
      </c>
    </row>
    <row r="70" spans="1:15" x14ac:dyDescent="0.35">
      <c r="A70" s="2" t="s">
        <v>227</v>
      </c>
      <c r="B70" s="2">
        <v>83</v>
      </c>
      <c r="C70" s="2" t="s">
        <v>16</v>
      </c>
      <c r="D70" s="2">
        <v>968</v>
      </c>
      <c r="E70" s="2">
        <v>20020</v>
      </c>
      <c r="G70" s="2">
        <v>350</v>
      </c>
      <c r="H70" s="2" t="s">
        <v>228</v>
      </c>
      <c r="I70" s="2">
        <f>VLOOKUP(H70,[1]Customers!$A:$B,2,FALSE)</f>
        <v>2329</v>
      </c>
      <c r="J70" s="2">
        <v>45755</v>
      </c>
      <c r="K70" s="2" t="s">
        <v>229</v>
      </c>
      <c r="M70" s="2">
        <v>10909.1</v>
      </c>
      <c r="N70" s="3" t="s">
        <v>19</v>
      </c>
    </row>
    <row r="71" spans="1:15" x14ac:dyDescent="0.35">
      <c r="A71" s="2" t="s">
        <v>230</v>
      </c>
      <c r="B71" s="2">
        <v>84</v>
      </c>
      <c r="C71" s="2" t="s">
        <v>16</v>
      </c>
      <c r="D71" s="2">
        <v>968</v>
      </c>
      <c r="E71" s="2">
        <v>20020</v>
      </c>
      <c r="G71" s="2">
        <v>344</v>
      </c>
      <c r="H71" s="2" t="s">
        <v>231</v>
      </c>
      <c r="I71" s="2">
        <f>VLOOKUP(H71,[1]Customers!$A:$B,2,FALSE)</f>
        <v>524</v>
      </c>
      <c r="J71" s="2">
        <v>45761</v>
      </c>
      <c r="K71" s="2" t="s">
        <v>232</v>
      </c>
      <c r="M71" s="2">
        <v>4113.75</v>
      </c>
      <c r="N71" s="3" t="s">
        <v>19</v>
      </c>
      <c r="O71" s="2">
        <v>940</v>
      </c>
    </row>
    <row r="72" spans="1:15" x14ac:dyDescent="0.35">
      <c r="A72" s="2" t="s">
        <v>233</v>
      </c>
      <c r="B72" s="2">
        <v>85</v>
      </c>
      <c r="C72" s="2" t="s">
        <v>16</v>
      </c>
      <c r="D72" s="2">
        <v>968</v>
      </c>
      <c r="E72" s="2">
        <v>20020</v>
      </c>
      <c r="G72" s="2">
        <v>545</v>
      </c>
      <c r="H72" s="2" t="s">
        <v>234</v>
      </c>
      <c r="I72" s="2">
        <f>VLOOKUP(H72,[1]Customers!$A:$B,2,FALSE)</f>
        <v>3330</v>
      </c>
      <c r="J72" s="2">
        <v>45560</v>
      </c>
      <c r="K72" s="2" t="s">
        <v>235</v>
      </c>
      <c r="M72" s="2">
        <v>5434.71</v>
      </c>
      <c r="N72" s="3" t="s">
        <v>19</v>
      </c>
    </row>
    <row r="73" spans="1:15" x14ac:dyDescent="0.35">
      <c r="A73" s="2" t="s">
        <v>236</v>
      </c>
      <c r="B73" s="2">
        <v>86</v>
      </c>
      <c r="C73" s="2" t="s">
        <v>16</v>
      </c>
      <c r="D73" s="2">
        <v>968</v>
      </c>
      <c r="E73" s="2">
        <v>20020</v>
      </c>
      <c r="G73" s="2">
        <v>545</v>
      </c>
      <c r="H73" s="2" t="s">
        <v>234</v>
      </c>
      <c r="I73" s="2">
        <f>VLOOKUP(H73,[1]Customers!$A:$B,2,FALSE)</f>
        <v>3330</v>
      </c>
      <c r="J73" s="2">
        <v>45560</v>
      </c>
      <c r="K73" s="2" t="s">
        <v>235</v>
      </c>
      <c r="M73" s="2">
        <v>35000</v>
      </c>
      <c r="N73" s="3" t="s">
        <v>19</v>
      </c>
      <c r="O73" s="2">
        <v>576</v>
      </c>
    </row>
    <row r="74" spans="1:15" ht="15" customHeight="1" x14ac:dyDescent="0.35">
      <c r="A74" s="2" t="s">
        <v>237</v>
      </c>
      <c r="B74" s="2">
        <v>87</v>
      </c>
      <c r="C74" s="2" t="s">
        <v>16</v>
      </c>
      <c r="D74" s="2">
        <v>968</v>
      </c>
      <c r="E74" s="2">
        <v>20020</v>
      </c>
      <c r="G74" s="2">
        <v>700</v>
      </c>
      <c r="H74" s="2" t="s">
        <v>234</v>
      </c>
      <c r="I74" s="2">
        <f>VLOOKUP(H74,[1]Customers!$A:$B,2,FALSE)</f>
        <v>3330</v>
      </c>
      <c r="J74" s="2">
        <v>45405</v>
      </c>
      <c r="K74" s="2" t="s">
        <v>235</v>
      </c>
      <c r="M74" s="2">
        <v>88226.4</v>
      </c>
      <c r="N74" s="3" t="s">
        <v>19</v>
      </c>
      <c r="O74" s="2">
        <v>36711</v>
      </c>
    </row>
    <row r="75" spans="1:15" x14ac:dyDescent="0.35">
      <c r="A75" s="2" t="s">
        <v>238</v>
      </c>
      <c r="B75" s="2">
        <v>88</v>
      </c>
      <c r="C75" s="2" t="s">
        <v>16</v>
      </c>
      <c r="D75" s="2">
        <v>968</v>
      </c>
      <c r="E75" s="2">
        <v>20020</v>
      </c>
      <c r="G75" s="2">
        <v>438</v>
      </c>
      <c r="H75" s="2" t="s">
        <v>239</v>
      </c>
      <c r="I75" s="2">
        <f>VLOOKUP(H75,[1]Customers!$A:$B,2,FALSE)</f>
        <v>3549</v>
      </c>
      <c r="J75" s="2">
        <v>45667</v>
      </c>
      <c r="K75" s="2" t="s">
        <v>240</v>
      </c>
      <c r="M75" s="2">
        <v>8009.75</v>
      </c>
      <c r="N75" s="3" t="s">
        <v>19</v>
      </c>
    </row>
    <row r="76" spans="1:15" x14ac:dyDescent="0.35">
      <c r="A76" s="2" t="s">
        <v>241</v>
      </c>
      <c r="B76" s="2">
        <v>89</v>
      </c>
      <c r="C76" s="2" t="s">
        <v>16</v>
      </c>
      <c r="D76" s="2">
        <v>968</v>
      </c>
      <c r="E76" s="2">
        <v>20020</v>
      </c>
      <c r="G76" s="2">
        <v>278</v>
      </c>
      <c r="H76" s="2" t="s">
        <v>242</v>
      </c>
      <c r="I76" s="2">
        <v>3672</v>
      </c>
      <c r="J76" s="2">
        <v>45827</v>
      </c>
      <c r="K76" s="2" t="s">
        <v>243</v>
      </c>
      <c r="M76" s="2">
        <v>3793.39</v>
      </c>
      <c r="N76" s="3" t="s">
        <v>19</v>
      </c>
    </row>
    <row r="77" spans="1:15" x14ac:dyDescent="0.35">
      <c r="A77" s="2" t="s">
        <v>244</v>
      </c>
      <c r="B77" s="2">
        <v>90</v>
      </c>
      <c r="C77" s="2" t="s">
        <v>16</v>
      </c>
      <c r="D77" s="2">
        <v>968</v>
      </c>
      <c r="E77" s="2">
        <v>20020</v>
      </c>
      <c r="G77" s="2">
        <v>461</v>
      </c>
      <c r="H77" s="2" t="s">
        <v>245</v>
      </c>
      <c r="I77" s="2">
        <f>VLOOKUP(H77,[1]Customers!$A:$B,2,FALSE)</f>
        <v>3333</v>
      </c>
      <c r="J77" s="2">
        <v>45644</v>
      </c>
      <c r="K77" s="2" t="s">
        <v>246</v>
      </c>
      <c r="M77" s="2">
        <v>195447.97</v>
      </c>
      <c r="N77" s="3" t="s">
        <v>19</v>
      </c>
    </row>
    <row r="78" spans="1:15" x14ac:dyDescent="0.35">
      <c r="A78" s="2" t="s">
        <v>247</v>
      </c>
      <c r="B78" s="2">
        <v>91</v>
      </c>
      <c r="C78" s="2" t="s">
        <v>16</v>
      </c>
      <c r="D78" s="2">
        <v>968</v>
      </c>
      <c r="E78" s="2">
        <v>20020</v>
      </c>
      <c r="G78" s="2">
        <v>718</v>
      </c>
      <c r="H78" s="2" t="s">
        <v>248</v>
      </c>
      <c r="I78" s="2">
        <f>VLOOKUP(H78,[1]Customers!$A:$B,2,FALSE)</f>
        <v>3335</v>
      </c>
      <c r="J78" s="2">
        <v>45387</v>
      </c>
      <c r="M78" s="2">
        <v>402351.33</v>
      </c>
      <c r="N78" s="3" t="s">
        <v>19</v>
      </c>
      <c r="O78" s="2">
        <v>35793</v>
      </c>
    </row>
    <row r="79" spans="1:15" x14ac:dyDescent="0.35">
      <c r="A79" s="2" t="s">
        <v>249</v>
      </c>
      <c r="B79" s="2">
        <v>92</v>
      </c>
      <c r="C79" s="2" t="s">
        <v>16</v>
      </c>
      <c r="D79" s="2">
        <v>968</v>
      </c>
      <c r="E79" s="2">
        <v>20020</v>
      </c>
      <c r="G79" s="2">
        <v>778</v>
      </c>
      <c r="H79" s="2" t="s">
        <v>248</v>
      </c>
      <c r="I79" s="2">
        <f>VLOOKUP(H79,[1]Customers!$A:$B,2,FALSE)</f>
        <v>3335</v>
      </c>
      <c r="J79" s="2">
        <v>45327</v>
      </c>
      <c r="K79" s="2" t="s">
        <v>250</v>
      </c>
      <c r="M79" s="2">
        <v>938381.33</v>
      </c>
      <c r="N79" s="3" t="s">
        <v>19</v>
      </c>
      <c r="O79" s="2">
        <v>35793</v>
      </c>
    </row>
    <row r="80" spans="1:15" x14ac:dyDescent="0.35">
      <c r="A80" s="2" t="s">
        <v>251</v>
      </c>
      <c r="B80" s="2">
        <v>93</v>
      </c>
      <c r="C80" s="2" t="s">
        <v>16</v>
      </c>
      <c r="D80" s="2">
        <v>968</v>
      </c>
      <c r="E80" s="2">
        <v>20020</v>
      </c>
      <c r="G80" s="2">
        <v>306</v>
      </c>
      <c r="H80" s="2" t="s">
        <v>248</v>
      </c>
      <c r="I80" s="2">
        <f>VLOOKUP(H80,[1]Customers!$A:$B,2,FALSE)</f>
        <v>3335</v>
      </c>
      <c r="J80" s="2">
        <v>45799</v>
      </c>
      <c r="K80" s="2" t="s">
        <v>252</v>
      </c>
      <c r="M80" s="2">
        <v>41979</v>
      </c>
      <c r="N80" s="3" t="s">
        <v>19</v>
      </c>
    </row>
    <row r="81" spans="1:15" x14ac:dyDescent="0.35">
      <c r="A81" s="2" t="s">
        <v>253</v>
      </c>
      <c r="B81" s="2">
        <v>94</v>
      </c>
      <c r="C81" s="2" t="s">
        <v>16</v>
      </c>
      <c r="D81" s="2">
        <v>968</v>
      </c>
      <c r="E81" s="2">
        <v>20020</v>
      </c>
      <c r="G81" s="2">
        <v>305</v>
      </c>
      <c r="H81" s="2" t="s">
        <v>248</v>
      </c>
      <c r="I81" s="2">
        <f>VLOOKUP(H81,[1]Customers!$A:$B,2,FALSE)</f>
        <v>3335</v>
      </c>
      <c r="J81" s="2">
        <v>45800</v>
      </c>
      <c r="K81" s="2" t="s">
        <v>250</v>
      </c>
      <c r="M81" s="2">
        <v>125000</v>
      </c>
      <c r="N81" s="3" t="s">
        <v>19</v>
      </c>
    </row>
    <row r="82" spans="1:15" x14ac:dyDescent="0.35">
      <c r="A82" s="2" t="s">
        <v>254</v>
      </c>
      <c r="B82" s="2">
        <v>95</v>
      </c>
      <c r="C82" s="2" t="s">
        <v>16</v>
      </c>
      <c r="D82" s="2">
        <v>968</v>
      </c>
      <c r="E82" s="2">
        <v>20020</v>
      </c>
      <c r="G82" s="2">
        <v>495</v>
      </c>
      <c r="H82" s="2" t="s">
        <v>255</v>
      </c>
      <c r="I82" s="2">
        <f>VLOOKUP(H82,[1]Customers!$A:$B,2,FALSE)</f>
        <v>535</v>
      </c>
      <c r="J82" s="2">
        <v>45610</v>
      </c>
      <c r="K82" s="2" t="s">
        <v>256</v>
      </c>
      <c r="M82" s="2">
        <v>0.02</v>
      </c>
      <c r="N82" s="3" t="s">
        <v>19</v>
      </c>
      <c r="O82" s="2">
        <v>271</v>
      </c>
    </row>
    <row r="83" spans="1:15" x14ac:dyDescent="0.35">
      <c r="A83" s="2" t="s">
        <v>257</v>
      </c>
      <c r="B83" s="2">
        <v>96</v>
      </c>
      <c r="C83" s="2" t="s">
        <v>16</v>
      </c>
      <c r="D83" s="2">
        <v>968</v>
      </c>
      <c r="E83" s="2">
        <v>20020</v>
      </c>
      <c r="G83" s="2">
        <v>309</v>
      </c>
      <c r="H83" s="2" t="s">
        <v>258</v>
      </c>
      <c r="I83" s="2">
        <f>VLOOKUP(H83,[1]Customers!$A:$B,2,FALSE)</f>
        <v>2485</v>
      </c>
      <c r="J83" s="2">
        <v>45796</v>
      </c>
      <c r="K83" s="2" t="s">
        <v>259</v>
      </c>
      <c r="M83" s="2">
        <v>634.16999999999996</v>
      </c>
      <c r="N83" s="3" t="s">
        <v>19</v>
      </c>
    </row>
    <row r="84" spans="1:15" x14ac:dyDescent="0.35">
      <c r="A84" s="2" t="s">
        <v>260</v>
      </c>
      <c r="B84" s="2">
        <v>97</v>
      </c>
      <c r="C84" s="2" t="s">
        <v>16</v>
      </c>
      <c r="D84" s="2">
        <v>968</v>
      </c>
      <c r="E84" s="2">
        <v>20020</v>
      </c>
      <c r="G84" s="2">
        <v>300</v>
      </c>
      <c r="H84" s="2" t="s">
        <v>258</v>
      </c>
      <c r="I84" s="2">
        <f>VLOOKUP(H84,[1]Customers!$A:$B,2,FALSE)</f>
        <v>2485</v>
      </c>
      <c r="J84" s="2">
        <v>45805</v>
      </c>
      <c r="K84" s="2" t="s">
        <v>261</v>
      </c>
      <c r="M84" s="2">
        <v>1660.02</v>
      </c>
      <c r="N84" s="3" t="s">
        <v>19</v>
      </c>
    </row>
    <row r="85" spans="1:15" x14ac:dyDescent="0.35">
      <c r="A85" s="2" t="s">
        <v>262</v>
      </c>
      <c r="B85" s="2">
        <v>98</v>
      </c>
      <c r="C85" s="2" t="s">
        <v>16</v>
      </c>
      <c r="D85" s="2">
        <v>968</v>
      </c>
      <c r="E85" s="2">
        <v>20020</v>
      </c>
      <c r="G85" s="2">
        <v>313</v>
      </c>
      <c r="H85" s="2" t="s">
        <v>263</v>
      </c>
      <c r="I85" s="2">
        <f>VLOOKUP(H85,[1]Customers!$A:$B,2,FALSE)</f>
        <v>2534</v>
      </c>
      <c r="J85" s="2">
        <v>45792</v>
      </c>
      <c r="K85" s="2" t="s">
        <v>264</v>
      </c>
      <c r="M85" s="2">
        <v>59741.26</v>
      </c>
      <c r="N85" s="3" t="s">
        <v>19</v>
      </c>
    </row>
    <row r="86" spans="1:15" x14ac:dyDescent="0.35">
      <c r="A86" s="2" t="s">
        <v>265</v>
      </c>
      <c r="B86" s="2">
        <v>99</v>
      </c>
      <c r="C86" s="2" t="s">
        <v>16</v>
      </c>
      <c r="D86" s="2">
        <v>968</v>
      </c>
      <c r="E86" s="2">
        <v>20020</v>
      </c>
      <c r="G86" s="2">
        <v>305</v>
      </c>
      <c r="H86" s="2" t="s">
        <v>266</v>
      </c>
      <c r="I86" s="2">
        <f>VLOOKUP(H86,[1]Customers!$A:$B,2,FALSE)</f>
        <v>2458</v>
      </c>
      <c r="J86" s="2">
        <v>45800</v>
      </c>
      <c r="K86" s="2" t="s">
        <v>267</v>
      </c>
      <c r="M86" s="2">
        <v>613.85</v>
      </c>
      <c r="N86" s="3" t="s">
        <v>19</v>
      </c>
    </row>
    <row r="87" spans="1:15" x14ac:dyDescent="0.35">
      <c r="A87" s="2" t="s">
        <v>268</v>
      </c>
      <c r="B87" s="2">
        <v>100</v>
      </c>
      <c r="C87" s="2" t="s">
        <v>16</v>
      </c>
      <c r="D87" s="2">
        <v>968</v>
      </c>
      <c r="E87" s="2">
        <v>20020</v>
      </c>
      <c r="G87" s="2">
        <v>349</v>
      </c>
      <c r="H87" s="2" t="s">
        <v>269</v>
      </c>
      <c r="I87" s="2">
        <f>VLOOKUP(H87,[1]Customers!$A:$B,2,FALSE)</f>
        <v>2307</v>
      </c>
      <c r="J87" s="2">
        <v>45756</v>
      </c>
      <c r="K87" s="2" t="s">
        <v>270</v>
      </c>
      <c r="M87" s="2">
        <v>4207.1099999999997</v>
      </c>
      <c r="N87" s="3" t="s">
        <v>19</v>
      </c>
    </row>
    <row r="88" spans="1:15" x14ac:dyDescent="0.35">
      <c r="A88" s="2" t="s">
        <v>271</v>
      </c>
      <c r="B88" s="2">
        <v>101</v>
      </c>
      <c r="C88" s="2" t="s">
        <v>16</v>
      </c>
      <c r="D88" s="2">
        <v>968</v>
      </c>
      <c r="E88" s="2">
        <v>20020</v>
      </c>
      <c r="G88" s="2">
        <v>358</v>
      </c>
      <c r="H88" s="2" t="s">
        <v>269</v>
      </c>
      <c r="I88" s="2">
        <f>VLOOKUP(H88,[1]Customers!$A:$B,2,FALSE)</f>
        <v>2307</v>
      </c>
      <c r="J88" s="2">
        <v>45747</v>
      </c>
      <c r="K88" s="2" t="s">
        <v>272</v>
      </c>
      <c r="M88" s="2">
        <v>3040.26</v>
      </c>
      <c r="N88" s="3" t="s">
        <v>19</v>
      </c>
    </row>
    <row r="89" spans="1:15" x14ac:dyDescent="0.35">
      <c r="A89" s="2" t="s">
        <v>273</v>
      </c>
      <c r="B89" s="2">
        <v>102</v>
      </c>
      <c r="C89" s="2" t="s">
        <v>16</v>
      </c>
      <c r="D89" s="2">
        <v>968</v>
      </c>
      <c r="E89" s="2">
        <v>20020</v>
      </c>
      <c r="G89" s="2">
        <v>314</v>
      </c>
      <c r="H89" s="2" t="s">
        <v>269</v>
      </c>
      <c r="I89" s="2">
        <f>VLOOKUP(H89,[1]Customers!$A:$B,2,FALSE)</f>
        <v>2307</v>
      </c>
      <c r="J89" s="2">
        <v>45791</v>
      </c>
      <c r="K89" s="2" t="s">
        <v>274</v>
      </c>
      <c r="M89" s="2">
        <v>1228.7</v>
      </c>
      <c r="N89" s="3" t="s">
        <v>19</v>
      </c>
    </row>
    <row r="90" spans="1:15" x14ac:dyDescent="0.35">
      <c r="A90" s="2" t="s">
        <v>275</v>
      </c>
      <c r="B90" s="2">
        <v>103</v>
      </c>
      <c r="C90" s="2" t="s">
        <v>16</v>
      </c>
      <c r="D90" s="2">
        <v>968</v>
      </c>
      <c r="E90" s="2">
        <v>20020</v>
      </c>
      <c r="G90" s="2">
        <v>375</v>
      </c>
      <c r="H90" s="2" t="s">
        <v>276</v>
      </c>
      <c r="I90" s="2">
        <f>VLOOKUP(H90,[1]Customers!$A:$B,2,FALSE)</f>
        <v>2172</v>
      </c>
      <c r="J90" s="2">
        <v>45730</v>
      </c>
      <c r="K90" s="2" t="s">
        <v>277</v>
      </c>
      <c r="M90" s="2">
        <v>12532.78</v>
      </c>
      <c r="N90" s="3" t="s">
        <v>19</v>
      </c>
    </row>
    <row r="91" spans="1:15" ht="15" customHeight="1" x14ac:dyDescent="0.35">
      <c r="A91" s="2" t="s">
        <v>278</v>
      </c>
      <c r="B91" s="2">
        <v>104</v>
      </c>
      <c r="C91" s="2" t="s">
        <v>16</v>
      </c>
      <c r="D91" s="2">
        <v>968</v>
      </c>
      <c r="E91" s="2">
        <v>20020</v>
      </c>
      <c r="G91" s="2">
        <v>466</v>
      </c>
      <c r="H91" s="4" t="s">
        <v>279</v>
      </c>
      <c r="I91" s="2">
        <f>VLOOKUP(H91,[1]Customers!$A:$B,2,FALSE)</f>
        <v>540</v>
      </c>
      <c r="J91" s="2">
        <v>45639</v>
      </c>
      <c r="K91" s="2" t="s">
        <v>280</v>
      </c>
      <c r="M91" s="2">
        <v>2540</v>
      </c>
      <c r="N91" s="3" t="s">
        <v>19</v>
      </c>
    </row>
    <row r="92" spans="1:15" x14ac:dyDescent="0.35">
      <c r="A92" s="2" t="s">
        <v>281</v>
      </c>
      <c r="B92" s="2">
        <v>105</v>
      </c>
      <c r="C92" s="2" t="s">
        <v>16</v>
      </c>
      <c r="D92" s="2">
        <v>968</v>
      </c>
      <c r="E92" s="2">
        <v>20020</v>
      </c>
      <c r="G92" s="2">
        <v>531</v>
      </c>
      <c r="H92" s="2" t="s">
        <v>282</v>
      </c>
      <c r="I92" s="2">
        <f>VLOOKUP(H92,[1]Customers!$A:$B,2,FALSE)</f>
        <v>541</v>
      </c>
      <c r="J92" s="2">
        <v>45574</v>
      </c>
      <c r="K92" s="2" t="s">
        <v>283</v>
      </c>
      <c r="M92" s="2">
        <v>0.02</v>
      </c>
      <c r="N92" s="3" t="s">
        <v>19</v>
      </c>
      <c r="O92" s="2">
        <v>728</v>
      </c>
    </row>
    <row r="93" spans="1:15" x14ac:dyDescent="0.35">
      <c r="A93" s="2" t="s">
        <v>284</v>
      </c>
      <c r="B93" s="2">
        <v>106</v>
      </c>
      <c r="C93" s="2" t="s">
        <v>16</v>
      </c>
      <c r="D93" s="2">
        <v>968</v>
      </c>
      <c r="E93" s="2">
        <v>20020</v>
      </c>
      <c r="G93" s="2">
        <v>608</v>
      </c>
      <c r="H93" s="2" t="s">
        <v>285</v>
      </c>
      <c r="I93" s="2">
        <f>VLOOKUP(H93,[1]Customers!$A:$B,2,FALSE)</f>
        <v>544</v>
      </c>
      <c r="J93" s="2">
        <v>45497</v>
      </c>
      <c r="K93" s="2" t="s">
        <v>286</v>
      </c>
      <c r="M93" s="2">
        <v>11353.32</v>
      </c>
      <c r="N93" s="3" t="s">
        <v>19</v>
      </c>
    </row>
    <row r="94" spans="1:15" x14ac:dyDescent="0.35">
      <c r="A94" s="2" t="s">
        <v>287</v>
      </c>
      <c r="B94" s="2">
        <v>107</v>
      </c>
      <c r="C94" s="2" t="s">
        <v>16</v>
      </c>
      <c r="D94" s="2">
        <v>968</v>
      </c>
      <c r="E94" s="2">
        <v>20020</v>
      </c>
      <c r="G94" s="2">
        <v>557</v>
      </c>
      <c r="H94" s="2" t="s">
        <v>288</v>
      </c>
      <c r="I94" s="2">
        <f>VLOOKUP(H94,[1]Customers!$A:$B,2,FALSE)</f>
        <v>546</v>
      </c>
      <c r="J94" s="2">
        <v>45548</v>
      </c>
      <c r="M94" s="2">
        <v>1882.74</v>
      </c>
      <c r="N94" s="3" t="s">
        <v>19</v>
      </c>
    </row>
    <row r="95" spans="1:15" x14ac:dyDescent="0.35">
      <c r="A95" s="2" t="s">
        <v>289</v>
      </c>
      <c r="B95" s="2">
        <v>108</v>
      </c>
      <c r="C95" s="2" t="s">
        <v>16</v>
      </c>
      <c r="D95" s="2">
        <v>968</v>
      </c>
      <c r="E95" s="2">
        <v>20020</v>
      </c>
      <c r="G95" s="2">
        <v>593</v>
      </c>
      <c r="H95" s="2" t="s">
        <v>288</v>
      </c>
      <c r="I95" s="2">
        <f>VLOOKUP(H95,[1]Customers!$A:$B,2,FALSE)</f>
        <v>546</v>
      </c>
      <c r="J95" s="2">
        <v>45512</v>
      </c>
      <c r="K95" s="2" t="s">
        <v>290</v>
      </c>
      <c r="M95" s="2">
        <v>860</v>
      </c>
      <c r="N95" s="3" t="s">
        <v>19</v>
      </c>
    </row>
    <row r="96" spans="1:15" x14ac:dyDescent="0.35">
      <c r="A96" s="2" t="s">
        <v>291</v>
      </c>
      <c r="B96" s="2">
        <v>109</v>
      </c>
      <c r="C96" s="2" t="s">
        <v>16</v>
      </c>
      <c r="D96" s="2">
        <v>968</v>
      </c>
      <c r="E96" s="2">
        <v>20020</v>
      </c>
      <c r="G96" s="2">
        <v>301</v>
      </c>
      <c r="H96" s="2" t="s">
        <v>288</v>
      </c>
      <c r="I96" s="2">
        <f>VLOOKUP(H96,[1]Customers!$A:$B,2,FALSE)</f>
        <v>546</v>
      </c>
      <c r="J96" s="2">
        <v>45804</v>
      </c>
      <c r="K96" s="2" t="s">
        <v>292</v>
      </c>
      <c r="M96" s="2">
        <v>866.05</v>
      </c>
      <c r="N96" s="3" t="s">
        <v>19</v>
      </c>
    </row>
    <row r="97" spans="1:15" x14ac:dyDescent="0.35">
      <c r="A97" s="2" t="s">
        <v>293</v>
      </c>
      <c r="B97" s="2">
        <v>110</v>
      </c>
      <c r="C97" s="2" t="s">
        <v>16</v>
      </c>
      <c r="D97" s="2">
        <v>968</v>
      </c>
      <c r="E97" s="2">
        <v>20020</v>
      </c>
      <c r="G97" s="2">
        <v>431</v>
      </c>
      <c r="H97" s="2" t="s">
        <v>288</v>
      </c>
      <c r="I97" s="2">
        <f>VLOOKUP(H97,[1]Customers!$A:$B,2,FALSE)</f>
        <v>546</v>
      </c>
      <c r="J97" s="2">
        <v>45674</v>
      </c>
      <c r="K97" s="2" t="s">
        <v>294</v>
      </c>
      <c r="M97" s="2">
        <v>27069.17</v>
      </c>
      <c r="N97" s="3" t="s">
        <v>19</v>
      </c>
    </row>
    <row r="98" spans="1:15" x14ac:dyDescent="0.35">
      <c r="A98" s="2" t="s">
        <v>295</v>
      </c>
      <c r="B98" s="2">
        <v>111</v>
      </c>
      <c r="C98" s="2" t="s">
        <v>16</v>
      </c>
      <c r="D98" s="2">
        <v>968</v>
      </c>
      <c r="E98" s="2">
        <v>20020</v>
      </c>
      <c r="G98" s="2">
        <v>586</v>
      </c>
      <c r="H98" s="2" t="s">
        <v>288</v>
      </c>
      <c r="I98" s="2">
        <f>VLOOKUP(H98,[1]Customers!$A:$B,2,FALSE)</f>
        <v>546</v>
      </c>
      <c r="J98" s="2">
        <v>45519</v>
      </c>
      <c r="M98" s="2">
        <v>149785.67000000001</v>
      </c>
      <c r="N98" s="3" t="s">
        <v>19</v>
      </c>
    </row>
    <row r="99" spans="1:15" x14ac:dyDescent="0.35">
      <c r="A99" s="2" t="s">
        <v>296</v>
      </c>
      <c r="B99" s="2">
        <v>112</v>
      </c>
      <c r="C99" s="2" t="s">
        <v>16</v>
      </c>
      <c r="D99" s="2">
        <v>968</v>
      </c>
      <c r="E99" s="2">
        <v>20020</v>
      </c>
      <c r="G99" s="2">
        <v>293</v>
      </c>
      <c r="H99" s="2" t="s">
        <v>288</v>
      </c>
      <c r="I99" s="2">
        <f>VLOOKUP(H99,[1]Customers!$A:$B,2,FALSE)</f>
        <v>546</v>
      </c>
      <c r="J99" s="2">
        <v>45812</v>
      </c>
      <c r="K99" s="2" t="s">
        <v>297</v>
      </c>
      <c r="M99" s="2">
        <v>152.46</v>
      </c>
      <c r="N99" s="3" t="s">
        <v>19</v>
      </c>
      <c r="O99" s="2">
        <v>318</v>
      </c>
    </row>
    <row r="100" spans="1:15" x14ac:dyDescent="0.35">
      <c r="A100" s="2" t="s">
        <v>298</v>
      </c>
      <c r="B100" s="2">
        <v>113</v>
      </c>
      <c r="C100" s="2" t="s">
        <v>16</v>
      </c>
      <c r="D100" s="2">
        <v>968</v>
      </c>
      <c r="E100" s="2">
        <v>20020</v>
      </c>
      <c r="G100" s="2">
        <v>554</v>
      </c>
      <c r="H100" s="2" t="s">
        <v>288</v>
      </c>
      <c r="I100" s="2">
        <f>VLOOKUP(H100,[1]Customers!$A:$B,2,FALSE)</f>
        <v>546</v>
      </c>
      <c r="J100" s="2">
        <v>45551</v>
      </c>
      <c r="K100" s="2" t="s">
        <v>299</v>
      </c>
      <c r="M100" s="2">
        <v>37321.21</v>
      </c>
      <c r="N100" s="3" t="s">
        <v>19</v>
      </c>
    </row>
    <row r="101" spans="1:15" x14ac:dyDescent="0.35">
      <c r="A101" s="2" t="s">
        <v>300</v>
      </c>
      <c r="B101" s="2">
        <v>114</v>
      </c>
      <c r="C101" s="2" t="s">
        <v>16</v>
      </c>
      <c r="D101" s="2">
        <v>968</v>
      </c>
      <c r="E101" s="2">
        <v>20020</v>
      </c>
      <c r="G101" s="2">
        <v>355</v>
      </c>
      <c r="H101" s="2" t="s">
        <v>301</v>
      </c>
      <c r="I101" s="2">
        <f>VLOOKUP(H101,[1]Customers!$A:$B,2,FALSE)</f>
        <v>1553</v>
      </c>
      <c r="J101" s="2">
        <v>45750</v>
      </c>
      <c r="K101" s="2" t="s">
        <v>302</v>
      </c>
      <c r="M101" s="2">
        <v>6016.5</v>
      </c>
      <c r="N101" s="3" t="s">
        <v>19</v>
      </c>
    </row>
    <row r="102" spans="1:15" x14ac:dyDescent="0.35">
      <c r="A102" s="2" t="s">
        <v>303</v>
      </c>
      <c r="B102" s="2">
        <v>115</v>
      </c>
      <c r="C102" s="2" t="s">
        <v>16</v>
      </c>
      <c r="D102" s="2">
        <v>968</v>
      </c>
      <c r="E102" s="2">
        <v>20020</v>
      </c>
      <c r="G102" s="2">
        <v>267</v>
      </c>
      <c r="H102" s="2" t="s">
        <v>301</v>
      </c>
      <c r="I102" s="2">
        <f>VLOOKUP(H102,[1]Customers!$A:$B,2,FALSE)</f>
        <v>1553</v>
      </c>
      <c r="J102" s="2">
        <v>45838</v>
      </c>
      <c r="K102" s="2" t="s">
        <v>304</v>
      </c>
      <c r="M102" s="2">
        <v>45745.59</v>
      </c>
      <c r="N102" s="3" t="s">
        <v>19</v>
      </c>
    </row>
    <row r="103" spans="1:15" x14ac:dyDescent="0.35">
      <c r="A103" s="2" t="s">
        <v>305</v>
      </c>
      <c r="B103" s="2">
        <v>116</v>
      </c>
      <c r="C103" s="2" t="s">
        <v>16</v>
      </c>
      <c r="D103" s="2">
        <v>968</v>
      </c>
      <c r="E103" s="2">
        <v>20020</v>
      </c>
      <c r="G103" s="2">
        <v>369</v>
      </c>
      <c r="H103" s="2" t="s">
        <v>306</v>
      </c>
      <c r="I103" s="2">
        <f>VLOOKUP(H103,[1]Customers!$A:$B,2,FALSE)</f>
        <v>2193</v>
      </c>
      <c r="J103" s="2">
        <v>45736</v>
      </c>
      <c r="K103" s="2" t="s">
        <v>307</v>
      </c>
      <c r="M103" s="2">
        <v>661.94</v>
      </c>
      <c r="N103" s="3" t="s">
        <v>19</v>
      </c>
    </row>
    <row r="104" spans="1:15" x14ac:dyDescent="0.35">
      <c r="A104" s="2" t="s">
        <v>308</v>
      </c>
      <c r="B104" s="2">
        <v>117</v>
      </c>
      <c r="C104" s="2" t="s">
        <v>16</v>
      </c>
      <c r="D104" s="2">
        <v>968</v>
      </c>
      <c r="E104" s="2">
        <v>20020</v>
      </c>
      <c r="G104" s="2">
        <v>316</v>
      </c>
      <c r="H104" s="2" t="s">
        <v>309</v>
      </c>
      <c r="I104" s="2">
        <f>VLOOKUP(H104,[1]Customers!$A:$B,2,FALSE)</f>
        <v>2417</v>
      </c>
      <c r="J104" s="2">
        <v>45789</v>
      </c>
      <c r="K104" s="2" t="s">
        <v>310</v>
      </c>
      <c r="M104" s="2">
        <v>0.01</v>
      </c>
      <c r="N104" s="3" t="s">
        <v>19</v>
      </c>
      <c r="O104" s="2">
        <v>782</v>
      </c>
    </row>
    <row r="105" spans="1:15" x14ac:dyDescent="0.35">
      <c r="A105" s="2" t="s">
        <v>311</v>
      </c>
      <c r="B105" s="2">
        <v>118</v>
      </c>
      <c r="C105" s="2" t="s">
        <v>16</v>
      </c>
      <c r="D105" s="2">
        <v>968</v>
      </c>
      <c r="E105" s="2">
        <v>20020</v>
      </c>
      <c r="G105" s="2">
        <v>1366</v>
      </c>
      <c r="H105" s="2" t="s">
        <v>312</v>
      </c>
      <c r="I105" s="2">
        <f>VLOOKUP(H105,[1]Customers!$A:$B,2,FALSE)</f>
        <v>3569</v>
      </c>
      <c r="J105" s="2">
        <v>44739</v>
      </c>
      <c r="K105" s="2" t="s">
        <v>313</v>
      </c>
      <c r="M105" s="2">
        <v>4326.62</v>
      </c>
      <c r="N105" s="3" t="s">
        <v>19</v>
      </c>
    </row>
    <row r="106" spans="1:15" x14ac:dyDescent="0.35">
      <c r="A106" s="2" t="s">
        <v>314</v>
      </c>
      <c r="B106" s="2">
        <v>119</v>
      </c>
      <c r="C106" s="2" t="s">
        <v>16</v>
      </c>
      <c r="D106" s="2">
        <v>968</v>
      </c>
      <c r="E106" s="2">
        <v>20020</v>
      </c>
      <c r="G106" s="2">
        <v>364</v>
      </c>
      <c r="H106" s="2" t="s">
        <v>315</v>
      </c>
      <c r="I106" s="2">
        <f>VLOOKUP(H106,[1]Customers!$A:$B,2,FALSE)</f>
        <v>2761</v>
      </c>
      <c r="J106" s="2">
        <v>45741</v>
      </c>
      <c r="K106" s="2" t="s">
        <v>316</v>
      </c>
      <c r="M106" s="2">
        <v>101344</v>
      </c>
      <c r="N106" s="3" t="s">
        <v>19</v>
      </c>
    </row>
    <row r="107" spans="1:15" x14ac:dyDescent="0.35">
      <c r="A107" s="2" t="s">
        <v>317</v>
      </c>
      <c r="B107" s="2">
        <v>120</v>
      </c>
      <c r="C107" s="2" t="s">
        <v>16</v>
      </c>
      <c r="D107" s="2">
        <v>968</v>
      </c>
      <c r="E107" s="2">
        <v>20020</v>
      </c>
      <c r="G107" s="2">
        <v>918</v>
      </c>
      <c r="H107" s="2" t="s">
        <v>315</v>
      </c>
      <c r="I107" s="2">
        <f>VLOOKUP(H107,[1]Customers!$A:$B,2,FALSE)</f>
        <v>2761</v>
      </c>
      <c r="J107" s="2">
        <v>45187</v>
      </c>
      <c r="K107" s="2" t="s">
        <v>316</v>
      </c>
      <c r="M107" s="2">
        <v>200000</v>
      </c>
      <c r="N107" s="3" t="s">
        <v>19</v>
      </c>
    </row>
    <row r="108" spans="1:15" ht="15" customHeight="1" x14ac:dyDescent="0.35">
      <c r="A108" s="2" t="s">
        <v>318</v>
      </c>
      <c r="B108" s="2">
        <v>121</v>
      </c>
      <c r="C108" s="2" t="s">
        <v>16</v>
      </c>
      <c r="D108" s="2">
        <v>968</v>
      </c>
      <c r="E108" s="2">
        <v>20020</v>
      </c>
      <c r="G108" s="2">
        <v>340</v>
      </c>
      <c r="H108" s="2" t="s">
        <v>315</v>
      </c>
      <c r="I108" s="2">
        <f>VLOOKUP(H108,[1]Customers!$A:$B,2,FALSE)</f>
        <v>2761</v>
      </c>
      <c r="J108" s="2">
        <v>45765</v>
      </c>
      <c r="K108" s="2" t="s">
        <v>316</v>
      </c>
      <c r="M108" s="2">
        <v>129031</v>
      </c>
      <c r="N108" s="3" t="s">
        <v>19</v>
      </c>
    </row>
    <row r="109" spans="1:15" x14ac:dyDescent="0.35">
      <c r="A109" s="2" t="s">
        <v>319</v>
      </c>
      <c r="B109" s="2">
        <v>122</v>
      </c>
      <c r="C109" s="2" t="s">
        <v>16</v>
      </c>
      <c r="D109" s="2">
        <v>968</v>
      </c>
      <c r="E109" s="2">
        <v>20020</v>
      </c>
      <c r="G109" s="2">
        <v>349</v>
      </c>
      <c r="H109" s="2" t="s">
        <v>320</v>
      </c>
      <c r="I109" s="2">
        <f>VLOOKUP(H109,[1]Customers!$A:$B,2,FALSE)</f>
        <v>2048</v>
      </c>
      <c r="J109" s="2">
        <v>45756</v>
      </c>
      <c r="K109" s="2" t="s">
        <v>321</v>
      </c>
      <c r="M109" s="2">
        <v>4310.3500000000004</v>
      </c>
      <c r="N109" s="3" t="s">
        <v>19</v>
      </c>
    </row>
    <row r="110" spans="1:15" x14ac:dyDescent="0.35">
      <c r="A110" s="2" t="s">
        <v>322</v>
      </c>
      <c r="B110" s="2">
        <v>123</v>
      </c>
      <c r="C110" s="2" t="s">
        <v>16</v>
      </c>
      <c r="D110" s="2">
        <v>968</v>
      </c>
      <c r="E110" s="2">
        <v>20020</v>
      </c>
      <c r="G110" s="2">
        <v>393</v>
      </c>
      <c r="H110" s="2" t="s">
        <v>323</v>
      </c>
      <c r="I110" s="2">
        <f>VLOOKUP(H110,[1]Customers!$A:$B,2,FALSE)</f>
        <v>1933</v>
      </c>
      <c r="J110" s="2">
        <v>45712</v>
      </c>
      <c r="K110" s="2" t="s">
        <v>324</v>
      </c>
      <c r="M110" s="2">
        <v>3483.22</v>
      </c>
      <c r="N110" s="3" t="s">
        <v>19</v>
      </c>
      <c r="O110" s="2" t="s">
        <v>325</v>
      </c>
    </row>
    <row r="111" spans="1:15" x14ac:dyDescent="0.35">
      <c r="A111" s="2" t="s">
        <v>326</v>
      </c>
      <c r="B111" s="2">
        <v>124</v>
      </c>
      <c r="C111" s="2" t="s">
        <v>16</v>
      </c>
      <c r="D111" s="2">
        <v>968</v>
      </c>
      <c r="E111" s="2">
        <v>20020</v>
      </c>
      <c r="G111" s="2">
        <v>417</v>
      </c>
      <c r="H111" s="2" t="s">
        <v>327</v>
      </c>
      <c r="I111" s="2">
        <f>VLOOKUP(H111,[1]Customers!$A:$B,2,FALSE)</f>
        <v>3338</v>
      </c>
      <c r="J111" s="2">
        <v>45688</v>
      </c>
      <c r="K111" s="2" t="s">
        <v>328</v>
      </c>
      <c r="M111" s="2">
        <v>151011.07999999999</v>
      </c>
      <c r="N111" s="3" t="s">
        <v>19</v>
      </c>
    </row>
    <row r="112" spans="1:15" x14ac:dyDescent="0.35">
      <c r="A112" s="2" t="s">
        <v>329</v>
      </c>
      <c r="B112" s="2">
        <v>125</v>
      </c>
      <c r="C112" s="2" t="s">
        <v>16</v>
      </c>
      <c r="D112" s="2">
        <v>968</v>
      </c>
      <c r="E112" s="2">
        <v>20020</v>
      </c>
      <c r="G112" s="2">
        <v>887</v>
      </c>
      <c r="H112" s="2" t="s">
        <v>330</v>
      </c>
      <c r="I112" s="2">
        <f>VLOOKUP(H112,[1]Customers!$A:$B,2,FALSE)</f>
        <v>3339</v>
      </c>
      <c r="J112" s="2">
        <v>45218</v>
      </c>
      <c r="K112" s="2" t="s">
        <v>331</v>
      </c>
      <c r="M112" s="2">
        <v>7576.62</v>
      </c>
      <c r="N112" s="3" t="s">
        <v>19</v>
      </c>
    </row>
    <row r="113" spans="1:15" x14ac:dyDescent="0.35">
      <c r="A113" s="2" t="s">
        <v>332</v>
      </c>
      <c r="B113" s="2">
        <v>126</v>
      </c>
      <c r="C113" s="2" t="s">
        <v>16</v>
      </c>
      <c r="D113" s="2">
        <v>968</v>
      </c>
      <c r="E113" s="2">
        <v>20020</v>
      </c>
      <c r="G113" s="2">
        <v>887</v>
      </c>
      <c r="H113" s="2" t="s">
        <v>330</v>
      </c>
      <c r="I113" s="2">
        <f>VLOOKUP(H113,[1]Customers!$A:$B,2,FALSE)</f>
        <v>3339</v>
      </c>
      <c r="J113" s="2">
        <v>45218</v>
      </c>
      <c r="K113" s="2" t="s">
        <v>333</v>
      </c>
      <c r="M113" s="2">
        <v>4376.6899999999996</v>
      </c>
      <c r="N113" s="3" t="s">
        <v>19</v>
      </c>
    </row>
    <row r="114" spans="1:15" x14ac:dyDescent="0.35">
      <c r="A114" s="2" t="s">
        <v>334</v>
      </c>
      <c r="B114" s="2">
        <v>127</v>
      </c>
      <c r="C114" s="2" t="s">
        <v>16</v>
      </c>
      <c r="D114" s="2">
        <v>968</v>
      </c>
      <c r="E114" s="2">
        <v>20020</v>
      </c>
      <c r="G114" s="2">
        <v>1033</v>
      </c>
      <c r="H114" s="2" t="s">
        <v>330</v>
      </c>
      <c r="I114" s="2">
        <f>VLOOKUP(H114,[1]Customers!$A:$B,2,FALSE)</f>
        <v>3339</v>
      </c>
      <c r="J114" s="2">
        <v>45072</v>
      </c>
      <c r="K114" s="2" t="s">
        <v>335</v>
      </c>
      <c r="M114" s="2">
        <v>1157.3</v>
      </c>
      <c r="N114" s="3" t="s">
        <v>19</v>
      </c>
    </row>
    <row r="115" spans="1:15" x14ac:dyDescent="0.35">
      <c r="A115" s="2" t="s">
        <v>336</v>
      </c>
      <c r="B115" s="2">
        <v>128</v>
      </c>
      <c r="C115" s="2" t="s">
        <v>16</v>
      </c>
      <c r="D115" s="2">
        <v>968</v>
      </c>
      <c r="E115" s="2">
        <v>20020</v>
      </c>
      <c r="G115" s="2">
        <v>788</v>
      </c>
      <c r="H115" s="2" t="s">
        <v>337</v>
      </c>
      <c r="I115" s="2">
        <f>VLOOKUP(H115,[1]Customers!$A:$B,2,FALSE)</f>
        <v>2520</v>
      </c>
      <c r="J115" s="2">
        <v>45317</v>
      </c>
      <c r="K115" s="2" t="s">
        <v>338</v>
      </c>
      <c r="M115" s="2">
        <v>1538.28</v>
      </c>
      <c r="N115" s="3" t="s">
        <v>19</v>
      </c>
    </row>
    <row r="116" spans="1:15" x14ac:dyDescent="0.35">
      <c r="A116" s="2" t="s">
        <v>339</v>
      </c>
      <c r="B116" s="2">
        <v>129</v>
      </c>
      <c r="C116" s="2" t="s">
        <v>16</v>
      </c>
      <c r="D116" s="2">
        <v>968</v>
      </c>
      <c r="E116" s="2">
        <v>20020</v>
      </c>
      <c r="G116" s="2">
        <v>788</v>
      </c>
      <c r="H116" s="2" t="s">
        <v>337</v>
      </c>
      <c r="I116" s="2">
        <f>VLOOKUP(H116,[1]Customers!$A:$B,2,FALSE)</f>
        <v>2520</v>
      </c>
      <c r="J116" s="2">
        <v>45317</v>
      </c>
      <c r="K116" s="2" t="s">
        <v>340</v>
      </c>
      <c r="M116" s="2">
        <v>0.01</v>
      </c>
      <c r="N116" s="3" t="s">
        <v>19</v>
      </c>
    </row>
    <row r="117" spans="1:15" x14ac:dyDescent="0.35">
      <c r="A117" s="2" t="s">
        <v>341</v>
      </c>
      <c r="B117" s="2">
        <v>130</v>
      </c>
      <c r="C117" s="2" t="s">
        <v>16</v>
      </c>
      <c r="D117" s="2">
        <v>968</v>
      </c>
      <c r="E117" s="2">
        <v>20020</v>
      </c>
      <c r="G117" s="2">
        <v>788</v>
      </c>
      <c r="H117" s="2" t="s">
        <v>337</v>
      </c>
      <c r="I117" s="2">
        <f>VLOOKUP(H117,[1]Customers!$A:$B,2,FALSE)</f>
        <v>2520</v>
      </c>
      <c r="J117" s="2">
        <v>45317</v>
      </c>
      <c r="K117" s="2" t="s">
        <v>342</v>
      </c>
      <c r="M117" s="2">
        <v>41.35</v>
      </c>
      <c r="N117" s="3" t="s">
        <v>19</v>
      </c>
    </row>
    <row r="118" spans="1:15" x14ac:dyDescent="0.35">
      <c r="A118" s="2" t="s">
        <v>343</v>
      </c>
      <c r="B118" s="2">
        <v>131</v>
      </c>
      <c r="C118" s="2" t="s">
        <v>16</v>
      </c>
      <c r="D118" s="2">
        <v>968</v>
      </c>
      <c r="E118" s="2">
        <v>20020</v>
      </c>
      <c r="G118" s="2">
        <v>526</v>
      </c>
      <c r="H118" s="2" t="s">
        <v>344</v>
      </c>
      <c r="I118" s="2">
        <f>VLOOKUP(H118,[1]Customers!$A:$B,2,FALSE)</f>
        <v>2710</v>
      </c>
      <c r="J118" s="2">
        <v>45579</v>
      </c>
      <c r="K118" s="2" t="s">
        <v>345</v>
      </c>
      <c r="M118" s="2">
        <v>14299.76</v>
      </c>
      <c r="N118" s="3" t="s">
        <v>19</v>
      </c>
    </row>
    <row r="119" spans="1:15" x14ac:dyDescent="0.35">
      <c r="A119" s="2" t="s">
        <v>346</v>
      </c>
      <c r="B119" s="2">
        <v>132</v>
      </c>
      <c r="C119" s="2" t="s">
        <v>16</v>
      </c>
      <c r="D119" s="2">
        <v>968</v>
      </c>
      <c r="E119" s="2">
        <v>20020</v>
      </c>
      <c r="G119" s="2">
        <v>526</v>
      </c>
      <c r="H119" s="2" t="s">
        <v>344</v>
      </c>
      <c r="I119" s="2">
        <f>VLOOKUP(H119,[1]Customers!$A:$B,2,FALSE)</f>
        <v>2710</v>
      </c>
      <c r="J119" s="2">
        <v>45579</v>
      </c>
      <c r="K119" s="2" t="s">
        <v>347</v>
      </c>
      <c r="M119" s="2">
        <v>15079.76</v>
      </c>
      <c r="N119" s="3" t="s">
        <v>19</v>
      </c>
    </row>
    <row r="120" spans="1:15" x14ac:dyDescent="0.35">
      <c r="A120" s="2" t="s">
        <v>348</v>
      </c>
      <c r="B120" s="2">
        <v>133</v>
      </c>
      <c r="C120" s="2" t="s">
        <v>16</v>
      </c>
      <c r="D120" s="2">
        <v>968</v>
      </c>
      <c r="E120" s="2">
        <v>20020</v>
      </c>
      <c r="G120" s="2">
        <v>421</v>
      </c>
      <c r="H120" s="2" t="s">
        <v>349</v>
      </c>
      <c r="I120" s="2">
        <f>VLOOKUP(H120,[1]Customers!$A:$B,2,FALSE)</f>
        <v>2593</v>
      </c>
      <c r="J120" s="2">
        <v>45684</v>
      </c>
      <c r="K120" s="2" t="s">
        <v>350</v>
      </c>
      <c r="M120" s="2">
        <v>64.22</v>
      </c>
      <c r="N120" s="3" t="s">
        <v>19</v>
      </c>
      <c r="O120" s="2">
        <v>571</v>
      </c>
    </row>
    <row r="121" spans="1:15" x14ac:dyDescent="0.35">
      <c r="A121" s="2" t="s">
        <v>351</v>
      </c>
      <c r="B121" s="2">
        <v>134</v>
      </c>
      <c r="C121" s="2" t="s">
        <v>16</v>
      </c>
      <c r="D121" s="2">
        <v>968</v>
      </c>
      <c r="E121" s="2">
        <v>20020</v>
      </c>
      <c r="G121" s="2">
        <v>306</v>
      </c>
      <c r="H121" s="2" t="s">
        <v>352</v>
      </c>
      <c r="I121" s="2">
        <f>VLOOKUP(H121,[1]Customers!$A:$B,2,FALSE)</f>
        <v>2519</v>
      </c>
      <c r="J121" s="2">
        <v>45799</v>
      </c>
      <c r="K121" s="2" t="s">
        <v>353</v>
      </c>
      <c r="M121" s="2">
        <v>13522.46</v>
      </c>
      <c r="N121" s="3" t="s">
        <v>19</v>
      </c>
    </row>
    <row r="122" spans="1:15" x14ac:dyDescent="0.35">
      <c r="A122" s="2" t="s">
        <v>354</v>
      </c>
      <c r="B122" s="2">
        <v>135</v>
      </c>
      <c r="C122" s="2" t="s">
        <v>16</v>
      </c>
      <c r="D122" s="2">
        <v>968</v>
      </c>
      <c r="E122" s="2">
        <v>20020</v>
      </c>
      <c r="G122" s="2">
        <v>467</v>
      </c>
      <c r="H122" s="2" t="s">
        <v>352</v>
      </c>
      <c r="I122" s="2">
        <f>VLOOKUP(H122,[1]Customers!$A:$B,2,FALSE)</f>
        <v>2519</v>
      </c>
      <c r="J122" s="2">
        <v>45638</v>
      </c>
      <c r="K122" s="2" t="s">
        <v>355</v>
      </c>
      <c r="M122" s="2">
        <v>13522.46</v>
      </c>
      <c r="N122" s="3" t="s">
        <v>19</v>
      </c>
    </row>
    <row r="123" spans="1:15" x14ac:dyDescent="0.35">
      <c r="A123" s="2" t="s">
        <v>356</v>
      </c>
      <c r="B123" s="2">
        <v>136</v>
      </c>
      <c r="C123" s="2" t="s">
        <v>16</v>
      </c>
      <c r="D123" s="2">
        <v>968</v>
      </c>
      <c r="E123" s="2">
        <v>20020</v>
      </c>
      <c r="G123" s="2">
        <v>403</v>
      </c>
      <c r="H123" s="2" t="s">
        <v>357</v>
      </c>
      <c r="I123" s="2">
        <f>VLOOKUP(H123,[1]Customers!$A:$B,2,FALSE)</f>
        <v>2623</v>
      </c>
      <c r="J123" s="2">
        <v>45702</v>
      </c>
      <c r="K123" s="2" t="s">
        <v>358</v>
      </c>
      <c r="M123" s="2">
        <v>8770</v>
      </c>
      <c r="N123" s="3" t="s">
        <v>19</v>
      </c>
    </row>
    <row r="124" spans="1:15" x14ac:dyDescent="0.35">
      <c r="A124" s="2" t="s">
        <v>359</v>
      </c>
      <c r="B124" s="2">
        <v>137</v>
      </c>
      <c r="C124" s="2" t="s">
        <v>16</v>
      </c>
      <c r="D124" s="2">
        <v>968</v>
      </c>
      <c r="E124" s="2">
        <v>20020</v>
      </c>
      <c r="G124" s="2">
        <v>370</v>
      </c>
      <c r="H124" s="2" t="s">
        <v>360</v>
      </c>
      <c r="I124" s="2">
        <f>VLOOKUP(H124,[1]Customers!$A:$B,2,FALSE)</f>
        <v>557</v>
      </c>
      <c r="J124" s="2">
        <v>45735</v>
      </c>
      <c r="K124" s="2" t="s">
        <v>361</v>
      </c>
      <c r="M124" s="2">
        <v>39367.06</v>
      </c>
      <c r="N124" s="3" t="s">
        <v>19</v>
      </c>
    </row>
    <row r="125" spans="1:15" x14ac:dyDescent="0.35">
      <c r="A125" s="2" t="s">
        <v>362</v>
      </c>
      <c r="B125" s="2">
        <v>138</v>
      </c>
      <c r="C125" s="2" t="s">
        <v>16</v>
      </c>
      <c r="D125" s="2">
        <v>968</v>
      </c>
      <c r="E125" s="2">
        <v>20020</v>
      </c>
      <c r="G125" s="2">
        <v>368</v>
      </c>
      <c r="H125" s="2" t="s">
        <v>360</v>
      </c>
      <c r="I125" s="2">
        <f>VLOOKUP(H125,[1]Customers!$A:$B,2,FALSE)</f>
        <v>557</v>
      </c>
      <c r="J125" s="2">
        <v>45737</v>
      </c>
      <c r="K125" s="2" t="s">
        <v>363</v>
      </c>
      <c r="M125" s="2">
        <v>28186.49</v>
      </c>
      <c r="N125" s="3" t="s">
        <v>19</v>
      </c>
    </row>
    <row r="126" spans="1:15" x14ac:dyDescent="0.35">
      <c r="A126" s="2" t="s">
        <v>364</v>
      </c>
      <c r="B126" s="2">
        <v>139</v>
      </c>
      <c r="C126" s="2" t="s">
        <v>16</v>
      </c>
      <c r="D126" s="2">
        <v>968</v>
      </c>
      <c r="E126" s="2">
        <v>20020</v>
      </c>
      <c r="G126" s="2">
        <v>313</v>
      </c>
      <c r="H126" s="2" t="s">
        <v>365</v>
      </c>
      <c r="I126" s="2">
        <f>VLOOKUP(H126,[1]Customers!$A:$B,2,FALSE)</f>
        <v>3343</v>
      </c>
      <c r="J126" s="2">
        <v>45792</v>
      </c>
      <c r="K126" s="2" t="s">
        <v>366</v>
      </c>
      <c r="M126" s="2">
        <v>2220.64</v>
      </c>
      <c r="N126" s="3" t="s">
        <v>19</v>
      </c>
    </row>
    <row r="127" spans="1:15" x14ac:dyDescent="0.35">
      <c r="A127" s="2" t="s">
        <v>367</v>
      </c>
      <c r="B127" s="2">
        <v>140</v>
      </c>
      <c r="C127" s="2" t="s">
        <v>16</v>
      </c>
      <c r="D127" s="2">
        <v>968</v>
      </c>
      <c r="E127" s="2">
        <v>20020</v>
      </c>
      <c r="G127" s="2">
        <v>385</v>
      </c>
      <c r="H127" s="2" t="s">
        <v>368</v>
      </c>
      <c r="I127" s="2">
        <f>VLOOKUP(H127,[1]Customers!$A:$B,2,FALSE)</f>
        <v>2159</v>
      </c>
      <c r="J127" s="2">
        <v>45720</v>
      </c>
      <c r="K127" s="2" t="s">
        <v>369</v>
      </c>
      <c r="M127" s="2">
        <v>222.94</v>
      </c>
      <c r="N127" s="3" t="s">
        <v>19</v>
      </c>
    </row>
    <row r="128" spans="1:15" x14ac:dyDescent="0.35">
      <c r="A128" s="2" t="s">
        <v>370</v>
      </c>
      <c r="B128" s="2">
        <v>141</v>
      </c>
      <c r="C128" s="2" t="s">
        <v>16</v>
      </c>
      <c r="D128" s="2">
        <v>968</v>
      </c>
      <c r="E128" s="2">
        <v>20020</v>
      </c>
      <c r="G128" s="2">
        <v>370</v>
      </c>
      <c r="H128" s="2" t="s">
        <v>371</v>
      </c>
      <c r="I128" s="2">
        <f>VLOOKUP(H128,[1]Customers!$A:$B,2,FALSE)</f>
        <v>2186</v>
      </c>
      <c r="J128" s="2">
        <v>45735</v>
      </c>
      <c r="K128" s="2" t="s">
        <v>372</v>
      </c>
      <c r="M128" s="2">
        <v>253.16</v>
      </c>
      <c r="N128" s="3" t="s">
        <v>19</v>
      </c>
    </row>
    <row r="129" spans="1:15" x14ac:dyDescent="0.35">
      <c r="A129" s="2" t="s">
        <v>373</v>
      </c>
      <c r="B129" s="2">
        <v>142</v>
      </c>
      <c r="C129" s="2" t="s">
        <v>16</v>
      </c>
      <c r="D129" s="2">
        <v>968</v>
      </c>
      <c r="E129" s="2">
        <v>20020</v>
      </c>
      <c r="G129" s="2">
        <v>501</v>
      </c>
      <c r="H129" s="2" t="s">
        <v>374</v>
      </c>
      <c r="I129" s="2">
        <f>VLOOKUP(H129,[1]Customers!$A:$B,2,FALSE)</f>
        <v>3526</v>
      </c>
      <c r="J129" s="2">
        <v>45604</v>
      </c>
      <c r="K129" s="2" t="s">
        <v>375</v>
      </c>
      <c r="M129" s="2">
        <v>290230.64</v>
      </c>
      <c r="N129" s="3" t="s">
        <v>19</v>
      </c>
    </row>
    <row r="130" spans="1:15" x14ac:dyDescent="0.35">
      <c r="A130" s="2" t="s">
        <v>376</v>
      </c>
      <c r="B130" s="2">
        <v>143</v>
      </c>
      <c r="C130" s="2" t="s">
        <v>16</v>
      </c>
      <c r="D130" s="2">
        <v>968</v>
      </c>
      <c r="E130" s="2">
        <v>20020</v>
      </c>
      <c r="G130" s="2">
        <v>357</v>
      </c>
      <c r="H130" s="2" t="s">
        <v>374</v>
      </c>
      <c r="I130" s="2">
        <f>VLOOKUP(H130,[1]Customers!$A:$B,2,FALSE)</f>
        <v>3526</v>
      </c>
      <c r="J130" s="2">
        <v>45748</v>
      </c>
      <c r="K130" s="2" t="s">
        <v>375</v>
      </c>
      <c r="M130" s="2">
        <v>556178.42000000004</v>
      </c>
      <c r="N130" s="3" t="s">
        <v>19</v>
      </c>
    </row>
    <row r="131" spans="1:15" x14ac:dyDescent="0.35">
      <c r="A131" s="2" t="s">
        <v>377</v>
      </c>
      <c r="B131" s="2">
        <v>144</v>
      </c>
      <c r="C131" s="2" t="s">
        <v>16</v>
      </c>
      <c r="D131" s="2">
        <v>968</v>
      </c>
      <c r="E131" s="2">
        <v>20020</v>
      </c>
      <c r="G131" s="2">
        <v>600</v>
      </c>
      <c r="H131" s="2" t="s">
        <v>378</v>
      </c>
      <c r="I131" s="2">
        <f>VLOOKUP(H131,[1]Customers!$A:$B,2,FALSE)</f>
        <v>3346</v>
      </c>
      <c r="J131" s="2">
        <v>45505</v>
      </c>
      <c r="K131" s="2" t="s">
        <v>379</v>
      </c>
      <c r="M131" s="2">
        <v>26673.09</v>
      </c>
      <c r="N131" s="3" t="s">
        <v>19</v>
      </c>
    </row>
    <row r="132" spans="1:15" x14ac:dyDescent="0.35">
      <c r="A132" s="2" t="s">
        <v>380</v>
      </c>
      <c r="B132" s="2">
        <v>145</v>
      </c>
      <c r="C132" s="2" t="s">
        <v>16</v>
      </c>
      <c r="D132" s="2">
        <v>968</v>
      </c>
      <c r="E132" s="2">
        <v>20020</v>
      </c>
      <c r="G132" s="2">
        <v>512</v>
      </c>
      <c r="H132" s="2" t="s">
        <v>381</v>
      </c>
      <c r="I132" s="2">
        <f>VLOOKUP(H132,[1]Customers!$A:$B,2,FALSE)</f>
        <v>2348</v>
      </c>
      <c r="J132" s="2">
        <v>45593</v>
      </c>
      <c r="K132" s="2" t="s">
        <v>382</v>
      </c>
      <c r="M132" s="2">
        <v>1296.94</v>
      </c>
      <c r="N132" s="3" t="s">
        <v>19</v>
      </c>
    </row>
    <row r="133" spans="1:15" x14ac:dyDescent="0.35">
      <c r="A133" s="2" t="s">
        <v>383</v>
      </c>
      <c r="B133" s="2">
        <v>146</v>
      </c>
      <c r="C133" s="2" t="s">
        <v>16</v>
      </c>
      <c r="D133" s="2">
        <v>968</v>
      </c>
      <c r="E133" s="2">
        <v>20020</v>
      </c>
      <c r="G133" s="2">
        <v>603</v>
      </c>
      <c r="H133" s="2" t="s">
        <v>381</v>
      </c>
      <c r="I133" s="2">
        <f>VLOOKUP(H133,[1]Customers!$A:$B,2,FALSE)</f>
        <v>2348</v>
      </c>
      <c r="J133" s="2">
        <v>45502</v>
      </c>
      <c r="K133" s="2" t="s">
        <v>384</v>
      </c>
      <c r="M133" s="2">
        <v>0.01</v>
      </c>
      <c r="N133" s="3" t="s">
        <v>19</v>
      </c>
    </row>
    <row r="134" spans="1:15" x14ac:dyDescent="0.35">
      <c r="A134" s="2" t="s">
        <v>385</v>
      </c>
      <c r="B134" s="2">
        <v>147</v>
      </c>
      <c r="C134" s="2" t="s">
        <v>16</v>
      </c>
      <c r="D134" s="2">
        <v>968</v>
      </c>
      <c r="E134" s="2">
        <v>20020</v>
      </c>
      <c r="G134" s="2">
        <v>629</v>
      </c>
      <c r="H134" s="2" t="s">
        <v>381</v>
      </c>
      <c r="I134" s="2">
        <f>VLOOKUP(H134,[1]Customers!$A:$B,2,FALSE)</f>
        <v>2348</v>
      </c>
      <c r="J134" s="2">
        <v>45476</v>
      </c>
      <c r="M134" s="2">
        <v>0</v>
      </c>
      <c r="N134" s="3" t="s">
        <v>19</v>
      </c>
    </row>
    <row r="135" spans="1:15" x14ac:dyDescent="0.35">
      <c r="A135" s="2" t="s">
        <v>386</v>
      </c>
      <c r="B135" s="2">
        <v>148</v>
      </c>
      <c r="C135" s="2" t="s">
        <v>16</v>
      </c>
      <c r="D135" s="2">
        <v>968</v>
      </c>
      <c r="E135" s="2">
        <v>20020</v>
      </c>
      <c r="G135" s="2">
        <v>344</v>
      </c>
      <c r="H135" s="2" t="s">
        <v>381</v>
      </c>
      <c r="I135" s="2">
        <f>VLOOKUP(H135,[1]Customers!$A:$B,2,FALSE)</f>
        <v>2348</v>
      </c>
      <c r="J135" s="2">
        <v>45761</v>
      </c>
      <c r="K135" s="2" t="s">
        <v>387</v>
      </c>
      <c r="M135" s="2">
        <v>528.62</v>
      </c>
      <c r="N135" s="3" t="s">
        <v>19</v>
      </c>
    </row>
    <row r="136" spans="1:15" x14ac:dyDescent="0.35">
      <c r="A136" s="2" t="s">
        <v>388</v>
      </c>
      <c r="B136" s="2">
        <v>149</v>
      </c>
      <c r="C136" s="2" t="s">
        <v>16</v>
      </c>
      <c r="D136" s="2">
        <v>968</v>
      </c>
      <c r="E136" s="2">
        <v>20020</v>
      </c>
      <c r="G136" s="2">
        <v>288</v>
      </c>
      <c r="H136" s="2" t="s">
        <v>389</v>
      </c>
      <c r="I136" s="2">
        <f>VLOOKUP(H136,[1]Customers!$A:$B,2,FALSE)</f>
        <v>2302</v>
      </c>
      <c r="J136" s="2">
        <v>45817</v>
      </c>
      <c r="K136" s="2" t="s">
        <v>390</v>
      </c>
      <c r="M136" s="2">
        <v>500000</v>
      </c>
      <c r="N136" s="3" t="s">
        <v>19</v>
      </c>
    </row>
    <row r="137" spans="1:15" x14ac:dyDescent="0.35">
      <c r="A137" s="2" t="s">
        <v>391</v>
      </c>
      <c r="B137" s="2">
        <v>150</v>
      </c>
      <c r="C137" s="2" t="s">
        <v>16</v>
      </c>
      <c r="D137" s="2">
        <v>968</v>
      </c>
      <c r="E137" s="2">
        <v>20020</v>
      </c>
      <c r="G137" s="2">
        <v>350</v>
      </c>
      <c r="H137" s="2" t="s">
        <v>392</v>
      </c>
      <c r="I137" s="2">
        <f>VLOOKUP(H137,[1]Customers!$A:$B,2,FALSE)</f>
        <v>2330</v>
      </c>
      <c r="J137" s="2">
        <v>45755</v>
      </c>
      <c r="K137" s="2" t="s">
        <v>393</v>
      </c>
      <c r="M137" s="2">
        <v>8183.25</v>
      </c>
      <c r="N137" s="3" t="s">
        <v>19</v>
      </c>
    </row>
    <row r="138" spans="1:15" x14ac:dyDescent="0.35">
      <c r="A138" s="2" t="s">
        <v>394</v>
      </c>
      <c r="B138" s="2">
        <v>151</v>
      </c>
      <c r="C138" s="2" t="s">
        <v>16</v>
      </c>
      <c r="D138" s="2">
        <v>968</v>
      </c>
      <c r="E138" s="2">
        <v>20020</v>
      </c>
      <c r="G138" s="2">
        <v>292</v>
      </c>
      <c r="H138" s="2" t="s">
        <v>392</v>
      </c>
      <c r="I138" s="2">
        <f>VLOOKUP(H138,[1]Customers!$A:$B,2,FALSE)</f>
        <v>2330</v>
      </c>
      <c r="J138" s="2">
        <v>45813</v>
      </c>
      <c r="K138" s="2" t="s">
        <v>395</v>
      </c>
      <c r="M138" s="2">
        <v>1529.19</v>
      </c>
      <c r="N138" s="3" t="s">
        <v>19</v>
      </c>
    </row>
    <row r="139" spans="1:15" x14ac:dyDescent="0.35">
      <c r="A139" s="2" t="s">
        <v>396</v>
      </c>
      <c r="B139" s="2">
        <v>152</v>
      </c>
      <c r="C139" s="2" t="s">
        <v>16</v>
      </c>
      <c r="D139" s="2">
        <v>968</v>
      </c>
      <c r="E139" s="2">
        <v>20020</v>
      </c>
      <c r="G139" s="2">
        <v>477</v>
      </c>
      <c r="H139" s="2" t="s">
        <v>397</v>
      </c>
      <c r="I139" s="2">
        <f>VLOOKUP(H139,[1]Customers!$A:$B,2,FALSE)</f>
        <v>3562</v>
      </c>
      <c r="J139" s="2">
        <v>45628</v>
      </c>
      <c r="K139" s="2" t="s">
        <v>398</v>
      </c>
      <c r="M139" s="2">
        <v>250</v>
      </c>
      <c r="N139" s="3" t="s">
        <v>19</v>
      </c>
    </row>
    <row r="140" spans="1:15" x14ac:dyDescent="0.35">
      <c r="A140" s="2" t="s">
        <v>399</v>
      </c>
      <c r="B140" s="2">
        <v>153</v>
      </c>
      <c r="C140" s="2" t="s">
        <v>16</v>
      </c>
      <c r="D140" s="2">
        <v>968</v>
      </c>
      <c r="E140" s="2">
        <v>20020</v>
      </c>
      <c r="G140" s="2">
        <v>336</v>
      </c>
      <c r="H140" s="2" t="s">
        <v>400</v>
      </c>
      <c r="I140" s="2">
        <f>VLOOKUP(H140,[1]Customers!$A:$B,2,FALSE)</f>
        <v>2347</v>
      </c>
      <c r="J140" s="2">
        <v>45769</v>
      </c>
      <c r="K140" s="2" t="s">
        <v>401</v>
      </c>
      <c r="M140" s="2">
        <v>38311.33</v>
      </c>
      <c r="N140" s="3" t="s">
        <v>19</v>
      </c>
    </row>
    <row r="141" spans="1:15" x14ac:dyDescent="0.35">
      <c r="A141" s="2" t="s">
        <v>402</v>
      </c>
      <c r="B141" s="2">
        <v>154</v>
      </c>
      <c r="C141" s="2" t="s">
        <v>16</v>
      </c>
      <c r="D141" s="2">
        <v>968</v>
      </c>
      <c r="E141" s="2">
        <v>20020</v>
      </c>
      <c r="G141" s="2">
        <v>673</v>
      </c>
      <c r="H141" s="2" t="s">
        <v>403</v>
      </c>
      <c r="I141" s="2">
        <f>VLOOKUP(H141,[1]Customers!$A:$B,2,FALSE)</f>
        <v>567</v>
      </c>
      <c r="J141" s="2">
        <v>45432</v>
      </c>
      <c r="K141" s="2" t="s">
        <v>404</v>
      </c>
      <c r="M141" s="2">
        <v>8037.57</v>
      </c>
      <c r="N141" s="3" t="s">
        <v>19</v>
      </c>
      <c r="O141" s="2">
        <v>36849</v>
      </c>
    </row>
    <row r="142" spans="1:15" x14ac:dyDescent="0.35">
      <c r="A142" s="2" t="s">
        <v>405</v>
      </c>
      <c r="B142" s="2">
        <v>155</v>
      </c>
      <c r="C142" s="2" t="s">
        <v>16</v>
      </c>
      <c r="D142" s="2">
        <v>968</v>
      </c>
      <c r="E142" s="2">
        <v>20020</v>
      </c>
      <c r="G142" s="2">
        <v>589</v>
      </c>
      <c r="H142" s="2" t="s">
        <v>403</v>
      </c>
      <c r="I142" s="2">
        <f>VLOOKUP(H142,[1]Customers!$A:$B,2,FALSE)</f>
        <v>567</v>
      </c>
      <c r="J142" s="2">
        <v>45516</v>
      </c>
      <c r="K142" s="2" t="s">
        <v>404</v>
      </c>
      <c r="M142" s="2">
        <v>5045.7700000000004</v>
      </c>
      <c r="N142" s="3" t="s">
        <v>19</v>
      </c>
    </row>
    <row r="143" spans="1:15" ht="15" customHeight="1" x14ac:dyDescent="0.35">
      <c r="A143" s="2" t="s">
        <v>406</v>
      </c>
      <c r="B143" s="2">
        <v>156</v>
      </c>
      <c r="C143" s="2" t="s">
        <v>16</v>
      </c>
      <c r="D143" s="2">
        <v>968</v>
      </c>
      <c r="E143" s="2">
        <v>20020</v>
      </c>
      <c r="G143" s="2">
        <v>799</v>
      </c>
      <c r="H143" s="2" t="s">
        <v>403</v>
      </c>
      <c r="I143" s="2">
        <f>VLOOKUP(H143,[1]Customers!$A:$B,2,FALSE)</f>
        <v>567</v>
      </c>
      <c r="J143" s="2">
        <v>45306</v>
      </c>
      <c r="K143" s="2" t="s">
        <v>407</v>
      </c>
      <c r="M143" s="2">
        <v>711.91</v>
      </c>
      <c r="N143" s="3" t="s">
        <v>19</v>
      </c>
    </row>
    <row r="144" spans="1:15" x14ac:dyDescent="0.35">
      <c r="A144" s="2" t="s">
        <v>408</v>
      </c>
      <c r="B144" s="2">
        <v>157</v>
      </c>
      <c r="C144" s="2" t="s">
        <v>16</v>
      </c>
      <c r="D144" s="2">
        <v>968</v>
      </c>
      <c r="E144" s="2">
        <v>20020</v>
      </c>
      <c r="G144" s="2">
        <v>748</v>
      </c>
      <c r="H144" s="2" t="s">
        <v>403</v>
      </c>
      <c r="I144" s="2">
        <f>VLOOKUP(H144,[1]Customers!$A:$B,2,FALSE)</f>
        <v>567</v>
      </c>
      <c r="J144" s="2">
        <v>45357</v>
      </c>
      <c r="K144" s="2" t="s">
        <v>409</v>
      </c>
      <c r="M144" s="2">
        <v>425.64</v>
      </c>
      <c r="N144" s="3" t="s">
        <v>19</v>
      </c>
      <c r="O144" s="2">
        <v>36261</v>
      </c>
    </row>
    <row r="145" spans="1:15" x14ac:dyDescent="0.35">
      <c r="A145" s="2" t="s">
        <v>410</v>
      </c>
      <c r="B145" s="2">
        <v>158</v>
      </c>
      <c r="C145" s="2" t="s">
        <v>16</v>
      </c>
      <c r="D145" s="2">
        <v>968</v>
      </c>
      <c r="E145" s="2">
        <v>20020</v>
      </c>
      <c r="G145" s="2">
        <v>510</v>
      </c>
      <c r="H145" s="4" t="s">
        <v>411</v>
      </c>
      <c r="I145" s="2">
        <f>VLOOKUP(H145,[1]Customers!$A:$B,2,FALSE)</f>
        <v>1555</v>
      </c>
      <c r="J145" s="2">
        <v>45595</v>
      </c>
      <c r="K145" s="2" t="s">
        <v>412</v>
      </c>
      <c r="M145" s="2">
        <v>10702.4</v>
      </c>
      <c r="N145" s="3" t="s">
        <v>19</v>
      </c>
      <c r="O145" s="2">
        <v>5885</v>
      </c>
    </row>
    <row r="146" spans="1:15" x14ac:dyDescent="0.35">
      <c r="A146" s="2" t="s">
        <v>413</v>
      </c>
      <c r="B146" s="2">
        <v>159</v>
      </c>
      <c r="C146" s="2" t="s">
        <v>16</v>
      </c>
      <c r="D146" s="2">
        <v>968</v>
      </c>
      <c r="E146" s="2">
        <v>20020</v>
      </c>
      <c r="G146" s="2">
        <v>462</v>
      </c>
      <c r="H146" s="2" t="s">
        <v>414</v>
      </c>
      <c r="I146" s="2">
        <f>VLOOKUP(H146,[1]Customers!$A:$B,2,FALSE)</f>
        <v>3413</v>
      </c>
      <c r="J146" s="2">
        <v>45643</v>
      </c>
      <c r="K146" s="2" t="s">
        <v>415</v>
      </c>
      <c r="M146" s="2">
        <v>1523.93</v>
      </c>
      <c r="N146" s="3" t="s">
        <v>19</v>
      </c>
    </row>
    <row r="147" spans="1:15" x14ac:dyDescent="0.35">
      <c r="A147" s="2" t="s">
        <v>416</v>
      </c>
      <c r="B147" s="2">
        <v>160</v>
      </c>
      <c r="C147" s="2" t="s">
        <v>16</v>
      </c>
      <c r="D147" s="2">
        <v>968</v>
      </c>
      <c r="E147" s="2">
        <v>20020</v>
      </c>
      <c r="G147" s="2">
        <v>536</v>
      </c>
      <c r="H147" s="4" t="s">
        <v>417</v>
      </c>
      <c r="I147" s="2">
        <f>VLOOKUP(H147,[1]Customers!$A:$B,2,FALSE)</f>
        <v>569</v>
      </c>
      <c r="J147" s="2">
        <v>45569</v>
      </c>
      <c r="K147" s="2" t="s">
        <v>418</v>
      </c>
      <c r="M147" s="2">
        <v>9000</v>
      </c>
      <c r="N147" s="3" t="s">
        <v>19</v>
      </c>
    </row>
    <row r="148" spans="1:15" x14ac:dyDescent="0.35">
      <c r="A148" s="2" t="s">
        <v>419</v>
      </c>
      <c r="B148" s="2">
        <v>161</v>
      </c>
      <c r="C148" s="2" t="s">
        <v>16</v>
      </c>
      <c r="D148" s="2">
        <v>968</v>
      </c>
      <c r="E148" s="2">
        <v>20020</v>
      </c>
      <c r="G148" s="2">
        <v>371</v>
      </c>
      <c r="H148" s="2" t="s">
        <v>420</v>
      </c>
      <c r="I148" s="2">
        <f>VLOOKUP(H148,[1]Customers!$A:$B,2,FALSE)</f>
        <v>2191</v>
      </c>
      <c r="J148" s="2">
        <v>45734</v>
      </c>
      <c r="K148" s="2" t="s">
        <v>421</v>
      </c>
      <c r="M148" s="2">
        <v>5335.05</v>
      </c>
      <c r="N148" s="3" t="s">
        <v>19</v>
      </c>
    </row>
    <row r="149" spans="1:15" x14ac:dyDescent="0.35">
      <c r="A149" s="2" t="s">
        <v>422</v>
      </c>
      <c r="B149" s="2">
        <v>162</v>
      </c>
      <c r="C149" s="2" t="s">
        <v>16</v>
      </c>
      <c r="D149" s="2">
        <v>968</v>
      </c>
      <c r="E149" s="2">
        <v>20020</v>
      </c>
      <c r="G149" s="2">
        <v>319</v>
      </c>
      <c r="H149" s="2" t="s">
        <v>420</v>
      </c>
      <c r="I149" s="2">
        <f>VLOOKUP(H149,[1]Customers!$A:$B,2,FALSE)</f>
        <v>2191</v>
      </c>
      <c r="J149" s="2">
        <v>45786</v>
      </c>
      <c r="K149" s="2" t="s">
        <v>421</v>
      </c>
      <c r="M149" s="2">
        <v>555.95000000000005</v>
      </c>
      <c r="N149" s="3" t="s">
        <v>19</v>
      </c>
    </row>
    <row r="150" spans="1:15" x14ac:dyDescent="0.35">
      <c r="A150" s="2" t="s">
        <v>423</v>
      </c>
      <c r="B150" s="2">
        <v>163</v>
      </c>
      <c r="C150" s="2" t="s">
        <v>16</v>
      </c>
      <c r="D150" s="2">
        <v>968</v>
      </c>
      <c r="E150" s="2">
        <v>20020</v>
      </c>
      <c r="G150" s="2">
        <v>279</v>
      </c>
      <c r="H150" s="2" t="s">
        <v>420</v>
      </c>
      <c r="I150" s="2">
        <f>VLOOKUP(H150,[1]Customers!$A:$B,2,FALSE)</f>
        <v>2191</v>
      </c>
      <c r="J150" s="2">
        <v>45826</v>
      </c>
      <c r="K150" s="2" t="s">
        <v>424</v>
      </c>
      <c r="M150" s="2">
        <v>1998.38</v>
      </c>
      <c r="N150" s="3" t="s">
        <v>19</v>
      </c>
    </row>
    <row r="151" spans="1:15" x14ac:dyDescent="0.35">
      <c r="A151" s="2" t="s">
        <v>425</v>
      </c>
      <c r="B151" s="2">
        <v>164</v>
      </c>
      <c r="C151" s="2" t="s">
        <v>16</v>
      </c>
      <c r="D151" s="2">
        <v>968</v>
      </c>
      <c r="E151" s="2">
        <v>20020</v>
      </c>
      <c r="G151" s="2">
        <v>720</v>
      </c>
      <c r="H151" s="2" t="s">
        <v>426</v>
      </c>
      <c r="I151" s="2">
        <f>VLOOKUP(H151,[1]Customers!$A:$B,2,FALSE)</f>
        <v>3351</v>
      </c>
      <c r="J151" s="2">
        <v>45385</v>
      </c>
      <c r="K151" s="2" t="s">
        <v>427</v>
      </c>
      <c r="M151" s="2">
        <v>142697.44</v>
      </c>
      <c r="N151" s="3" t="s">
        <v>19</v>
      </c>
    </row>
    <row r="152" spans="1:15" ht="14.5" customHeight="1" x14ac:dyDescent="0.35">
      <c r="A152" s="2" t="s">
        <v>428</v>
      </c>
      <c r="B152" s="2">
        <v>165</v>
      </c>
      <c r="C152" s="2" t="s">
        <v>16</v>
      </c>
      <c r="D152" s="2">
        <v>968</v>
      </c>
      <c r="E152" s="2">
        <v>20020</v>
      </c>
      <c r="G152" s="2">
        <v>446</v>
      </c>
      <c r="H152" s="2" t="s">
        <v>429</v>
      </c>
      <c r="I152" s="2">
        <f>VLOOKUP(H152,[1]Customers!$A:$B,2,FALSE)</f>
        <v>2616</v>
      </c>
      <c r="J152" s="2">
        <v>45659</v>
      </c>
      <c r="K152" s="2" t="s">
        <v>430</v>
      </c>
      <c r="M152" s="2">
        <v>93.11</v>
      </c>
      <c r="N152" s="3" t="s">
        <v>19</v>
      </c>
    </row>
    <row r="153" spans="1:15" ht="15" customHeight="1" x14ac:dyDescent="0.35">
      <c r="A153" s="2" t="s">
        <v>431</v>
      </c>
      <c r="B153" s="2">
        <v>166</v>
      </c>
      <c r="C153" s="2" t="s">
        <v>16</v>
      </c>
      <c r="D153" s="2">
        <v>968</v>
      </c>
      <c r="E153" s="2">
        <v>20020</v>
      </c>
      <c r="G153" s="2">
        <v>358</v>
      </c>
      <c r="H153" s="2" t="s">
        <v>432</v>
      </c>
      <c r="I153" s="2">
        <f>VLOOKUP(H153,[1]Customers!$A:$B,2,FALSE)</f>
        <v>2300</v>
      </c>
      <c r="J153" s="2">
        <v>45747</v>
      </c>
      <c r="K153" s="2" t="s">
        <v>433</v>
      </c>
      <c r="M153" s="2">
        <v>0.06</v>
      </c>
      <c r="N153" s="3" t="s">
        <v>19</v>
      </c>
    </row>
    <row r="154" spans="1:15" x14ac:dyDescent="0.35">
      <c r="A154" s="2" t="s">
        <v>434</v>
      </c>
      <c r="B154" s="2">
        <v>167</v>
      </c>
      <c r="C154" s="2" t="s">
        <v>16</v>
      </c>
      <c r="D154" s="2">
        <v>968</v>
      </c>
      <c r="E154" s="2">
        <v>20020</v>
      </c>
      <c r="G154" s="2">
        <v>298</v>
      </c>
      <c r="H154" s="2" t="s">
        <v>435</v>
      </c>
      <c r="I154" s="2">
        <f>VLOOKUP(H154,[1]Customers!$A:$B,2,FALSE)</f>
        <v>575</v>
      </c>
      <c r="J154" s="2">
        <v>45807</v>
      </c>
      <c r="K154" s="2" t="s">
        <v>436</v>
      </c>
      <c r="M154" s="2">
        <v>1748.8</v>
      </c>
      <c r="N154" s="3" t="s">
        <v>19</v>
      </c>
    </row>
    <row r="155" spans="1:15" x14ac:dyDescent="0.35">
      <c r="A155" s="2" t="s">
        <v>437</v>
      </c>
      <c r="B155" s="2">
        <v>168</v>
      </c>
      <c r="C155" s="2" t="s">
        <v>16</v>
      </c>
      <c r="D155" s="2">
        <v>968</v>
      </c>
      <c r="E155" s="2">
        <v>20020</v>
      </c>
      <c r="G155" s="2">
        <v>281</v>
      </c>
      <c r="H155" s="2" t="s">
        <v>435</v>
      </c>
      <c r="I155" s="2">
        <f>VLOOKUP(H155,[1]Customers!$A:$B,2,FALSE)</f>
        <v>575</v>
      </c>
      <c r="J155" s="2">
        <v>45824</v>
      </c>
      <c r="K155" s="2" t="s">
        <v>438</v>
      </c>
      <c r="M155" s="2">
        <v>6687.31</v>
      </c>
      <c r="N155" s="3" t="s">
        <v>19</v>
      </c>
    </row>
    <row r="156" spans="1:15" x14ac:dyDescent="0.35">
      <c r="A156" s="2" t="s">
        <v>439</v>
      </c>
      <c r="B156" s="2">
        <v>169</v>
      </c>
      <c r="C156" s="2" t="s">
        <v>16</v>
      </c>
      <c r="D156" s="2">
        <v>968</v>
      </c>
      <c r="E156" s="2">
        <v>20020</v>
      </c>
      <c r="G156" s="2">
        <v>277</v>
      </c>
      <c r="H156" s="2" t="s">
        <v>435</v>
      </c>
      <c r="I156" s="2">
        <f>VLOOKUP(H156,[1]Customers!$A:$B,2,FALSE)</f>
        <v>575</v>
      </c>
      <c r="J156" s="2">
        <v>45828</v>
      </c>
      <c r="K156" s="2" t="s">
        <v>440</v>
      </c>
      <c r="M156" s="2">
        <v>6687.31</v>
      </c>
      <c r="N156" s="3" t="s">
        <v>19</v>
      </c>
    </row>
    <row r="157" spans="1:15" x14ac:dyDescent="0.35">
      <c r="A157" s="2" t="s">
        <v>441</v>
      </c>
      <c r="B157" s="2">
        <v>170</v>
      </c>
      <c r="C157" s="2" t="s">
        <v>16</v>
      </c>
      <c r="D157" s="2">
        <v>968</v>
      </c>
      <c r="E157" s="2">
        <v>20020</v>
      </c>
      <c r="G157" s="2">
        <v>306</v>
      </c>
      <c r="H157" s="2" t="s">
        <v>442</v>
      </c>
      <c r="I157" s="2">
        <f>VLOOKUP(H157,[1]Customers!$A:$B,2,FALSE)</f>
        <v>2473</v>
      </c>
      <c r="J157" s="2">
        <v>45799</v>
      </c>
      <c r="K157" s="2" t="s">
        <v>443</v>
      </c>
      <c r="M157" s="2">
        <v>251930.03</v>
      </c>
      <c r="N157" s="3" t="s">
        <v>19</v>
      </c>
    </row>
    <row r="158" spans="1:15" x14ac:dyDescent="0.35">
      <c r="A158" s="2" t="s">
        <v>444</v>
      </c>
      <c r="B158" s="2">
        <v>171</v>
      </c>
      <c r="C158" s="2" t="s">
        <v>16</v>
      </c>
      <c r="D158" s="2">
        <v>968</v>
      </c>
      <c r="E158" s="2">
        <v>20020</v>
      </c>
      <c r="G158" s="2">
        <v>372</v>
      </c>
      <c r="H158" s="2" t="s">
        <v>445</v>
      </c>
      <c r="I158" s="2">
        <f>VLOOKUP(H158,[1]Customers!$A:$B,2,FALSE)</f>
        <v>577</v>
      </c>
      <c r="J158" s="2">
        <v>45733</v>
      </c>
      <c r="K158" s="2" t="s">
        <v>446</v>
      </c>
      <c r="M158" s="2">
        <v>100.02</v>
      </c>
      <c r="N158" s="3" t="s">
        <v>19</v>
      </c>
    </row>
    <row r="159" spans="1:15" x14ac:dyDescent="0.35">
      <c r="A159" s="2" t="s">
        <v>447</v>
      </c>
      <c r="B159" s="2">
        <v>172</v>
      </c>
      <c r="C159" s="2" t="s">
        <v>16</v>
      </c>
      <c r="D159" s="2">
        <v>968</v>
      </c>
      <c r="E159" s="2">
        <v>20020</v>
      </c>
      <c r="G159" s="2">
        <v>413</v>
      </c>
      <c r="H159" s="4" t="s">
        <v>448</v>
      </c>
      <c r="I159" s="2">
        <f>VLOOKUP(H159,[1]Customers!$A:$B,2,FALSE)</f>
        <v>1585</v>
      </c>
      <c r="J159" s="2">
        <v>45692</v>
      </c>
      <c r="M159" s="2">
        <v>448182.42</v>
      </c>
      <c r="N159" s="3" t="s">
        <v>19</v>
      </c>
      <c r="O159" s="2" t="s">
        <v>449</v>
      </c>
    </row>
    <row r="160" spans="1:15" x14ac:dyDescent="0.35">
      <c r="A160" s="2" t="s">
        <v>450</v>
      </c>
      <c r="B160" s="2">
        <v>173</v>
      </c>
      <c r="C160" s="2" t="s">
        <v>16</v>
      </c>
      <c r="D160" s="2">
        <v>968</v>
      </c>
      <c r="E160" s="2">
        <v>20020</v>
      </c>
      <c r="G160" s="2">
        <v>378</v>
      </c>
      <c r="H160" s="2" t="s">
        <v>451</v>
      </c>
      <c r="I160" s="2">
        <f>VLOOKUP(H160,[1]Customers!$A:$B,2,FALSE)</f>
        <v>3354</v>
      </c>
      <c r="J160" s="2">
        <v>45727</v>
      </c>
      <c r="K160" s="2" t="s">
        <v>452</v>
      </c>
      <c r="M160" s="2">
        <v>10772.6</v>
      </c>
      <c r="N160" s="3" t="s">
        <v>19</v>
      </c>
    </row>
    <row r="161" spans="1:15" x14ac:dyDescent="0.35">
      <c r="A161" s="2" t="s">
        <v>453</v>
      </c>
      <c r="B161" s="2">
        <v>174</v>
      </c>
      <c r="C161" s="2" t="s">
        <v>16</v>
      </c>
      <c r="D161" s="2">
        <v>968</v>
      </c>
      <c r="E161" s="2">
        <v>20020</v>
      </c>
      <c r="G161" s="2">
        <v>425</v>
      </c>
      <c r="H161" s="2" t="s">
        <v>451</v>
      </c>
      <c r="I161" s="2">
        <f>VLOOKUP(H161,[1]Customers!$A:$B,2,FALSE)</f>
        <v>3354</v>
      </c>
      <c r="J161" s="2">
        <v>45680</v>
      </c>
      <c r="K161" s="2" t="s">
        <v>454</v>
      </c>
      <c r="M161" s="2">
        <v>8164.05</v>
      </c>
      <c r="N161" s="3" t="s">
        <v>19</v>
      </c>
    </row>
    <row r="162" spans="1:15" x14ac:dyDescent="0.35">
      <c r="A162" s="2" t="s">
        <v>455</v>
      </c>
      <c r="B162" s="2">
        <v>175</v>
      </c>
      <c r="C162" s="2" t="s">
        <v>16</v>
      </c>
      <c r="D162" s="2">
        <v>968</v>
      </c>
      <c r="E162" s="2">
        <v>20020</v>
      </c>
      <c r="G162" s="2">
        <v>343</v>
      </c>
      <c r="H162" s="2" t="s">
        <v>456</v>
      </c>
      <c r="I162" s="2">
        <f>VLOOKUP(H162,[1]Customers!$A:$B,2,FALSE)</f>
        <v>580</v>
      </c>
      <c r="J162" s="2">
        <v>45762</v>
      </c>
      <c r="K162" s="2" t="s">
        <v>457</v>
      </c>
      <c r="M162" s="2">
        <v>1950</v>
      </c>
      <c r="N162" s="3" t="s">
        <v>19</v>
      </c>
    </row>
    <row r="163" spans="1:15" x14ac:dyDescent="0.35">
      <c r="A163" s="2" t="s">
        <v>458</v>
      </c>
      <c r="B163" s="2">
        <v>176</v>
      </c>
      <c r="C163" s="2" t="s">
        <v>16</v>
      </c>
      <c r="D163" s="2">
        <v>968</v>
      </c>
      <c r="E163" s="2">
        <v>20020</v>
      </c>
      <c r="G163" s="2">
        <v>342</v>
      </c>
      <c r="H163" s="2" t="s">
        <v>456</v>
      </c>
      <c r="I163" s="2">
        <f>VLOOKUP(H163,[1]Customers!$A:$B,2,FALSE)</f>
        <v>580</v>
      </c>
      <c r="J163" s="2">
        <v>45763</v>
      </c>
      <c r="K163" s="2" t="s">
        <v>459</v>
      </c>
      <c r="M163" s="2">
        <v>1950</v>
      </c>
      <c r="N163" s="3" t="s">
        <v>19</v>
      </c>
    </row>
    <row r="164" spans="1:15" x14ac:dyDescent="0.35">
      <c r="A164" s="2" t="s">
        <v>460</v>
      </c>
      <c r="B164" s="2">
        <v>177</v>
      </c>
      <c r="C164" s="2" t="s">
        <v>16</v>
      </c>
      <c r="D164" s="2">
        <v>968</v>
      </c>
      <c r="E164" s="2">
        <v>20020</v>
      </c>
      <c r="G164" s="2">
        <v>279</v>
      </c>
      <c r="H164" s="2" t="s">
        <v>456</v>
      </c>
      <c r="I164" s="2">
        <f>VLOOKUP(H164,[1]Customers!$A:$B,2,FALSE)</f>
        <v>580</v>
      </c>
      <c r="J164" s="2">
        <v>45826</v>
      </c>
      <c r="M164" s="2">
        <v>2677.89</v>
      </c>
      <c r="N164" s="3" t="s">
        <v>19</v>
      </c>
      <c r="O164" s="2" t="s">
        <v>461</v>
      </c>
    </row>
    <row r="165" spans="1:15" x14ac:dyDescent="0.35">
      <c r="A165" s="2" t="s">
        <v>462</v>
      </c>
      <c r="B165" s="2">
        <v>178</v>
      </c>
      <c r="C165" s="2" t="s">
        <v>16</v>
      </c>
      <c r="D165" s="2">
        <v>968</v>
      </c>
      <c r="E165" s="2">
        <v>20020</v>
      </c>
      <c r="G165" s="2">
        <v>608</v>
      </c>
      <c r="H165" s="2" t="s">
        <v>463</v>
      </c>
      <c r="I165" s="2">
        <f>VLOOKUP(H165,[1]Customers!$A:$B,2,FALSE)</f>
        <v>3542</v>
      </c>
      <c r="J165" s="2">
        <v>45497</v>
      </c>
      <c r="K165" s="2" t="s">
        <v>464</v>
      </c>
      <c r="M165" s="2">
        <v>386.49</v>
      </c>
      <c r="N165" s="3" t="s">
        <v>19</v>
      </c>
    </row>
    <row r="166" spans="1:15" x14ac:dyDescent="0.35">
      <c r="A166" s="2" t="s">
        <v>465</v>
      </c>
      <c r="B166" s="2">
        <v>179</v>
      </c>
      <c r="C166" s="2" t="s">
        <v>16</v>
      </c>
      <c r="D166" s="2">
        <v>968</v>
      </c>
      <c r="E166" s="2">
        <v>20020</v>
      </c>
      <c r="G166" s="2">
        <v>490</v>
      </c>
      <c r="H166" s="2" t="s">
        <v>466</v>
      </c>
      <c r="I166" s="2">
        <v>3674</v>
      </c>
      <c r="J166" s="2">
        <v>45615</v>
      </c>
      <c r="K166" s="2" t="s">
        <v>467</v>
      </c>
      <c r="M166" s="2">
        <v>-2149.59</v>
      </c>
      <c r="N166" s="3" t="s">
        <v>19</v>
      </c>
    </row>
    <row r="167" spans="1:15" x14ac:dyDescent="0.35">
      <c r="A167" s="2" t="s">
        <v>468</v>
      </c>
      <c r="B167" s="2">
        <v>180</v>
      </c>
      <c r="C167" s="2" t="s">
        <v>16</v>
      </c>
      <c r="D167" s="2">
        <v>968</v>
      </c>
      <c r="E167" s="2">
        <v>20020</v>
      </c>
      <c r="G167" s="2">
        <v>509</v>
      </c>
      <c r="H167" s="2" t="s">
        <v>466</v>
      </c>
      <c r="I167" s="2">
        <v>3674</v>
      </c>
      <c r="J167" s="2">
        <v>45596</v>
      </c>
      <c r="K167" s="2" t="s">
        <v>467</v>
      </c>
      <c r="M167" s="2">
        <v>2149.59</v>
      </c>
      <c r="N167" s="3" t="s">
        <v>19</v>
      </c>
    </row>
    <row r="168" spans="1:15" x14ac:dyDescent="0.35">
      <c r="A168" s="2" t="s">
        <v>469</v>
      </c>
      <c r="B168" s="2">
        <v>181</v>
      </c>
      <c r="C168" s="2" t="s">
        <v>16</v>
      </c>
      <c r="D168" s="2">
        <v>968</v>
      </c>
      <c r="E168" s="2">
        <v>20020</v>
      </c>
      <c r="G168" s="2">
        <v>585</v>
      </c>
      <c r="H168" s="2" t="s">
        <v>470</v>
      </c>
      <c r="I168" s="2">
        <f>VLOOKUP(H168,[1]Customers!$A:$B,2,FALSE)</f>
        <v>583</v>
      </c>
      <c r="J168" s="2">
        <v>45520</v>
      </c>
      <c r="K168" s="2" t="s">
        <v>471</v>
      </c>
      <c r="M168" s="2">
        <v>1415.3</v>
      </c>
      <c r="N168" s="3" t="s">
        <v>19</v>
      </c>
      <c r="O168" s="2">
        <v>6011</v>
      </c>
    </row>
    <row r="169" spans="1:15" x14ac:dyDescent="0.35">
      <c r="A169" s="2" t="s">
        <v>472</v>
      </c>
      <c r="B169" s="2">
        <v>182</v>
      </c>
      <c r="C169" s="2" t="s">
        <v>16</v>
      </c>
      <c r="D169" s="2">
        <v>968</v>
      </c>
      <c r="E169" s="2">
        <v>20020</v>
      </c>
      <c r="G169" s="2">
        <v>643</v>
      </c>
      <c r="H169" s="2" t="s">
        <v>470</v>
      </c>
      <c r="I169" s="2">
        <f>VLOOKUP(H169,[1]Customers!$A:$B,2,FALSE)</f>
        <v>583</v>
      </c>
      <c r="J169" s="2">
        <v>45462</v>
      </c>
      <c r="K169" s="2" t="s">
        <v>473</v>
      </c>
      <c r="M169" s="2">
        <v>-1055.98</v>
      </c>
      <c r="N169" s="3" t="s">
        <v>19</v>
      </c>
      <c r="O169" s="2">
        <v>36163</v>
      </c>
    </row>
    <row r="170" spans="1:15" x14ac:dyDescent="0.35">
      <c r="A170" s="2" t="s">
        <v>474</v>
      </c>
      <c r="B170" s="2">
        <v>183</v>
      </c>
      <c r="C170" s="2" t="s">
        <v>16</v>
      </c>
      <c r="D170" s="2">
        <v>968</v>
      </c>
      <c r="E170" s="2">
        <v>20020</v>
      </c>
      <c r="G170" s="2">
        <v>288</v>
      </c>
      <c r="H170" s="2" t="s">
        <v>475</v>
      </c>
      <c r="I170" s="2">
        <f>VLOOKUP(H170,[1]Customers!$A:$B,2,FALSE)</f>
        <v>2524</v>
      </c>
      <c r="J170" s="2">
        <v>45817</v>
      </c>
      <c r="K170" s="2" t="s">
        <v>476</v>
      </c>
      <c r="M170" s="2">
        <v>2055.21</v>
      </c>
      <c r="N170" s="3" t="s">
        <v>19</v>
      </c>
    </row>
    <row r="171" spans="1:15" x14ac:dyDescent="0.35">
      <c r="A171" s="2" t="s">
        <v>477</v>
      </c>
      <c r="B171" s="2">
        <v>184</v>
      </c>
      <c r="C171" s="2" t="s">
        <v>16</v>
      </c>
      <c r="D171" s="2">
        <v>968</v>
      </c>
      <c r="E171" s="2">
        <v>20020</v>
      </c>
      <c r="G171" s="2">
        <v>875</v>
      </c>
      <c r="H171" s="2" t="s">
        <v>478</v>
      </c>
      <c r="I171" s="2">
        <f>VLOOKUP(H171,[1]Customers!$A:$B,2,FALSE)</f>
        <v>3355</v>
      </c>
      <c r="J171" s="2">
        <v>45230</v>
      </c>
      <c r="K171" s="2" t="s">
        <v>479</v>
      </c>
      <c r="M171" s="2">
        <v>605.76</v>
      </c>
      <c r="N171" s="3" t="s">
        <v>19</v>
      </c>
    </row>
    <row r="172" spans="1:15" x14ac:dyDescent="0.35">
      <c r="A172" s="2" t="s">
        <v>480</v>
      </c>
      <c r="B172" s="2">
        <v>185</v>
      </c>
      <c r="C172" s="2" t="s">
        <v>16</v>
      </c>
      <c r="D172" s="2">
        <v>968</v>
      </c>
      <c r="E172" s="2">
        <v>20020</v>
      </c>
      <c r="G172" s="2">
        <v>875</v>
      </c>
      <c r="H172" s="2" t="s">
        <v>478</v>
      </c>
      <c r="I172" s="2">
        <f>VLOOKUP(H172,[1]Customers!$A:$B,2,FALSE)</f>
        <v>3355</v>
      </c>
      <c r="J172" s="2">
        <v>45230</v>
      </c>
      <c r="K172" s="2" t="s">
        <v>481</v>
      </c>
      <c r="M172" s="2">
        <v>824.27</v>
      </c>
      <c r="N172" s="3" t="s">
        <v>19</v>
      </c>
    </row>
    <row r="173" spans="1:15" x14ac:dyDescent="0.35">
      <c r="A173" s="2" t="s">
        <v>482</v>
      </c>
      <c r="B173" s="2">
        <v>186</v>
      </c>
      <c r="C173" s="2" t="s">
        <v>16</v>
      </c>
      <c r="D173" s="2">
        <v>968</v>
      </c>
      <c r="E173" s="2">
        <v>20020</v>
      </c>
      <c r="G173" s="2">
        <v>762</v>
      </c>
      <c r="H173" s="2" t="s">
        <v>478</v>
      </c>
      <c r="I173" s="2">
        <f>VLOOKUP(H173,[1]Customers!$A:$B,2,FALSE)</f>
        <v>3355</v>
      </c>
      <c r="J173" s="2">
        <v>45343</v>
      </c>
      <c r="M173" s="2">
        <v>2105.7600000000002</v>
      </c>
      <c r="N173" s="3" t="s">
        <v>19</v>
      </c>
      <c r="O173" s="2">
        <v>35219</v>
      </c>
    </row>
    <row r="174" spans="1:15" x14ac:dyDescent="0.35">
      <c r="A174" s="2" t="s">
        <v>483</v>
      </c>
      <c r="B174" s="2">
        <v>187</v>
      </c>
      <c r="C174" s="2" t="s">
        <v>16</v>
      </c>
      <c r="D174" s="2">
        <v>968</v>
      </c>
      <c r="E174" s="2">
        <v>20020</v>
      </c>
      <c r="G174" s="2">
        <v>875</v>
      </c>
      <c r="H174" s="2" t="s">
        <v>478</v>
      </c>
      <c r="I174" s="2">
        <f>VLOOKUP(H174,[1]Customers!$A:$B,2,FALSE)</f>
        <v>3355</v>
      </c>
      <c r="J174" s="2">
        <v>45230</v>
      </c>
      <c r="K174" s="2" t="s">
        <v>484</v>
      </c>
      <c r="M174" s="2">
        <v>8123.69</v>
      </c>
      <c r="N174" s="3" t="s">
        <v>19</v>
      </c>
    </row>
    <row r="175" spans="1:15" x14ac:dyDescent="0.35">
      <c r="A175" s="2" t="s">
        <v>485</v>
      </c>
      <c r="B175" s="2">
        <v>188</v>
      </c>
      <c r="C175" s="2" t="s">
        <v>16</v>
      </c>
      <c r="D175" s="2">
        <v>968</v>
      </c>
      <c r="E175" s="2">
        <v>20020</v>
      </c>
      <c r="G175" s="2">
        <v>875</v>
      </c>
      <c r="H175" s="2" t="s">
        <v>478</v>
      </c>
      <c r="I175" s="2">
        <f>VLOOKUP(H175,[1]Customers!$A:$B,2,FALSE)</f>
        <v>3355</v>
      </c>
      <c r="J175" s="2">
        <v>45230</v>
      </c>
      <c r="K175" s="2" t="s">
        <v>486</v>
      </c>
      <c r="M175" s="2">
        <v>7953.31</v>
      </c>
      <c r="N175" s="3" t="s">
        <v>19</v>
      </c>
    </row>
    <row r="176" spans="1:15" x14ac:dyDescent="0.35">
      <c r="A176" s="2" t="s">
        <v>487</v>
      </c>
      <c r="B176" s="2">
        <v>189</v>
      </c>
      <c r="C176" s="2" t="s">
        <v>16</v>
      </c>
      <c r="D176" s="2">
        <v>968</v>
      </c>
      <c r="E176" s="2">
        <v>20020</v>
      </c>
      <c r="G176" s="2">
        <v>875</v>
      </c>
      <c r="H176" s="2" t="s">
        <v>478</v>
      </c>
      <c r="I176" s="2">
        <f>VLOOKUP(H176,[1]Customers!$A:$B,2,FALSE)</f>
        <v>3355</v>
      </c>
      <c r="J176" s="2">
        <v>45230</v>
      </c>
      <c r="K176" s="2" t="s">
        <v>488</v>
      </c>
      <c r="M176" s="2">
        <v>2550.1</v>
      </c>
      <c r="N176" s="3" t="s">
        <v>19</v>
      </c>
    </row>
    <row r="177" spans="1:15" x14ac:dyDescent="0.35">
      <c r="A177" s="2" t="s">
        <v>489</v>
      </c>
      <c r="B177" s="2">
        <v>190</v>
      </c>
      <c r="C177" s="2" t="s">
        <v>16</v>
      </c>
      <c r="D177" s="2">
        <v>968</v>
      </c>
      <c r="E177" s="2">
        <v>20020</v>
      </c>
      <c r="G177" s="2">
        <v>795</v>
      </c>
      <c r="H177" s="2" t="s">
        <v>490</v>
      </c>
      <c r="I177" s="2">
        <f>VLOOKUP(H177,[1]Customers!$A:$B,2,FALSE)</f>
        <v>3630</v>
      </c>
      <c r="J177" s="2">
        <v>45310</v>
      </c>
      <c r="K177" s="2" t="s">
        <v>491</v>
      </c>
      <c r="M177" s="2">
        <v>11923</v>
      </c>
      <c r="N177" s="3" t="s">
        <v>19</v>
      </c>
      <c r="O177" s="2">
        <v>36064</v>
      </c>
    </row>
    <row r="178" spans="1:15" x14ac:dyDescent="0.35">
      <c r="A178" s="2" t="s">
        <v>492</v>
      </c>
      <c r="B178" s="2">
        <v>191</v>
      </c>
      <c r="C178" s="2" t="s">
        <v>16</v>
      </c>
      <c r="D178" s="2">
        <v>968</v>
      </c>
      <c r="E178" s="2">
        <v>20020</v>
      </c>
      <c r="G178" s="2">
        <v>372</v>
      </c>
      <c r="H178" s="2" t="s">
        <v>493</v>
      </c>
      <c r="I178" s="2">
        <f>VLOOKUP(H178,[1]Customers!$A:$B,2,FALSE)</f>
        <v>2188</v>
      </c>
      <c r="J178" s="2">
        <v>45733</v>
      </c>
      <c r="K178" s="2" t="s">
        <v>494</v>
      </c>
      <c r="M178" s="2">
        <v>28946.81</v>
      </c>
      <c r="N178" s="3" t="s">
        <v>19</v>
      </c>
    </row>
    <row r="179" spans="1:15" x14ac:dyDescent="0.35">
      <c r="A179" s="2" t="s">
        <v>495</v>
      </c>
      <c r="B179" s="2">
        <v>192</v>
      </c>
      <c r="C179" s="2" t="s">
        <v>16</v>
      </c>
      <c r="D179" s="2">
        <v>968</v>
      </c>
      <c r="E179" s="2">
        <v>20020</v>
      </c>
      <c r="G179" s="2">
        <v>403</v>
      </c>
      <c r="H179" s="2" t="s">
        <v>496</v>
      </c>
      <c r="I179" s="2">
        <f>VLOOKUP(H179,[1]Customers!$A:$B,2,FALSE)</f>
        <v>2442</v>
      </c>
      <c r="J179" s="2">
        <v>45702</v>
      </c>
      <c r="K179" s="2" t="s">
        <v>497</v>
      </c>
      <c r="M179" s="2">
        <v>9207.4599999999991</v>
      </c>
      <c r="N179" s="3" t="s">
        <v>19</v>
      </c>
    </row>
    <row r="180" spans="1:15" x14ac:dyDescent="0.35">
      <c r="A180" s="2" t="s">
        <v>498</v>
      </c>
      <c r="B180" s="2">
        <v>193</v>
      </c>
      <c r="C180" s="2" t="s">
        <v>16</v>
      </c>
      <c r="D180" s="2">
        <v>968</v>
      </c>
      <c r="E180" s="2">
        <v>20020</v>
      </c>
      <c r="G180" s="2">
        <v>299</v>
      </c>
      <c r="H180" s="2" t="s">
        <v>496</v>
      </c>
      <c r="I180" s="2">
        <f>VLOOKUP(H180,[1]Customers!$A:$B,2,FALSE)</f>
        <v>2442</v>
      </c>
      <c r="J180" s="2">
        <v>45806</v>
      </c>
      <c r="K180" s="2" t="s">
        <v>499</v>
      </c>
      <c r="M180" s="2">
        <v>19840.41</v>
      </c>
      <c r="N180" s="3" t="s">
        <v>19</v>
      </c>
    </row>
    <row r="181" spans="1:15" x14ac:dyDescent="0.35">
      <c r="A181" s="2" t="s">
        <v>500</v>
      </c>
      <c r="B181" s="2">
        <v>194</v>
      </c>
      <c r="C181" s="2" t="s">
        <v>16</v>
      </c>
      <c r="D181" s="2">
        <v>968</v>
      </c>
      <c r="E181" s="2">
        <v>20020</v>
      </c>
      <c r="G181" s="2">
        <v>299</v>
      </c>
      <c r="H181" s="2" t="s">
        <v>496</v>
      </c>
      <c r="I181" s="2">
        <f>VLOOKUP(H181,[1]Customers!$A:$B,2,FALSE)</f>
        <v>2442</v>
      </c>
      <c r="J181" s="2">
        <v>45806</v>
      </c>
      <c r="K181" s="2" t="s">
        <v>501</v>
      </c>
      <c r="M181" s="2">
        <v>2287.48</v>
      </c>
      <c r="N181" s="3" t="s">
        <v>19</v>
      </c>
    </row>
    <row r="182" spans="1:15" x14ac:dyDescent="0.35">
      <c r="A182" s="2" t="s">
        <v>502</v>
      </c>
      <c r="B182" s="2">
        <v>195</v>
      </c>
      <c r="C182" s="2" t="s">
        <v>16</v>
      </c>
      <c r="D182" s="2">
        <v>968</v>
      </c>
      <c r="E182" s="2">
        <v>20020</v>
      </c>
      <c r="G182" s="2">
        <v>379</v>
      </c>
      <c r="H182" s="2" t="s">
        <v>503</v>
      </c>
      <c r="I182" s="2">
        <f>VLOOKUP(H182,[1]Customers!$A:$B,2,FALSE)</f>
        <v>2171</v>
      </c>
      <c r="J182" s="2">
        <v>45726</v>
      </c>
      <c r="K182" s="2" t="s">
        <v>504</v>
      </c>
      <c r="M182" s="2">
        <v>365000</v>
      </c>
      <c r="N182" s="3" t="s">
        <v>19</v>
      </c>
    </row>
    <row r="183" spans="1:15" x14ac:dyDescent="0.35">
      <c r="A183" s="2" t="s">
        <v>505</v>
      </c>
      <c r="B183" s="2">
        <v>196</v>
      </c>
      <c r="C183" s="2" t="s">
        <v>16</v>
      </c>
      <c r="D183" s="2">
        <v>968</v>
      </c>
      <c r="E183" s="2">
        <v>20020</v>
      </c>
      <c r="G183" s="2">
        <v>616</v>
      </c>
      <c r="H183" s="2" t="s">
        <v>506</v>
      </c>
      <c r="I183" s="2">
        <f>VLOOKUP(H183,[1]Customers!$A:$B,2,FALSE)</f>
        <v>3357</v>
      </c>
      <c r="J183" s="2">
        <v>45489</v>
      </c>
      <c r="K183" s="2" t="s">
        <v>507</v>
      </c>
      <c r="M183" s="2">
        <v>110519.67999999999</v>
      </c>
      <c r="N183" s="3" t="s">
        <v>19</v>
      </c>
    </row>
    <row r="184" spans="1:15" x14ac:dyDescent="0.35">
      <c r="A184" s="2" t="s">
        <v>508</v>
      </c>
      <c r="B184" s="2">
        <v>197</v>
      </c>
      <c r="C184" s="2" t="s">
        <v>16</v>
      </c>
      <c r="D184" s="2">
        <v>968</v>
      </c>
      <c r="E184" s="2">
        <v>20020</v>
      </c>
      <c r="G184" s="2">
        <v>837</v>
      </c>
      <c r="H184" s="2" t="s">
        <v>509</v>
      </c>
      <c r="I184" s="2">
        <f>VLOOKUP(H184,[1]Customers!$A:$B,2,FALSE)</f>
        <v>3358</v>
      </c>
      <c r="J184" s="2">
        <v>45268</v>
      </c>
      <c r="K184" s="2" t="s">
        <v>510</v>
      </c>
      <c r="M184" s="2">
        <v>16125.28</v>
      </c>
      <c r="N184" s="3" t="s">
        <v>19</v>
      </c>
    </row>
    <row r="185" spans="1:15" x14ac:dyDescent="0.35">
      <c r="A185" s="2" t="s">
        <v>511</v>
      </c>
      <c r="B185" s="2">
        <v>198</v>
      </c>
      <c r="C185" s="2" t="s">
        <v>16</v>
      </c>
      <c r="D185" s="2">
        <v>968</v>
      </c>
      <c r="E185" s="2">
        <v>20020</v>
      </c>
      <c r="G185" s="2">
        <v>837</v>
      </c>
      <c r="H185" s="2" t="s">
        <v>509</v>
      </c>
      <c r="I185" s="2">
        <f>VLOOKUP(H185,[1]Customers!$A:$B,2,FALSE)</f>
        <v>3358</v>
      </c>
      <c r="J185" s="2">
        <v>45268</v>
      </c>
      <c r="K185" s="2" t="s">
        <v>512</v>
      </c>
      <c r="M185" s="2">
        <v>4012.41</v>
      </c>
      <c r="N185" s="3" t="s">
        <v>19</v>
      </c>
    </row>
    <row r="186" spans="1:15" x14ac:dyDescent="0.35">
      <c r="A186" s="2" t="s">
        <v>513</v>
      </c>
      <c r="B186" s="2">
        <v>199</v>
      </c>
      <c r="C186" s="2" t="s">
        <v>16</v>
      </c>
      <c r="D186" s="2">
        <v>968</v>
      </c>
      <c r="E186" s="2">
        <v>20020</v>
      </c>
      <c r="G186" s="2">
        <v>837</v>
      </c>
      <c r="H186" s="2" t="s">
        <v>509</v>
      </c>
      <c r="I186" s="2">
        <f>VLOOKUP(H186,[1]Customers!$A:$B,2,FALSE)</f>
        <v>3358</v>
      </c>
      <c r="J186" s="2">
        <v>45268</v>
      </c>
      <c r="K186" s="2" t="s">
        <v>514</v>
      </c>
      <c r="M186" s="2">
        <v>4676.63</v>
      </c>
      <c r="N186" s="3" t="s">
        <v>19</v>
      </c>
    </row>
    <row r="187" spans="1:15" x14ac:dyDescent="0.35">
      <c r="A187" s="2" t="s">
        <v>515</v>
      </c>
      <c r="B187" s="2">
        <v>200</v>
      </c>
      <c r="C187" s="2" t="s">
        <v>16</v>
      </c>
      <c r="D187" s="2">
        <v>968</v>
      </c>
      <c r="E187" s="2">
        <v>20020</v>
      </c>
      <c r="G187" s="2">
        <v>336</v>
      </c>
      <c r="H187" s="2" t="s">
        <v>509</v>
      </c>
      <c r="I187" s="2">
        <f>VLOOKUP(H187,[1]Customers!$A:$B,2,FALSE)</f>
        <v>3358</v>
      </c>
      <c r="J187" s="2">
        <v>45769</v>
      </c>
      <c r="K187" s="2" t="s">
        <v>516</v>
      </c>
      <c r="M187" s="2">
        <v>16019.34</v>
      </c>
      <c r="N187" s="3" t="s">
        <v>19</v>
      </c>
    </row>
    <row r="188" spans="1:15" x14ac:dyDescent="0.35">
      <c r="A188" s="2" t="s">
        <v>517</v>
      </c>
      <c r="B188" s="2">
        <v>201</v>
      </c>
      <c r="C188" s="2" t="s">
        <v>16</v>
      </c>
      <c r="D188" s="2">
        <v>968</v>
      </c>
      <c r="E188" s="2">
        <v>20020</v>
      </c>
      <c r="G188" s="2">
        <v>561</v>
      </c>
      <c r="H188" s="2" t="s">
        <v>509</v>
      </c>
      <c r="I188" s="2">
        <f>VLOOKUP(H188,[1]Customers!$A:$B,2,FALSE)</f>
        <v>3358</v>
      </c>
      <c r="J188" s="2">
        <v>45544</v>
      </c>
      <c r="K188" s="2" t="s">
        <v>518</v>
      </c>
      <c r="M188" s="2">
        <v>125992.99</v>
      </c>
      <c r="N188" s="3" t="s">
        <v>19</v>
      </c>
    </row>
    <row r="189" spans="1:15" x14ac:dyDescent="0.35">
      <c r="A189" s="2" t="s">
        <v>519</v>
      </c>
      <c r="B189" s="2">
        <v>202</v>
      </c>
      <c r="C189" s="2" t="s">
        <v>16</v>
      </c>
      <c r="D189" s="2">
        <v>968</v>
      </c>
      <c r="E189" s="2">
        <v>20020</v>
      </c>
      <c r="G189" s="2">
        <v>837</v>
      </c>
      <c r="H189" s="2" t="s">
        <v>509</v>
      </c>
      <c r="I189" s="2">
        <f>VLOOKUP(H189,[1]Customers!$A:$B,2,FALSE)</f>
        <v>3358</v>
      </c>
      <c r="J189" s="2">
        <v>45268</v>
      </c>
      <c r="K189" s="2" t="s">
        <v>520</v>
      </c>
      <c r="M189" s="2">
        <v>7844.17</v>
      </c>
      <c r="N189" s="3" t="s">
        <v>19</v>
      </c>
    </row>
    <row r="190" spans="1:15" x14ac:dyDescent="0.35">
      <c r="A190" s="2" t="s">
        <v>521</v>
      </c>
      <c r="B190" s="2">
        <v>203</v>
      </c>
      <c r="C190" s="2" t="s">
        <v>16</v>
      </c>
      <c r="D190" s="2">
        <v>968</v>
      </c>
      <c r="E190" s="2">
        <v>20020</v>
      </c>
      <c r="G190" s="2">
        <v>837</v>
      </c>
      <c r="H190" s="2" t="s">
        <v>509</v>
      </c>
      <c r="I190" s="2">
        <f>VLOOKUP(H190,[1]Customers!$A:$B,2,FALSE)</f>
        <v>3358</v>
      </c>
      <c r="J190" s="2">
        <v>45268</v>
      </c>
      <c r="K190" s="2" t="s">
        <v>522</v>
      </c>
      <c r="M190" s="2">
        <v>54396.65</v>
      </c>
      <c r="N190" s="3" t="s">
        <v>19</v>
      </c>
    </row>
    <row r="191" spans="1:15" x14ac:dyDescent="0.35">
      <c r="A191" s="2" t="s">
        <v>523</v>
      </c>
      <c r="B191" s="2">
        <v>204</v>
      </c>
      <c r="C191" s="2" t="s">
        <v>16</v>
      </c>
      <c r="D191" s="2">
        <v>968</v>
      </c>
      <c r="E191" s="2">
        <v>20020</v>
      </c>
      <c r="G191" s="2">
        <v>837</v>
      </c>
      <c r="H191" s="2" t="s">
        <v>509</v>
      </c>
      <c r="I191" s="2">
        <f>VLOOKUP(H191,[1]Customers!$A:$B,2,FALSE)</f>
        <v>3358</v>
      </c>
      <c r="J191" s="2">
        <v>45268</v>
      </c>
      <c r="K191" s="2" t="s">
        <v>524</v>
      </c>
      <c r="M191" s="2">
        <v>925.75</v>
      </c>
      <c r="N191" s="3" t="s">
        <v>19</v>
      </c>
    </row>
    <row r="192" spans="1:15" x14ac:dyDescent="0.35">
      <c r="A192" s="2" t="s">
        <v>525</v>
      </c>
      <c r="B192" s="2">
        <v>205</v>
      </c>
      <c r="C192" s="2" t="s">
        <v>16</v>
      </c>
      <c r="D192" s="2">
        <v>968</v>
      </c>
      <c r="E192" s="2">
        <v>20020</v>
      </c>
      <c r="G192" s="2">
        <v>501</v>
      </c>
      <c r="H192" s="2" t="s">
        <v>509</v>
      </c>
      <c r="I192" s="2">
        <f>VLOOKUP(H192,[1]Customers!$A:$B,2,FALSE)</f>
        <v>3358</v>
      </c>
      <c r="J192" s="2">
        <v>45604</v>
      </c>
      <c r="K192" s="2" t="s">
        <v>526</v>
      </c>
      <c r="M192" s="2">
        <v>17687.73</v>
      </c>
      <c r="N192" s="3" t="s">
        <v>19</v>
      </c>
    </row>
    <row r="193" spans="1:15" x14ac:dyDescent="0.35">
      <c r="A193" s="2" t="s">
        <v>527</v>
      </c>
      <c r="B193" s="2">
        <v>206</v>
      </c>
      <c r="C193" s="2" t="s">
        <v>16</v>
      </c>
      <c r="D193" s="2">
        <v>968</v>
      </c>
      <c r="E193" s="2">
        <v>20020</v>
      </c>
      <c r="G193" s="2">
        <v>391</v>
      </c>
      <c r="H193" s="2" t="s">
        <v>509</v>
      </c>
      <c r="I193" s="2">
        <f>VLOOKUP(H193,[1]Customers!$A:$B,2,FALSE)</f>
        <v>3358</v>
      </c>
      <c r="J193" s="2">
        <v>45714</v>
      </c>
      <c r="K193" s="2" t="s">
        <v>526</v>
      </c>
      <c r="M193" s="2">
        <v>55232.84</v>
      </c>
      <c r="N193" s="3" t="s">
        <v>19</v>
      </c>
    </row>
    <row r="194" spans="1:15" x14ac:dyDescent="0.35">
      <c r="A194" s="2" t="s">
        <v>528</v>
      </c>
      <c r="B194" s="2">
        <v>207</v>
      </c>
      <c r="C194" s="2" t="s">
        <v>16</v>
      </c>
      <c r="D194" s="2">
        <v>968</v>
      </c>
      <c r="E194" s="2">
        <v>20020</v>
      </c>
      <c r="G194" s="2">
        <v>1231</v>
      </c>
      <c r="H194" s="2" t="s">
        <v>529</v>
      </c>
      <c r="I194" s="2">
        <v>2328</v>
      </c>
      <c r="J194" s="2">
        <v>44874</v>
      </c>
      <c r="M194" s="2">
        <v>57014.8</v>
      </c>
      <c r="N194" s="3" t="s">
        <v>19</v>
      </c>
      <c r="O194" s="2">
        <v>33505</v>
      </c>
    </row>
    <row r="195" spans="1:15" x14ac:dyDescent="0.35">
      <c r="A195" s="2" t="s">
        <v>530</v>
      </c>
      <c r="B195" s="2">
        <v>208</v>
      </c>
      <c r="C195" s="2" t="s">
        <v>16</v>
      </c>
      <c r="D195" s="2">
        <v>968</v>
      </c>
      <c r="E195" s="2">
        <v>20020</v>
      </c>
      <c r="G195" s="2">
        <v>342</v>
      </c>
      <c r="H195" s="2" t="s">
        <v>531</v>
      </c>
      <c r="I195" s="2">
        <f>VLOOKUP(H195,[1]Customers!$A:$B,2,FALSE)</f>
        <v>2349</v>
      </c>
      <c r="J195" s="2">
        <v>45763</v>
      </c>
      <c r="K195" s="2" t="s">
        <v>532</v>
      </c>
      <c r="M195" s="2">
        <v>5158.84</v>
      </c>
      <c r="N195" s="3" t="s">
        <v>19</v>
      </c>
    </row>
    <row r="196" spans="1:15" x14ac:dyDescent="0.35">
      <c r="A196" s="2" t="s">
        <v>533</v>
      </c>
      <c r="B196" s="2">
        <v>209</v>
      </c>
      <c r="C196" s="2" t="s">
        <v>16</v>
      </c>
      <c r="D196" s="2">
        <v>968</v>
      </c>
      <c r="E196" s="2">
        <v>20020</v>
      </c>
      <c r="G196" s="2">
        <v>756</v>
      </c>
      <c r="H196" s="2" t="s">
        <v>534</v>
      </c>
      <c r="I196" s="2">
        <f>VLOOKUP(H196,[1]Customers!$A:$B,2,FALSE)</f>
        <v>2678</v>
      </c>
      <c r="J196" s="2">
        <v>45349</v>
      </c>
      <c r="K196" s="2" t="s">
        <v>535</v>
      </c>
      <c r="M196" s="2">
        <v>176474.6</v>
      </c>
      <c r="N196" s="3" t="s">
        <v>19</v>
      </c>
      <c r="O196" s="2">
        <v>33564</v>
      </c>
    </row>
    <row r="197" spans="1:15" x14ac:dyDescent="0.35">
      <c r="A197" s="2" t="s">
        <v>536</v>
      </c>
      <c r="B197" s="2">
        <v>210</v>
      </c>
      <c r="C197" s="2" t="s">
        <v>16</v>
      </c>
      <c r="D197" s="2">
        <v>968</v>
      </c>
      <c r="E197" s="2">
        <v>20020</v>
      </c>
      <c r="G197" s="2">
        <v>887</v>
      </c>
      <c r="H197" s="2" t="s">
        <v>537</v>
      </c>
      <c r="I197" s="2">
        <f>VLOOKUP(H197,[1]Customers!$A:$B,2,FALSE)</f>
        <v>2618</v>
      </c>
      <c r="J197" s="2">
        <v>45218</v>
      </c>
      <c r="K197" s="2" t="s">
        <v>538</v>
      </c>
      <c r="M197" s="2">
        <v>976.22</v>
      </c>
      <c r="N197" s="3" t="s">
        <v>19</v>
      </c>
    </row>
    <row r="198" spans="1:15" x14ac:dyDescent="0.35">
      <c r="A198" s="2" t="s">
        <v>539</v>
      </c>
      <c r="B198" s="2">
        <v>211</v>
      </c>
      <c r="C198" s="2" t="s">
        <v>16</v>
      </c>
      <c r="D198" s="2">
        <v>968</v>
      </c>
      <c r="E198" s="2">
        <v>20020</v>
      </c>
      <c r="G198" s="2">
        <v>887</v>
      </c>
      <c r="H198" s="2" t="s">
        <v>537</v>
      </c>
      <c r="I198" s="2">
        <f>VLOOKUP(H198,[1]Customers!$A:$B,2,FALSE)</f>
        <v>2618</v>
      </c>
      <c r="J198" s="2">
        <v>45218</v>
      </c>
      <c r="K198" s="2" t="s">
        <v>540</v>
      </c>
      <c r="M198" s="2">
        <v>2367.3000000000002</v>
      </c>
      <c r="N198" s="3" t="s">
        <v>19</v>
      </c>
    </row>
    <row r="199" spans="1:15" x14ac:dyDescent="0.35">
      <c r="A199" s="2" t="s">
        <v>541</v>
      </c>
      <c r="B199" s="2">
        <v>212</v>
      </c>
      <c r="C199" s="2" t="s">
        <v>16</v>
      </c>
      <c r="D199" s="2">
        <v>968</v>
      </c>
      <c r="E199" s="2">
        <v>20020</v>
      </c>
      <c r="G199" s="2">
        <v>887</v>
      </c>
      <c r="H199" s="2" t="s">
        <v>537</v>
      </c>
      <c r="I199" s="2">
        <f>VLOOKUP(H199,[1]Customers!$A:$B,2,FALSE)</f>
        <v>2618</v>
      </c>
      <c r="J199" s="2">
        <v>45218</v>
      </c>
      <c r="K199" s="2" t="s">
        <v>542</v>
      </c>
      <c r="M199" s="2">
        <v>1027.0999999999999</v>
      </c>
      <c r="N199" s="3" t="s">
        <v>19</v>
      </c>
    </row>
    <row r="200" spans="1:15" x14ac:dyDescent="0.35">
      <c r="A200" s="2" t="s">
        <v>543</v>
      </c>
      <c r="B200" s="2">
        <v>213</v>
      </c>
      <c r="C200" s="2" t="s">
        <v>16</v>
      </c>
      <c r="D200" s="2">
        <v>968</v>
      </c>
      <c r="E200" s="2">
        <v>20020</v>
      </c>
      <c r="G200" s="2">
        <v>498</v>
      </c>
      <c r="H200" s="2" t="s">
        <v>544</v>
      </c>
      <c r="I200" s="2">
        <f>VLOOKUP(H200,[1]Customers!$A:$B,2,FALSE)</f>
        <v>3360</v>
      </c>
      <c r="J200" s="2">
        <v>45607</v>
      </c>
      <c r="M200" s="2">
        <v>10742.29</v>
      </c>
      <c r="N200" s="3" t="s">
        <v>19</v>
      </c>
    </row>
    <row r="201" spans="1:15" x14ac:dyDescent="0.35">
      <c r="A201" s="2" t="s">
        <v>545</v>
      </c>
      <c r="B201" s="2">
        <v>214</v>
      </c>
      <c r="C201" s="2" t="s">
        <v>16</v>
      </c>
      <c r="D201" s="2">
        <v>968</v>
      </c>
      <c r="E201" s="2">
        <v>20020</v>
      </c>
      <c r="G201" s="2">
        <v>621</v>
      </c>
      <c r="H201" s="2" t="s">
        <v>544</v>
      </c>
      <c r="I201" s="2">
        <f>VLOOKUP(H201,[1]Customers!$A:$B,2,FALSE)</f>
        <v>3360</v>
      </c>
      <c r="J201" s="2">
        <v>45484</v>
      </c>
      <c r="M201" s="2">
        <v>22989.96</v>
      </c>
      <c r="N201" s="3" t="s">
        <v>19</v>
      </c>
    </row>
    <row r="202" spans="1:15" x14ac:dyDescent="0.35">
      <c r="A202" s="2" t="s">
        <v>546</v>
      </c>
      <c r="B202" s="2">
        <v>215</v>
      </c>
      <c r="C202" s="2" t="s">
        <v>16</v>
      </c>
      <c r="D202" s="2">
        <v>968</v>
      </c>
      <c r="E202" s="2">
        <v>20020</v>
      </c>
      <c r="G202" s="2">
        <v>1337</v>
      </c>
      <c r="H202" s="2" t="s">
        <v>547</v>
      </c>
      <c r="I202" s="2">
        <f>VLOOKUP(H202,[1]Customers!$A:$B,2,FALSE)</f>
        <v>3362</v>
      </c>
      <c r="J202" s="2">
        <v>44768</v>
      </c>
      <c r="K202" s="2" t="s">
        <v>548</v>
      </c>
      <c r="M202" s="2">
        <v>3278.72</v>
      </c>
      <c r="N202" s="3" t="s">
        <v>19</v>
      </c>
    </row>
    <row r="203" spans="1:15" x14ac:dyDescent="0.35">
      <c r="A203" s="2" t="s">
        <v>549</v>
      </c>
      <c r="B203" s="2">
        <v>216</v>
      </c>
      <c r="C203" s="2" t="s">
        <v>16</v>
      </c>
      <c r="D203" s="2">
        <v>968</v>
      </c>
      <c r="E203" s="2">
        <v>20020</v>
      </c>
      <c r="G203" s="2">
        <v>1155</v>
      </c>
      <c r="H203" s="2" t="s">
        <v>547</v>
      </c>
      <c r="I203" s="2">
        <f>VLOOKUP(H203,[1]Customers!$A:$B,2,FALSE)</f>
        <v>3362</v>
      </c>
      <c r="J203" s="2">
        <v>44950</v>
      </c>
      <c r="K203" s="2" t="s">
        <v>550</v>
      </c>
      <c r="M203" s="2">
        <v>7657.62</v>
      </c>
      <c r="N203" s="3" t="s">
        <v>19</v>
      </c>
    </row>
    <row r="204" spans="1:15" x14ac:dyDescent="0.35">
      <c r="A204" s="2" t="s">
        <v>551</v>
      </c>
      <c r="B204" s="2">
        <v>217</v>
      </c>
      <c r="C204" s="2" t="s">
        <v>16</v>
      </c>
      <c r="D204" s="2">
        <v>968</v>
      </c>
      <c r="E204" s="2">
        <v>20020</v>
      </c>
      <c r="G204" s="2">
        <v>1155</v>
      </c>
      <c r="H204" s="2" t="s">
        <v>547</v>
      </c>
      <c r="I204" s="2">
        <f>VLOOKUP(H204,[1]Customers!$A:$B,2,FALSE)</f>
        <v>3362</v>
      </c>
      <c r="J204" s="2">
        <v>44950</v>
      </c>
      <c r="K204" s="2" t="s">
        <v>552</v>
      </c>
      <c r="M204" s="2">
        <v>1380.42</v>
      </c>
      <c r="N204" s="3" t="s">
        <v>19</v>
      </c>
    </row>
    <row r="205" spans="1:15" x14ac:dyDescent="0.35">
      <c r="A205" s="2" t="s">
        <v>553</v>
      </c>
      <c r="B205" s="2">
        <v>218</v>
      </c>
      <c r="C205" s="2" t="s">
        <v>16</v>
      </c>
      <c r="D205" s="2">
        <v>968</v>
      </c>
      <c r="E205" s="2">
        <v>20020</v>
      </c>
      <c r="G205" s="2">
        <v>1155</v>
      </c>
      <c r="H205" s="2" t="s">
        <v>547</v>
      </c>
      <c r="I205" s="2">
        <f>VLOOKUP(H205,[1]Customers!$A:$B,2,FALSE)</f>
        <v>3362</v>
      </c>
      <c r="J205" s="2">
        <v>44950</v>
      </c>
      <c r="K205" s="2" t="s">
        <v>554</v>
      </c>
      <c r="M205" s="2">
        <v>5344.63</v>
      </c>
      <c r="N205" s="3" t="s">
        <v>19</v>
      </c>
    </row>
    <row r="206" spans="1:15" x14ac:dyDescent="0.35">
      <c r="A206" s="2" t="s">
        <v>555</v>
      </c>
      <c r="B206" s="2">
        <v>219</v>
      </c>
      <c r="C206" s="2" t="s">
        <v>16</v>
      </c>
      <c r="D206" s="2">
        <v>968</v>
      </c>
      <c r="E206" s="2">
        <v>20020</v>
      </c>
      <c r="G206" s="2">
        <v>1337</v>
      </c>
      <c r="H206" s="2" t="s">
        <v>547</v>
      </c>
      <c r="I206" s="2">
        <f>VLOOKUP(H206,[1]Customers!$A:$B,2,FALSE)</f>
        <v>3362</v>
      </c>
      <c r="J206" s="2">
        <v>44768</v>
      </c>
      <c r="K206" s="2" t="s">
        <v>556</v>
      </c>
      <c r="M206" s="2">
        <v>340</v>
      </c>
      <c r="N206" s="3" t="s">
        <v>19</v>
      </c>
    </row>
    <row r="207" spans="1:15" x14ac:dyDescent="0.35">
      <c r="A207" s="2" t="s">
        <v>557</v>
      </c>
      <c r="B207" s="2">
        <v>220</v>
      </c>
      <c r="C207" s="2" t="s">
        <v>16</v>
      </c>
      <c r="D207" s="2">
        <v>968</v>
      </c>
      <c r="E207" s="2">
        <v>20020</v>
      </c>
      <c r="G207" s="2">
        <v>1155</v>
      </c>
      <c r="H207" s="2" t="s">
        <v>547</v>
      </c>
      <c r="I207" s="2">
        <f>VLOOKUP(H207,[1]Customers!$A:$B,2,FALSE)</f>
        <v>3362</v>
      </c>
      <c r="J207" s="2">
        <v>44950</v>
      </c>
      <c r="K207" s="2" t="s">
        <v>558</v>
      </c>
      <c r="M207" s="2">
        <v>6819.94</v>
      </c>
      <c r="N207" s="3" t="s">
        <v>19</v>
      </c>
    </row>
    <row r="208" spans="1:15" x14ac:dyDescent="0.35">
      <c r="A208" s="2" t="s">
        <v>559</v>
      </c>
      <c r="B208" s="2">
        <v>221</v>
      </c>
      <c r="C208" s="2" t="s">
        <v>16</v>
      </c>
      <c r="D208" s="2">
        <v>968</v>
      </c>
      <c r="E208" s="2">
        <v>20020</v>
      </c>
      <c r="G208" s="2">
        <v>1337</v>
      </c>
      <c r="H208" s="2" t="s">
        <v>547</v>
      </c>
      <c r="I208" s="2">
        <f>VLOOKUP(H208,[1]Customers!$A:$B,2,FALSE)</f>
        <v>3362</v>
      </c>
      <c r="J208" s="2">
        <v>44768</v>
      </c>
      <c r="K208" s="2" t="s">
        <v>560</v>
      </c>
      <c r="M208" s="2">
        <v>5788.39</v>
      </c>
      <c r="N208" s="3" t="s">
        <v>19</v>
      </c>
    </row>
    <row r="209" spans="1:15" x14ac:dyDescent="0.35">
      <c r="A209" s="2" t="s">
        <v>561</v>
      </c>
      <c r="B209" s="2">
        <v>222</v>
      </c>
      <c r="C209" s="2" t="s">
        <v>16</v>
      </c>
      <c r="D209" s="2">
        <v>968</v>
      </c>
      <c r="E209" s="2">
        <v>20020</v>
      </c>
      <c r="G209" s="2">
        <v>1155</v>
      </c>
      <c r="H209" s="2" t="s">
        <v>547</v>
      </c>
      <c r="I209" s="2">
        <f>VLOOKUP(H209,[1]Customers!$A:$B,2,FALSE)</f>
        <v>3362</v>
      </c>
      <c r="J209" s="2">
        <v>44950</v>
      </c>
      <c r="K209" s="2" t="s">
        <v>556</v>
      </c>
      <c r="M209" s="2">
        <v>18969.36</v>
      </c>
      <c r="N209" s="3" t="s">
        <v>19</v>
      </c>
    </row>
    <row r="210" spans="1:15" x14ac:dyDescent="0.35">
      <c r="A210" s="2" t="s">
        <v>562</v>
      </c>
      <c r="B210" s="2">
        <v>223</v>
      </c>
      <c r="C210" s="2" t="s">
        <v>16</v>
      </c>
      <c r="D210" s="2">
        <v>968</v>
      </c>
      <c r="E210" s="2">
        <v>20020</v>
      </c>
      <c r="G210" s="2">
        <v>1155</v>
      </c>
      <c r="H210" s="2" t="s">
        <v>547</v>
      </c>
      <c r="I210" s="2">
        <f>VLOOKUP(H210,[1]Customers!$A:$B,2,FALSE)</f>
        <v>3362</v>
      </c>
      <c r="J210" s="2">
        <v>44950</v>
      </c>
      <c r="K210" s="2" t="s">
        <v>560</v>
      </c>
      <c r="M210" s="2">
        <v>4210.8599999999997</v>
      </c>
      <c r="N210" s="3" t="s">
        <v>19</v>
      </c>
    </row>
    <row r="211" spans="1:15" ht="15" customHeight="1" x14ac:dyDescent="0.35">
      <c r="A211" s="2" t="s">
        <v>563</v>
      </c>
      <c r="B211" s="2">
        <v>224</v>
      </c>
      <c r="C211" s="2" t="s">
        <v>16</v>
      </c>
      <c r="D211" s="2">
        <v>968</v>
      </c>
      <c r="E211" s="2">
        <v>20020</v>
      </c>
      <c r="G211" s="2">
        <v>1337</v>
      </c>
      <c r="H211" s="2" t="s">
        <v>547</v>
      </c>
      <c r="I211" s="2">
        <f>VLOOKUP(H211,[1]Customers!$A:$B,2,FALSE)</f>
        <v>3362</v>
      </c>
      <c r="J211" s="2">
        <v>44768</v>
      </c>
      <c r="K211" s="2" t="s">
        <v>558</v>
      </c>
      <c r="M211" s="2">
        <v>9374.91</v>
      </c>
      <c r="N211" s="3" t="s">
        <v>19</v>
      </c>
    </row>
    <row r="212" spans="1:15" x14ac:dyDescent="0.35">
      <c r="A212" s="2" t="s">
        <v>564</v>
      </c>
      <c r="B212" s="2">
        <v>225</v>
      </c>
      <c r="C212" s="2" t="s">
        <v>16</v>
      </c>
      <c r="D212" s="2">
        <v>968</v>
      </c>
      <c r="E212" s="2">
        <v>20020</v>
      </c>
      <c r="G212" s="2">
        <v>1155</v>
      </c>
      <c r="H212" s="2" t="s">
        <v>547</v>
      </c>
      <c r="I212" s="2">
        <f>VLOOKUP(H212,[1]Customers!$A:$B,2,FALSE)</f>
        <v>3362</v>
      </c>
      <c r="J212" s="2">
        <v>44950</v>
      </c>
      <c r="K212" s="2" t="s">
        <v>565</v>
      </c>
      <c r="M212" s="2">
        <v>4196.33</v>
      </c>
      <c r="N212" s="3" t="s">
        <v>19</v>
      </c>
    </row>
    <row r="213" spans="1:15" x14ac:dyDescent="0.35">
      <c r="A213" s="2" t="s">
        <v>566</v>
      </c>
      <c r="B213" s="2">
        <v>226</v>
      </c>
      <c r="C213" s="2" t="s">
        <v>16</v>
      </c>
      <c r="D213" s="2">
        <v>968</v>
      </c>
      <c r="E213" s="2">
        <v>20020</v>
      </c>
      <c r="G213" s="2">
        <v>1337</v>
      </c>
      <c r="H213" s="2" t="s">
        <v>547</v>
      </c>
      <c r="I213" s="2">
        <f>VLOOKUP(H213,[1]Customers!$A:$B,2,FALSE)</f>
        <v>3362</v>
      </c>
      <c r="J213" s="2">
        <v>44768</v>
      </c>
      <c r="K213" s="2" t="s">
        <v>550</v>
      </c>
      <c r="M213" s="2">
        <v>256.45999999999998</v>
      </c>
      <c r="N213" s="3" t="s">
        <v>19</v>
      </c>
    </row>
    <row r="214" spans="1:15" x14ac:dyDescent="0.35">
      <c r="A214" s="2" t="s">
        <v>567</v>
      </c>
      <c r="B214" s="2">
        <v>227</v>
      </c>
      <c r="C214" s="2" t="s">
        <v>16</v>
      </c>
      <c r="D214" s="2">
        <v>968</v>
      </c>
      <c r="E214" s="2">
        <v>20020</v>
      </c>
      <c r="G214" s="2">
        <v>1337</v>
      </c>
      <c r="H214" s="2" t="s">
        <v>547</v>
      </c>
      <c r="I214" s="2">
        <f>VLOOKUP(H214,[1]Customers!$A:$B,2,FALSE)</f>
        <v>3362</v>
      </c>
      <c r="J214" s="2">
        <v>44768</v>
      </c>
      <c r="K214" s="2" t="s">
        <v>552</v>
      </c>
      <c r="M214" s="2">
        <v>1897.57</v>
      </c>
      <c r="N214" s="3" t="s">
        <v>19</v>
      </c>
    </row>
    <row r="215" spans="1:15" x14ac:dyDescent="0.35">
      <c r="A215" s="2" t="s">
        <v>568</v>
      </c>
      <c r="B215" s="2">
        <v>228</v>
      </c>
      <c r="C215" s="2" t="s">
        <v>16</v>
      </c>
      <c r="D215" s="2">
        <v>968</v>
      </c>
      <c r="E215" s="2">
        <v>20020</v>
      </c>
      <c r="G215" s="2">
        <v>1155</v>
      </c>
      <c r="H215" s="2" t="s">
        <v>547</v>
      </c>
      <c r="I215" s="2">
        <f>VLOOKUP(H215,[1]Customers!$A:$B,2,FALSE)</f>
        <v>3362</v>
      </c>
      <c r="J215" s="2">
        <v>44950</v>
      </c>
      <c r="K215" s="2" t="s">
        <v>569</v>
      </c>
      <c r="M215" s="2">
        <v>1853.27</v>
      </c>
      <c r="N215" s="3" t="s">
        <v>19</v>
      </c>
    </row>
    <row r="216" spans="1:15" x14ac:dyDescent="0.35">
      <c r="A216" s="2" t="s">
        <v>570</v>
      </c>
      <c r="B216" s="2">
        <v>229</v>
      </c>
      <c r="C216" s="2" t="s">
        <v>16</v>
      </c>
      <c r="D216" s="2">
        <v>968</v>
      </c>
      <c r="E216" s="2">
        <v>20020</v>
      </c>
      <c r="G216" s="2">
        <v>1155</v>
      </c>
      <c r="H216" s="2" t="s">
        <v>547</v>
      </c>
      <c r="I216" s="2">
        <f>VLOOKUP(H216,[1]Customers!$A:$B,2,FALSE)</f>
        <v>3362</v>
      </c>
      <c r="J216" s="2">
        <v>44950</v>
      </c>
      <c r="K216" s="2" t="s">
        <v>548</v>
      </c>
      <c r="M216" s="2">
        <v>2385.16</v>
      </c>
      <c r="N216" s="3" t="s">
        <v>19</v>
      </c>
    </row>
    <row r="217" spans="1:15" x14ac:dyDescent="0.35">
      <c r="A217" s="2" t="s">
        <v>571</v>
      </c>
      <c r="B217" s="2">
        <v>230</v>
      </c>
      <c r="C217" s="2" t="s">
        <v>16</v>
      </c>
      <c r="D217" s="2">
        <v>968</v>
      </c>
      <c r="E217" s="2">
        <v>20020</v>
      </c>
      <c r="G217" s="2">
        <v>1337</v>
      </c>
      <c r="H217" s="2" t="s">
        <v>547</v>
      </c>
      <c r="I217" s="2">
        <f>VLOOKUP(H217,[1]Customers!$A:$B,2,FALSE)</f>
        <v>3362</v>
      </c>
      <c r="J217" s="2">
        <v>44768</v>
      </c>
      <c r="K217" s="2" t="s">
        <v>569</v>
      </c>
      <c r="M217" s="2">
        <v>3592</v>
      </c>
      <c r="N217" s="3" t="s">
        <v>19</v>
      </c>
    </row>
    <row r="218" spans="1:15" x14ac:dyDescent="0.35">
      <c r="A218" s="2" t="s">
        <v>572</v>
      </c>
      <c r="B218" s="2">
        <v>231</v>
      </c>
      <c r="C218" s="2" t="s">
        <v>16</v>
      </c>
      <c r="D218" s="2">
        <v>968</v>
      </c>
      <c r="E218" s="2">
        <v>20020</v>
      </c>
      <c r="G218" s="2">
        <v>1337</v>
      </c>
      <c r="H218" s="2" t="s">
        <v>547</v>
      </c>
      <c r="I218" s="2">
        <f>VLOOKUP(H218,[1]Customers!$A:$B,2,FALSE)</f>
        <v>3362</v>
      </c>
      <c r="J218" s="2">
        <v>44768</v>
      </c>
      <c r="K218" s="2" t="s">
        <v>554</v>
      </c>
      <c r="M218" s="2">
        <v>7346.91</v>
      </c>
      <c r="N218" s="3" t="s">
        <v>19</v>
      </c>
    </row>
    <row r="219" spans="1:15" x14ac:dyDescent="0.35">
      <c r="A219" s="2" t="s">
        <v>573</v>
      </c>
      <c r="B219" s="2">
        <v>232</v>
      </c>
      <c r="C219" s="2" t="s">
        <v>16</v>
      </c>
      <c r="D219" s="2">
        <v>968</v>
      </c>
      <c r="E219" s="2">
        <v>20020</v>
      </c>
      <c r="G219" s="2">
        <v>386</v>
      </c>
      <c r="H219" s="2" t="s">
        <v>574</v>
      </c>
      <c r="I219" s="2">
        <f>VLOOKUP(H219,[1]Customers!$A:$B,2,FALSE)</f>
        <v>2645</v>
      </c>
      <c r="J219" s="2">
        <v>45719</v>
      </c>
      <c r="K219" s="2" t="s">
        <v>575</v>
      </c>
      <c r="M219" s="2">
        <v>1247.8800000000001</v>
      </c>
      <c r="N219" s="3" t="s">
        <v>19</v>
      </c>
    </row>
    <row r="220" spans="1:15" x14ac:dyDescent="0.35">
      <c r="A220" s="2" t="s">
        <v>576</v>
      </c>
      <c r="B220" s="2">
        <v>233</v>
      </c>
      <c r="C220" s="2" t="s">
        <v>16</v>
      </c>
      <c r="D220" s="2">
        <v>968</v>
      </c>
      <c r="E220" s="2">
        <v>20020</v>
      </c>
      <c r="G220" s="2">
        <v>326</v>
      </c>
      <c r="H220" s="2" t="s">
        <v>577</v>
      </c>
      <c r="I220" s="2">
        <f>VLOOKUP(H220,[1]Customers!$A:$B,2,FALSE)</f>
        <v>2499</v>
      </c>
      <c r="J220" s="2">
        <v>45779</v>
      </c>
      <c r="K220" s="2" t="s">
        <v>578</v>
      </c>
      <c r="M220" s="2">
        <v>477.68</v>
      </c>
      <c r="N220" s="3" t="s">
        <v>19</v>
      </c>
    </row>
    <row r="221" spans="1:15" x14ac:dyDescent="0.35">
      <c r="A221" s="2" t="s">
        <v>579</v>
      </c>
      <c r="B221" s="2">
        <v>234</v>
      </c>
      <c r="C221" s="2" t="s">
        <v>16</v>
      </c>
      <c r="D221" s="2">
        <v>968</v>
      </c>
      <c r="E221" s="2">
        <v>20020</v>
      </c>
      <c r="G221" s="2">
        <v>538</v>
      </c>
      <c r="H221" s="2" t="s">
        <v>580</v>
      </c>
      <c r="I221" s="2">
        <f>VLOOKUP(H221,[1]Customers!$A:$B,2,FALSE)</f>
        <v>2752</v>
      </c>
      <c r="J221" s="2">
        <v>45567</v>
      </c>
      <c r="M221" s="2">
        <v>6643.72</v>
      </c>
      <c r="N221" s="3" t="s">
        <v>19</v>
      </c>
    </row>
    <row r="222" spans="1:15" x14ac:dyDescent="0.35">
      <c r="A222" s="2" t="s">
        <v>581</v>
      </c>
      <c r="B222" s="2">
        <v>235</v>
      </c>
      <c r="C222" s="2" t="s">
        <v>16</v>
      </c>
      <c r="D222" s="2">
        <v>968</v>
      </c>
      <c r="E222" s="2">
        <v>20020</v>
      </c>
      <c r="G222" s="2">
        <v>595</v>
      </c>
      <c r="H222" s="2" t="s">
        <v>582</v>
      </c>
      <c r="I222" s="2">
        <f>VLOOKUP(H222,[1]Customers!$A:$B,2,FALSE)</f>
        <v>3365</v>
      </c>
      <c r="J222" s="2">
        <v>45510</v>
      </c>
      <c r="K222" s="2" t="s">
        <v>583</v>
      </c>
      <c r="M222" s="2">
        <v>329.6</v>
      </c>
      <c r="N222" s="3" t="s">
        <v>19</v>
      </c>
    </row>
    <row r="223" spans="1:15" x14ac:dyDescent="0.35">
      <c r="A223" s="2" t="s">
        <v>584</v>
      </c>
      <c r="B223" s="2">
        <v>236</v>
      </c>
      <c r="C223" s="2" t="s">
        <v>16</v>
      </c>
      <c r="D223" s="2">
        <v>968</v>
      </c>
      <c r="E223" s="2">
        <v>20020</v>
      </c>
      <c r="G223" s="2">
        <v>726</v>
      </c>
      <c r="H223" s="2" t="s">
        <v>585</v>
      </c>
      <c r="I223" s="2">
        <f>VLOOKUP(H223,[1]Customers!$A:$B,2,FALSE)</f>
        <v>2619</v>
      </c>
      <c r="J223" s="2">
        <v>45379</v>
      </c>
      <c r="K223" s="2" t="s">
        <v>586</v>
      </c>
      <c r="M223" s="2">
        <v>689</v>
      </c>
      <c r="N223" s="3" t="s">
        <v>19</v>
      </c>
      <c r="O223" s="2">
        <v>36351</v>
      </c>
    </row>
    <row r="224" spans="1:15" x14ac:dyDescent="0.35">
      <c r="A224" s="2" t="s">
        <v>587</v>
      </c>
      <c r="B224" s="2">
        <v>237</v>
      </c>
      <c r="C224" s="2" t="s">
        <v>16</v>
      </c>
      <c r="D224" s="2">
        <v>968</v>
      </c>
      <c r="E224" s="2">
        <v>20020</v>
      </c>
      <c r="G224" s="2">
        <v>1191</v>
      </c>
      <c r="H224" s="2" t="s">
        <v>588</v>
      </c>
      <c r="I224" s="2">
        <f>VLOOKUP(H224,[1]Customers!$A:$B,2,FALSE)</f>
        <v>3367</v>
      </c>
      <c r="J224" s="2">
        <v>44914</v>
      </c>
      <c r="K224" s="2" t="s">
        <v>589</v>
      </c>
      <c r="M224" s="2">
        <v>506.98</v>
      </c>
      <c r="N224" s="3" t="s">
        <v>19</v>
      </c>
    </row>
    <row r="225" spans="1:15" x14ac:dyDescent="0.35">
      <c r="A225" s="2" t="s">
        <v>590</v>
      </c>
      <c r="B225" s="2">
        <v>238</v>
      </c>
      <c r="C225" s="2" t="s">
        <v>16</v>
      </c>
      <c r="D225" s="2">
        <v>968</v>
      </c>
      <c r="E225" s="2">
        <v>20020</v>
      </c>
      <c r="G225" s="2">
        <v>455</v>
      </c>
      <c r="H225" s="2" t="s">
        <v>591</v>
      </c>
      <c r="I225" s="2">
        <f>VLOOKUP(H225,[1]Customers!$A:$B,2,FALSE)</f>
        <v>3368</v>
      </c>
      <c r="J225" s="2">
        <v>45650</v>
      </c>
      <c r="K225" s="2" t="s">
        <v>592</v>
      </c>
      <c r="M225" s="2">
        <v>1995</v>
      </c>
      <c r="N225" s="3" t="s">
        <v>19</v>
      </c>
    </row>
    <row r="226" spans="1:15" x14ac:dyDescent="0.35">
      <c r="A226" s="2" t="s">
        <v>593</v>
      </c>
      <c r="B226" s="2">
        <v>239</v>
      </c>
      <c r="C226" s="2" t="s">
        <v>16</v>
      </c>
      <c r="D226" s="2">
        <v>968</v>
      </c>
      <c r="E226" s="2">
        <v>20020</v>
      </c>
      <c r="G226" s="2">
        <v>305</v>
      </c>
      <c r="H226" s="2" t="s">
        <v>591</v>
      </c>
      <c r="I226" s="2">
        <f>VLOOKUP(H226,[1]Customers!$A:$B,2,FALSE)</f>
        <v>3368</v>
      </c>
      <c r="J226" s="2">
        <v>45800</v>
      </c>
      <c r="K226" s="2" t="s">
        <v>594</v>
      </c>
      <c r="M226" s="2">
        <v>346648.83</v>
      </c>
      <c r="N226" s="3" t="s">
        <v>19</v>
      </c>
    </row>
    <row r="227" spans="1:15" x14ac:dyDescent="0.35">
      <c r="A227" s="2" t="s">
        <v>595</v>
      </c>
      <c r="B227" s="2">
        <v>240</v>
      </c>
      <c r="C227" s="2" t="s">
        <v>16</v>
      </c>
      <c r="D227" s="2">
        <v>968</v>
      </c>
      <c r="E227" s="2">
        <v>20020</v>
      </c>
      <c r="G227" s="2">
        <v>404</v>
      </c>
      <c r="H227" s="2" t="s">
        <v>591</v>
      </c>
      <c r="I227" s="2">
        <f>VLOOKUP(H227,[1]Customers!$A:$B,2,FALSE)</f>
        <v>3368</v>
      </c>
      <c r="J227" s="2">
        <v>45701</v>
      </c>
      <c r="K227" s="2" t="s">
        <v>596</v>
      </c>
      <c r="M227" s="2">
        <v>3975.37</v>
      </c>
      <c r="N227" s="3" t="s">
        <v>19</v>
      </c>
    </row>
    <row r="228" spans="1:15" x14ac:dyDescent="0.35">
      <c r="A228" s="2" t="s">
        <v>597</v>
      </c>
      <c r="B228" s="2">
        <v>241</v>
      </c>
      <c r="C228" s="2" t="s">
        <v>16</v>
      </c>
      <c r="D228" s="2">
        <v>968</v>
      </c>
      <c r="E228" s="2">
        <v>20020</v>
      </c>
      <c r="G228" s="2">
        <v>1958</v>
      </c>
      <c r="H228" s="2" t="s">
        <v>591</v>
      </c>
      <c r="I228" s="2">
        <f>VLOOKUP(H228,[1]Customers!$A:$B,2,FALSE)</f>
        <v>3368</v>
      </c>
      <c r="J228" s="2">
        <v>44147</v>
      </c>
      <c r="K228" s="2" t="s">
        <v>598</v>
      </c>
      <c r="M228" s="2">
        <v>11048.62</v>
      </c>
      <c r="N228" s="3" t="s">
        <v>19</v>
      </c>
      <c r="O228" s="2" t="s">
        <v>599</v>
      </c>
    </row>
    <row r="229" spans="1:15" x14ac:dyDescent="0.35">
      <c r="A229" s="2" t="s">
        <v>600</v>
      </c>
      <c r="B229" s="2">
        <v>242</v>
      </c>
      <c r="C229" s="2" t="s">
        <v>16</v>
      </c>
      <c r="D229" s="2">
        <v>968</v>
      </c>
      <c r="E229" s="2">
        <v>20020</v>
      </c>
      <c r="G229" s="2">
        <v>463</v>
      </c>
      <c r="H229" s="2" t="s">
        <v>601</v>
      </c>
      <c r="I229" s="2">
        <f>VLOOKUP(H229,[1]Customers!$A:$B,2,FALSE)</f>
        <v>3564</v>
      </c>
      <c r="J229" s="2">
        <v>45642</v>
      </c>
      <c r="K229" s="2" t="s">
        <v>602</v>
      </c>
      <c r="M229" s="2">
        <v>14924.64</v>
      </c>
      <c r="N229" s="3" t="s">
        <v>19</v>
      </c>
    </row>
    <row r="230" spans="1:15" x14ac:dyDescent="0.35">
      <c r="A230" s="2" t="s">
        <v>603</v>
      </c>
      <c r="B230" s="2">
        <v>243</v>
      </c>
      <c r="C230" s="2" t="s">
        <v>16</v>
      </c>
      <c r="D230" s="2">
        <v>968</v>
      </c>
      <c r="E230" s="2">
        <v>20020</v>
      </c>
      <c r="G230" s="2">
        <v>372</v>
      </c>
      <c r="H230" s="2" t="s">
        <v>604</v>
      </c>
      <c r="I230" s="2">
        <f>VLOOKUP(H230,[1]Customers!$A:$B,2,FALSE)</f>
        <v>2178</v>
      </c>
      <c r="J230" s="2">
        <v>45733</v>
      </c>
      <c r="K230" s="2" t="s">
        <v>605</v>
      </c>
      <c r="M230" s="2">
        <v>41797.64</v>
      </c>
      <c r="N230" s="3" t="s">
        <v>19</v>
      </c>
    </row>
    <row r="231" spans="1:15" x14ac:dyDescent="0.35">
      <c r="A231" s="2" t="s">
        <v>606</v>
      </c>
      <c r="B231" s="2">
        <v>244</v>
      </c>
      <c r="C231" s="2" t="s">
        <v>16</v>
      </c>
      <c r="D231" s="2">
        <v>968</v>
      </c>
      <c r="E231" s="2">
        <v>20020</v>
      </c>
      <c r="G231" s="2">
        <v>505</v>
      </c>
      <c r="H231" s="2" t="s">
        <v>607</v>
      </c>
      <c r="I231" s="2">
        <f>VLOOKUP(H231,[1]Customers!$A:$B,2,FALSE)</f>
        <v>3412</v>
      </c>
      <c r="J231" s="2">
        <v>45600</v>
      </c>
      <c r="K231" s="2" t="s">
        <v>608</v>
      </c>
      <c r="M231" s="2">
        <v>44614.29</v>
      </c>
      <c r="N231" s="3" t="s">
        <v>19</v>
      </c>
    </row>
    <row r="232" spans="1:15" x14ac:dyDescent="0.35">
      <c r="A232" s="2" t="s">
        <v>609</v>
      </c>
      <c r="B232" s="2">
        <v>245</v>
      </c>
      <c r="C232" s="2" t="s">
        <v>16</v>
      </c>
      <c r="D232" s="2">
        <v>968</v>
      </c>
      <c r="E232" s="2">
        <v>20020</v>
      </c>
      <c r="G232" s="2">
        <v>305</v>
      </c>
      <c r="H232" s="2" t="s">
        <v>607</v>
      </c>
      <c r="I232" s="2">
        <f>VLOOKUP(H232,[1]Customers!$A:$B,2,FALSE)</f>
        <v>3412</v>
      </c>
      <c r="J232" s="2">
        <v>45800</v>
      </c>
      <c r="K232" s="2" t="s">
        <v>608</v>
      </c>
      <c r="M232" s="2">
        <v>177412.72</v>
      </c>
      <c r="N232" s="3" t="s">
        <v>19</v>
      </c>
    </row>
    <row r="233" spans="1:15" x14ac:dyDescent="0.35">
      <c r="A233" s="2" t="s">
        <v>610</v>
      </c>
      <c r="B233" s="2">
        <v>246</v>
      </c>
      <c r="C233" s="2" t="s">
        <v>16</v>
      </c>
      <c r="D233" s="2">
        <v>968</v>
      </c>
      <c r="E233" s="2">
        <v>20020</v>
      </c>
      <c r="G233" s="2">
        <v>348</v>
      </c>
      <c r="H233" s="2" t="s">
        <v>611</v>
      </c>
      <c r="I233" s="2">
        <f>VLOOKUP(H233,[1]Customers!$A:$B,2,FALSE)</f>
        <v>2358</v>
      </c>
      <c r="J233" s="2">
        <v>45757</v>
      </c>
      <c r="K233" s="2" t="s">
        <v>612</v>
      </c>
      <c r="M233" s="2">
        <v>247.37</v>
      </c>
      <c r="N233" s="3" t="s">
        <v>19</v>
      </c>
      <c r="O233" s="2">
        <v>647</v>
      </c>
    </row>
    <row r="234" spans="1:15" x14ac:dyDescent="0.35">
      <c r="A234" s="2" t="s">
        <v>613</v>
      </c>
      <c r="B234" s="2">
        <v>247</v>
      </c>
      <c r="C234" s="2" t="s">
        <v>16</v>
      </c>
      <c r="D234" s="2">
        <v>968</v>
      </c>
      <c r="E234" s="2">
        <v>20020</v>
      </c>
      <c r="G234" s="2">
        <v>351</v>
      </c>
      <c r="H234" s="2" t="s">
        <v>614</v>
      </c>
      <c r="I234" s="2">
        <f>VLOOKUP(H234,[1]Customers!$A:$B,2,FALSE)</f>
        <v>2337</v>
      </c>
      <c r="J234" s="2">
        <v>45754</v>
      </c>
      <c r="K234" s="2" t="s">
        <v>615</v>
      </c>
      <c r="M234" s="2">
        <v>88140.03</v>
      </c>
      <c r="N234" s="3" t="s">
        <v>19</v>
      </c>
    </row>
    <row r="235" spans="1:15" x14ac:dyDescent="0.35">
      <c r="A235" s="2" t="s">
        <v>616</v>
      </c>
      <c r="B235" s="2">
        <v>248</v>
      </c>
      <c r="C235" s="2" t="s">
        <v>16</v>
      </c>
      <c r="D235" s="2">
        <v>968</v>
      </c>
      <c r="E235" s="2">
        <v>20020</v>
      </c>
      <c r="G235" s="2">
        <v>355</v>
      </c>
      <c r="H235" s="2" t="s">
        <v>617</v>
      </c>
      <c r="I235" s="2">
        <f>VLOOKUP(H235,[1]Customers!$A:$B,2,FALSE)</f>
        <v>2335</v>
      </c>
      <c r="J235" s="2">
        <v>45750</v>
      </c>
      <c r="K235" s="2" t="s">
        <v>618</v>
      </c>
      <c r="M235" s="2">
        <v>461.84</v>
      </c>
      <c r="N235" s="3" t="s">
        <v>19</v>
      </c>
    </row>
    <row r="236" spans="1:15" x14ac:dyDescent="0.35">
      <c r="A236" s="2" t="s">
        <v>619</v>
      </c>
      <c r="B236" s="2">
        <v>249</v>
      </c>
      <c r="C236" s="2" t="s">
        <v>16</v>
      </c>
      <c r="D236" s="2">
        <v>968</v>
      </c>
      <c r="E236" s="2">
        <v>20020</v>
      </c>
      <c r="G236" s="2">
        <v>279</v>
      </c>
      <c r="H236" s="2" t="s">
        <v>620</v>
      </c>
      <c r="I236" s="2">
        <f>VLOOKUP(H236,[1]Customers!$A:$B,2,FALSE)</f>
        <v>596</v>
      </c>
      <c r="J236" s="2">
        <v>45826</v>
      </c>
      <c r="K236" s="2" t="s">
        <v>621</v>
      </c>
      <c r="M236" s="2">
        <v>642.17999999999995</v>
      </c>
      <c r="N236" s="3" t="s">
        <v>19</v>
      </c>
    </row>
    <row r="237" spans="1:15" x14ac:dyDescent="0.35">
      <c r="A237" s="2" t="s">
        <v>622</v>
      </c>
      <c r="B237" s="2">
        <v>250</v>
      </c>
      <c r="C237" s="2" t="s">
        <v>16</v>
      </c>
      <c r="D237" s="2">
        <v>968</v>
      </c>
      <c r="E237" s="2">
        <v>20020</v>
      </c>
      <c r="G237" s="2">
        <v>272</v>
      </c>
      <c r="H237" s="2" t="s">
        <v>620</v>
      </c>
      <c r="I237" s="2">
        <f>VLOOKUP(H237,[1]Customers!$A:$B,2,FALSE)</f>
        <v>596</v>
      </c>
      <c r="J237" s="2">
        <v>45833</v>
      </c>
      <c r="K237" s="2" t="s">
        <v>623</v>
      </c>
      <c r="M237" s="2">
        <v>36000</v>
      </c>
      <c r="N237" s="3" t="s">
        <v>19</v>
      </c>
    </row>
    <row r="238" spans="1:15" ht="15" customHeight="1" x14ac:dyDescent="0.35">
      <c r="A238" s="2" t="s">
        <v>624</v>
      </c>
      <c r="B238" s="2">
        <v>251</v>
      </c>
      <c r="C238" s="2" t="s">
        <v>16</v>
      </c>
      <c r="D238" s="2">
        <v>968</v>
      </c>
      <c r="E238" s="2">
        <v>20020</v>
      </c>
      <c r="G238" s="2">
        <v>330</v>
      </c>
      <c r="H238" s="2" t="s">
        <v>620</v>
      </c>
      <c r="I238" s="2">
        <f>VLOOKUP(H238,[1]Customers!$A:$B,2,FALSE)</f>
        <v>596</v>
      </c>
      <c r="J238" s="2">
        <v>45775</v>
      </c>
      <c r="K238" s="2" t="s">
        <v>625</v>
      </c>
      <c r="M238" s="2">
        <v>40720</v>
      </c>
      <c r="N238" s="3" t="s">
        <v>19</v>
      </c>
    </row>
    <row r="239" spans="1:15" x14ac:dyDescent="0.35">
      <c r="A239" s="2" t="s">
        <v>626</v>
      </c>
      <c r="B239" s="2">
        <v>252</v>
      </c>
      <c r="C239" s="2" t="s">
        <v>16</v>
      </c>
      <c r="D239" s="2">
        <v>968</v>
      </c>
      <c r="E239" s="2">
        <v>20020</v>
      </c>
      <c r="G239" s="2">
        <v>321</v>
      </c>
      <c r="H239" s="2" t="s">
        <v>627</v>
      </c>
      <c r="I239" s="2">
        <f>VLOOKUP(H239,[1]Customers!$A:$B,2,FALSE)</f>
        <v>2445</v>
      </c>
      <c r="J239" s="2">
        <v>45784</v>
      </c>
      <c r="K239" s="2" t="s">
        <v>628</v>
      </c>
      <c r="M239" s="2">
        <v>937.85</v>
      </c>
      <c r="N239" s="3" t="s">
        <v>19</v>
      </c>
    </row>
    <row r="240" spans="1:15" x14ac:dyDescent="0.35">
      <c r="A240" s="2" t="s">
        <v>629</v>
      </c>
      <c r="B240" s="2">
        <v>253</v>
      </c>
      <c r="C240" s="2" t="s">
        <v>16</v>
      </c>
      <c r="D240" s="2">
        <v>968</v>
      </c>
      <c r="E240" s="2">
        <v>20020</v>
      </c>
      <c r="G240" s="2">
        <v>315</v>
      </c>
      <c r="H240" s="2" t="s">
        <v>630</v>
      </c>
      <c r="I240" s="2">
        <f>VLOOKUP(H240,[1]Customers!$A:$B,2,FALSE)</f>
        <v>1934</v>
      </c>
      <c r="J240" s="2">
        <v>45790</v>
      </c>
      <c r="K240" s="2" t="s">
        <v>631</v>
      </c>
      <c r="M240" s="2">
        <v>13250.94</v>
      </c>
      <c r="N240" s="3" t="s">
        <v>19</v>
      </c>
    </row>
    <row r="241" spans="1:15" x14ac:dyDescent="0.35">
      <c r="A241" s="2" t="s">
        <v>632</v>
      </c>
      <c r="B241" s="2">
        <v>254</v>
      </c>
      <c r="C241" s="2" t="s">
        <v>16</v>
      </c>
      <c r="D241" s="2">
        <v>968</v>
      </c>
      <c r="E241" s="2">
        <v>20020</v>
      </c>
      <c r="G241" s="2">
        <v>438</v>
      </c>
      <c r="H241" s="2" t="s">
        <v>630</v>
      </c>
      <c r="I241" s="2">
        <f>VLOOKUP(H241,[1]Customers!$A:$B,2,FALSE)</f>
        <v>1934</v>
      </c>
      <c r="J241" s="2">
        <v>45667</v>
      </c>
      <c r="M241" s="2">
        <v>8145.33</v>
      </c>
      <c r="N241" s="3" t="s">
        <v>19</v>
      </c>
    </row>
    <row r="242" spans="1:15" x14ac:dyDescent="0.35">
      <c r="A242" s="2" t="s">
        <v>633</v>
      </c>
      <c r="B242" s="2">
        <v>255</v>
      </c>
      <c r="C242" s="2" t="s">
        <v>16</v>
      </c>
      <c r="D242" s="2">
        <v>968</v>
      </c>
      <c r="E242" s="2">
        <v>20020</v>
      </c>
      <c r="G242" s="2">
        <v>368</v>
      </c>
      <c r="H242" s="2" t="s">
        <v>630</v>
      </c>
      <c r="I242" s="2">
        <f>VLOOKUP(H242,[1]Customers!$A:$B,2,FALSE)</f>
        <v>1934</v>
      </c>
      <c r="J242" s="2">
        <v>45737</v>
      </c>
      <c r="K242" s="2" t="s">
        <v>634</v>
      </c>
      <c r="M242" s="2">
        <v>2811.65</v>
      </c>
      <c r="N242" s="3" t="s">
        <v>19</v>
      </c>
    </row>
    <row r="243" spans="1:15" x14ac:dyDescent="0.35">
      <c r="A243" s="2" t="s">
        <v>635</v>
      </c>
      <c r="B243" s="2">
        <v>256</v>
      </c>
      <c r="C243" s="2" t="s">
        <v>16</v>
      </c>
      <c r="D243" s="2">
        <v>968</v>
      </c>
      <c r="E243" s="2">
        <v>20020</v>
      </c>
      <c r="G243" s="2">
        <v>307</v>
      </c>
      <c r="H243" s="2" t="s">
        <v>636</v>
      </c>
      <c r="I243" s="2">
        <f>VLOOKUP(H243,[1]Customers!$A:$B,2,FALSE)</f>
        <v>1554</v>
      </c>
      <c r="J243" s="2">
        <v>45798</v>
      </c>
      <c r="K243" s="2" t="s">
        <v>637</v>
      </c>
      <c r="M243" s="2">
        <v>3015.86</v>
      </c>
      <c r="N243" s="3" t="s">
        <v>19</v>
      </c>
    </row>
    <row r="244" spans="1:15" x14ac:dyDescent="0.35">
      <c r="A244" s="2" t="s">
        <v>638</v>
      </c>
      <c r="B244" s="2">
        <v>257</v>
      </c>
      <c r="C244" s="2" t="s">
        <v>16</v>
      </c>
      <c r="D244" s="2">
        <v>968</v>
      </c>
      <c r="E244" s="2">
        <v>20020</v>
      </c>
      <c r="G244" s="2">
        <v>356</v>
      </c>
      <c r="H244" s="2" t="s">
        <v>636</v>
      </c>
      <c r="I244" s="2">
        <f>VLOOKUP(H244,[1]Customers!$A:$B,2,FALSE)</f>
        <v>1554</v>
      </c>
      <c r="J244" s="2">
        <v>45749</v>
      </c>
      <c r="K244" s="2" t="s">
        <v>639</v>
      </c>
      <c r="M244" s="2">
        <v>2918.06</v>
      </c>
      <c r="N244" s="3" t="s">
        <v>19</v>
      </c>
    </row>
    <row r="245" spans="1:15" x14ac:dyDescent="0.35">
      <c r="A245" s="2" t="s">
        <v>640</v>
      </c>
      <c r="B245" s="2">
        <v>258</v>
      </c>
      <c r="C245" s="2" t="s">
        <v>16</v>
      </c>
      <c r="D245" s="2">
        <v>968</v>
      </c>
      <c r="E245" s="2">
        <v>20020</v>
      </c>
      <c r="G245" s="2">
        <v>368</v>
      </c>
      <c r="H245" s="2" t="s">
        <v>636</v>
      </c>
      <c r="I245" s="2">
        <f>VLOOKUP(H245,[1]Customers!$A:$B,2,FALSE)</f>
        <v>1554</v>
      </c>
      <c r="J245" s="2">
        <v>45737</v>
      </c>
      <c r="K245" s="2" t="s">
        <v>637</v>
      </c>
      <c r="M245" s="2">
        <v>24977.25</v>
      </c>
      <c r="N245" s="3" t="s">
        <v>19</v>
      </c>
    </row>
    <row r="246" spans="1:15" x14ac:dyDescent="0.35">
      <c r="A246" s="2" t="s">
        <v>641</v>
      </c>
      <c r="B246" s="2">
        <v>259</v>
      </c>
      <c r="C246" s="2" t="s">
        <v>16</v>
      </c>
      <c r="D246" s="2">
        <v>968</v>
      </c>
      <c r="E246" s="2">
        <v>20020</v>
      </c>
      <c r="G246" s="2">
        <v>566</v>
      </c>
      <c r="H246" s="2" t="s">
        <v>642</v>
      </c>
      <c r="I246" s="2">
        <f>VLOOKUP(H246,[1]Customers!$A:$B,2,FALSE)</f>
        <v>1720</v>
      </c>
      <c r="J246" s="2">
        <v>45539</v>
      </c>
      <c r="K246" s="2" t="s">
        <v>643</v>
      </c>
      <c r="M246" s="2">
        <v>229426.76</v>
      </c>
      <c r="N246" s="3" t="s">
        <v>19</v>
      </c>
    </row>
    <row r="247" spans="1:15" x14ac:dyDescent="0.35">
      <c r="A247" s="2" t="s">
        <v>644</v>
      </c>
      <c r="B247" s="2">
        <v>260</v>
      </c>
      <c r="C247" s="2" t="s">
        <v>16</v>
      </c>
      <c r="D247" s="2">
        <v>968</v>
      </c>
      <c r="E247" s="2">
        <v>20020</v>
      </c>
      <c r="G247" s="2">
        <v>378</v>
      </c>
      <c r="H247" s="2" t="s">
        <v>642</v>
      </c>
      <c r="I247" s="2">
        <f>VLOOKUP(H247,[1]Customers!$A:$B,2,FALSE)</f>
        <v>1720</v>
      </c>
      <c r="J247" s="2">
        <v>45727</v>
      </c>
      <c r="K247" s="2" t="s">
        <v>643</v>
      </c>
      <c r="M247" s="2">
        <v>144265.54999999999</v>
      </c>
      <c r="N247" s="3" t="s">
        <v>19</v>
      </c>
    </row>
    <row r="248" spans="1:15" x14ac:dyDescent="0.35">
      <c r="A248" s="2" t="s">
        <v>645</v>
      </c>
      <c r="B248" s="2">
        <v>261</v>
      </c>
      <c r="C248" s="2" t="s">
        <v>16</v>
      </c>
      <c r="D248" s="2">
        <v>968</v>
      </c>
      <c r="E248" s="2">
        <v>20020</v>
      </c>
      <c r="G248" s="2">
        <v>273</v>
      </c>
      <c r="H248" s="2" t="s">
        <v>642</v>
      </c>
      <c r="I248" s="2">
        <f>VLOOKUP(H248,[1]Customers!$A:$B,2,FALSE)</f>
        <v>1720</v>
      </c>
      <c r="J248" s="2">
        <v>45832</v>
      </c>
      <c r="K248" s="2" t="s">
        <v>643</v>
      </c>
      <c r="M248" s="2">
        <v>167862.47</v>
      </c>
      <c r="N248" s="3" t="s">
        <v>19</v>
      </c>
    </row>
    <row r="249" spans="1:15" x14ac:dyDescent="0.35">
      <c r="A249" s="2" t="s">
        <v>646</v>
      </c>
      <c r="B249" s="2">
        <v>262</v>
      </c>
      <c r="C249" s="2" t="s">
        <v>16</v>
      </c>
      <c r="D249" s="2">
        <v>968</v>
      </c>
      <c r="E249" s="2">
        <v>20020</v>
      </c>
      <c r="G249" s="2">
        <v>457</v>
      </c>
      <c r="H249" s="2" t="s">
        <v>642</v>
      </c>
      <c r="I249" s="2">
        <f>VLOOKUP(H249,[1]Customers!$A:$B,2,FALSE)</f>
        <v>1720</v>
      </c>
      <c r="J249" s="2">
        <v>45648</v>
      </c>
      <c r="K249" s="2" t="s">
        <v>643</v>
      </c>
      <c r="M249" s="2">
        <v>151960.56</v>
      </c>
      <c r="N249" s="3" t="s">
        <v>19</v>
      </c>
    </row>
    <row r="250" spans="1:15" x14ac:dyDescent="0.35">
      <c r="A250" s="2" t="s">
        <v>647</v>
      </c>
      <c r="B250" s="2">
        <v>263</v>
      </c>
      <c r="C250" s="2" t="s">
        <v>16</v>
      </c>
      <c r="D250" s="2">
        <v>968</v>
      </c>
      <c r="E250" s="2">
        <v>20020</v>
      </c>
      <c r="G250" s="2">
        <v>452</v>
      </c>
      <c r="H250" s="2" t="s">
        <v>642</v>
      </c>
      <c r="I250" s="2">
        <f>VLOOKUP(H250,[1]Customers!$A:$B,2,FALSE)</f>
        <v>1720</v>
      </c>
      <c r="J250" s="2">
        <v>45653</v>
      </c>
      <c r="K250" s="2" t="s">
        <v>643</v>
      </c>
      <c r="M250" s="2">
        <v>151960.56</v>
      </c>
      <c r="N250" s="3" t="s">
        <v>19</v>
      </c>
    </row>
    <row r="251" spans="1:15" x14ac:dyDescent="0.35">
      <c r="A251" s="2" t="s">
        <v>648</v>
      </c>
      <c r="B251" s="2">
        <v>264</v>
      </c>
      <c r="C251" s="2" t="s">
        <v>16</v>
      </c>
      <c r="D251" s="2">
        <v>968</v>
      </c>
      <c r="E251" s="2">
        <v>20020</v>
      </c>
      <c r="G251" s="2">
        <v>417</v>
      </c>
      <c r="H251" s="2" t="s">
        <v>642</v>
      </c>
      <c r="I251" s="2">
        <f>VLOOKUP(H251,[1]Customers!$A:$B,2,FALSE)</f>
        <v>1720</v>
      </c>
      <c r="J251" s="2">
        <v>45688</v>
      </c>
      <c r="K251" s="2" t="s">
        <v>649</v>
      </c>
      <c r="M251" s="2">
        <v>60599.53</v>
      </c>
      <c r="N251" s="3" t="s">
        <v>19</v>
      </c>
    </row>
    <row r="252" spans="1:15" x14ac:dyDescent="0.35">
      <c r="A252" s="2" t="s">
        <v>650</v>
      </c>
      <c r="B252" s="2">
        <v>265</v>
      </c>
      <c r="C252" s="2" t="s">
        <v>16</v>
      </c>
      <c r="D252" s="2">
        <v>968</v>
      </c>
      <c r="E252" s="2">
        <v>20020</v>
      </c>
      <c r="G252" s="2">
        <v>288</v>
      </c>
      <c r="H252" s="2" t="s">
        <v>651</v>
      </c>
      <c r="I252" s="2">
        <f>VLOOKUP(H252,[1]Customers!$A:$B,2,FALSE)</f>
        <v>2357</v>
      </c>
      <c r="J252" s="2">
        <v>45817</v>
      </c>
      <c r="K252" s="2" t="s">
        <v>652</v>
      </c>
      <c r="M252" s="2">
        <v>14459.3</v>
      </c>
      <c r="N252" s="3" t="s">
        <v>19</v>
      </c>
    </row>
    <row r="253" spans="1:15" x14ac:dyDescent="0.35">
      <c r="A253" s="2" t="s">
        <v>653</v>
      </c>
      <c r="B253" s="2">
        <v>266</v>
      </c>
      <c r="C253" s="2" t="s">
        <v>16</v>
      </c>
      <c r="D253" s="2">
        <v>968</v>
      </c>
      <c r="E253" s="2">
        <v>20020</v>
      </c>
      <c r="G253" s="2">
        <v>271</v>
      </c>
      <c r="H253" s="4" t="s">
        <v>654</v>
      </c>
      <c r="I253" s="2">
        <f>VLOOKUP(H253,[1]Customers!$A:$B,2,FALSE)</f>
        <v>2443</v>
      </c>
      <c r="J253" s="2">
        <v>45834</v>
      </c>
      <c r="M253" s="2">
        <v>15346.06</v>
      </c>
      <c r="N253" s="3" t="s">
        <v>19</v>
      </c>
    </row>
    <row r="254" spans="1:15" x14ac:dyDescent="0.35">
      <c r="A254" s="2" t="s">
        <v>655</v>
      </c>
      <c r="B254" s="2">
        <v>267</v>
      </c>
      <c r="C254" s="2" t="s">
        <v>16</v>
      </c>
      <c r="D254" s="2">
        <v>968</v>
      </c>
      <c r="E254" s="2">
        <v>20020</v>
      </c>
      <c r="G254" s="2">
        <v>347</v>
      </c>
      <c r="H254" s="2" t="s">
        <v>656</v>
      </c>
      <c r="I254" s="2">
        <f>VLOOKUP(H254,[1]Customers!$A:$B,2,FALSE)</f>
        <v>2377</v>
      </c>
      <c r="J254" s="2">
        <v>45758</v>
      </c>
      <c r="K254" s="2" t="s">
        <v>657</v>
      </c>
      <c r="M254" s="2">
        <v>460.8</v>
      </c>
      <c r="N254" s="3" t="s">
        <v>19</v>
      </c>
    </row>
    <row r="255" spans="1:15" x14ac:dyDescent="0.35">
      <c r="A255" s="2" t="s">
        <v>658</v>
      </c>
      <c r="B255" s="2">
        <v>268</v>
      </c>
      <c r="C255" s="2" t="s">
        <v>16</v>
      </c>
      <c r="D255" s="2">
        <v>968</v>
      </c>
      <c r="E255" s="2">
        <v>20020</v>
      </c>
      <c r="G255" s="2">
        <v>498</v>
      </c>
      <c r="H255" s="2" t="s">
        <v>659</v>
      </c>
      <c r="I255" s="2">
        <f>VLOOKUP(H255,[1]Customers!$A:$B,2,FALSE)</f>
        <v>2894</v>
      </c>
      <c r="J255" s="2">
        <v>45607</v>
      </c>
      <c r="M255" s="2">
        <v>400000</v>
      </c>
      <c r="N255" s="3" t="s">
        <v>19</v>
      </c>
    </row>
    <row r="256" spans="1:15" x14ac:dyDescent="0.35">
      <c r="A256" s="2" t="s">
        <v>660</v>
      </c>
      <c r="B256" s="2">
        <v>269</v>
      </c>
      <c r="C256" s="2" t="s">
        <v>16</v>
      </c>
      <c r="D256" s="2">
        <v>968</v>
      </c>
      <c r="E256" s="2">
        <v>20020</v>
      </c>
      <c r="G256" s="2">
        <v>434</v>
      </c>
      <c r="H256" s="2" t="s">
        <v>661</v>
      </c>
      <c r="I256" s="2">
        <f>VLOOKUP(H256,[1]Customers!$A:$B,2,FALSE)</f>
        <v>2457</v>
      </c>
      <c r="J256" s="2">
        <v>45671</v>
      </c>
      <c r="K256" s="2" t="s">
        <v>662</v>
      </c>
      <c r="M256" s="2">
        <v>-1938.25</v>
      </c>
      <c r="N256" s="3" t="s">
        <v>19</v>
      </c>
      <c r="O256" s="2">
        <v>439</v>
      </c>
    </row>
    <row r="257" spans="1:15" x14ac:dyDescent="0.35">
      <c r="A257" s="2" t="s">
        <v>663</v>
      </c>
      <c r="B257" s="2">
        <v>270</v>
      </c>
      <c r="C257" s="2" t="s">
        <v>16</v>
      </c>
      <c r="D257" s="2">
        <v>968</v>
      </c>
      <c r="E257" s="2">
        <v>20020</v>
      </c>
      <c r="G257" s="2">
        <v>313</v>
      </c>
      <c r="H257" s="2" t="s">
        <v>661</v>
      </c>
      <c r="I257" s="2">
        <f>VLOOKUP(H257,[1]Customers!$A:$B,2,FALSE)</f>
        <v>2457</v>
      </c>
      <c r="J257" s="2">
        <v>45792</v>
      </c>
      <c r="K257" s="2" t="s">
        <v>664</v>
      </c>
      <c r="M257" s="2">
        <v>16667.37</v>
      </c>
      <c r="N257" s="3" t="s">
        <v>19</v>
      </c>
    </row>
    <row r="258" spans="1:15" x14ac:dyDescent="0.35">
      <c r="A258" s="2" t="s">
        <v>665</v>
      </c>
      <c r="B258" s="2">
        <v>271</v>
      </c>
      <c r="C258" s="2" t="s">
        <v>16</v>
      </c>
      <c r="D258" s="2">
        <v>968</v>
      </c>
      <c r="E258" s="2">
        <v>20020</v>
      </c>
      <c r="G258" s="2">
        <v>298</v>
      </c>
      <c r="H258" s="2" t="s">
        <v>666</v>
      </c>
      <c r="I258" s="2">
        <f>VLOOKUP(H258,[1]Customers!$A:$B,2,FALSE)</f>
        <v>2481</v>
      </c>
      <c r="J258" s="2">
        <v>45807</v>
      </c>
      <c r="K258" s="2" t="s">
        <v>667</v>
      </c>
      <c r="M258" s="2">
        <v>43586.55</v>
      </c>
      <c r="N258" s="3" t="s">
        <v>19</v>
      </c>
    </row>
    <row r="259" spans="1:15" x14ac:dyDescent="0.35">
      <c r="A259" s="2" t="s">
        <v>668</v>
      </c>
      <c r="B259" s="2">
        <v>272</v>
      </c>
      <c r="C259" s="2" t="s">
        <v>16</v>
      </c>
      <c r="D259" s="2">
        <v>968</v>
      </c>
      <c r="E259" s="2">
        <v>20020</v>
      </c>
      <c r="G259" s="2">
        <v>284</v>
      </c>
      <c r="H259" s="2" t="s">
        <v>666</v>
      </c>
      <c r="I259" s="2">
        <f>VLOOKUP(H259,[1]Customers!$A:$B,2,FALSE)</f>
        <v>2481</v>
      </c>
      <c r="J259" s="2">
        <v>45821</v>
      </c>
      <c r="M259" s="2">
        <v>84253.07</v>
      </c>
      <c r="N259" s="3" t="s">
        <v>19</v>
      </c>
    </row>
    <row r="260" spans="1:15" x14ac:dyDescent="0.35">
      <c r="A260" s="2" t="s">
        <v>669</v>
      </c>
      <c r="B260" s="2">
        <v>273</v>
      </c>
      <c r="C260" s="2" t="s">
        <v>16</v>
      </c>
      <c r="D260" s="2">
        <v>968</v>
      </c>
      <c r="E260" s="2">
        <v>20020</v>
      </c>
      <c r="G260" s="2">
        <v>288</v>
      </c>
      <c r="H260" s="2" t="s">
        <v>666</v>
      </c>
      <c r="I260" s="2">
        <f>VLOOKUP(H260,[1]Customers!$A:$B,2,FALSE)</f>
        <v>2481</v>
      </c>
      <c r="J260" s="2">
        <v>45817</v>
      </c>
      <c r="K260" s="2" t="s">
        <v>667</v>
      </c>
      <c r="M260" s="2">
        <v>127333.02</v>
      </c>
      <c r="N260" s="3" t="s">
        <v>19</v>
      </c>
    </row>
    <row r="261" spans="1:15" x14ac:dyDescent="0.35">
      <c r="A261" s="2" t="s">
        <v>670</v>
      </c>
      <c r="B261" s="2">
        <v>274</v>
      </c>
      <c r="C261" s="2" t="s">
        <v>16</v>
      </c>
      <c r="D261" s="2">
        <v>968</v>
      </c>
      <c r="E261" s="2">
        <v>20020</v>
      </c>
      <c r="G261" s="2">
        <v>456</v>
      </c>
      <c r="H261" s="2" t="s">
        <v>671</v>
      </c>
      <c r="I261" s="2">
        <f>VLOOKUP(H261,[1]Customers!$A:$B,2,FALSE)</f>
        <v>3375</v>
      </c>
      <c r="J261" s="2">
        <v>45649</v>
      </c>
      <c r="M261" s="2">
        <v>3839.1</v>
      </c>
      <c r="N261" s="3" t="s">
        <v>19</v>
      </c>
    </row>
    <row r="262" spans="1:15" x14ac:dyDescent="0.35">
      <c r="A262" s="2" t="s">
        <v>672</v>
      </c>
      <c r="B262" s="2">
        <v>275</v>
      </c>
      <c r="C262" s="2" t="s">
        <v>16</v>
      </c>
      <c r="D262" s="2">
        <v>968</v>
      </c>
      <c r="E262" s="2">
        <v>20020</v>
      </c>
      <c r="G262" s="2">
        <v>369</v>
      </c>
      <c r="H262" s="2" t="s">
        <v>671</v>
      </c>
      <c r="I262" s="2">
        <f>VLOOKUP(H262,[1]Customers!$A:$B,2,FALSE)</f>
        <v>3375</v>
      </c>
      <c r="J262" s="2">
        <v>45736</v>
      </c>
      <c r="K262" s="2" t="s">
        <v>673</v>
      </c>
      <c r="M262" s="2">
        <v>58186.15</v>
      </c>
      <c r="N262" s="3" t="s">
        <v>19</v>
      </c>
    </row>
    <row r="263" spans="1:15" x14ac:dyDescent="0.35">
      <c r="A263" s="2" t="s">
        <v>674</v>
      </c>
      <c r="B263" s="2">
        <v>276</v>
      </c>
      <c r="C263" s="2" t="s">
        <v>16</v>
      </c>
      <c r="D263" s="2">
        <v>968</v>
      </c>
      <c r="E263" s="2">
        <v>20020</v>
      </c>
      <c r="G263" s="2">
        <v>615</v>
      </c>
      <c r="H263" s="2" t="s">
        <v>671</v>
      </c>
      <c r="I263" s="2">
        <f>VLOOKUP(H263,[1]Customers!$A:$B,2,FALSE)</f>
        <v>3375</v>
      </c>
      <c r="J263" s="2">
        <v>45490</v>
      </c>
      <c r="K263" s="2" t="s">
        <v>675</v>
      </c>
      <c r="M263" s="2">
        <v>12418.99</v>
      </c>
      <c r="N263" s="3" t="s">
        <v>19</v>
      </c>
    </row>
    <row r="264" spans="1:15" x14ac:dyDescent="0.35">
      <c r="A264" s="2" t="s">
        <v>676</v>
      </c>
      <c r="B264" s="2">
        <v>277</v>
      </c>
      <c r="C264" s="2" t="s">
        <v>16</v>
      </c>
      <c r="D264" s="2">
        <v>968</v>
      </c>
      <c r="E264" s="2">
        <v>20020</v>
      </c>
      <c r="G264" s="2">
        <v>299</v>
      </c>
      <c r="H264" s="2" t="s">
        <v>677</v>
      </c>
      <c r="I264" s="2">
        <f>VLOOKUP(H264,[1]Customers!$A:$B,2,FALSE)</f>
        <v>2528</v>
      </c>
      <c r="J264" s="2">
        <v>45806</v>
      </c>
      <c r="K264" s="2" t="s">
        <v>678</v>
      </c>
      <c r="M264" s="2">
        <v>7288.72</v>
      </c>
      <c r="N264" s="3" t="s">
        <v>19</v>
      </c>
    </row>
    <row r="265" spans="1:15" x14ac:dyDescent="0.35">
      <c r="A265" s="2" t="s">
        <v>679</v>
      </c>
      <c r="B265" s="2">
        <v>278</v>
      </c>
      <c r="C265" s="2" t="s">
        <v>16</v>
      </c>
      <c r="D265" s="2">
        <v>968</v>
      </c>
      <c r="E265" s="2">
        <v>20020</v>
      </c>
      <c r="G265" s="2">
        <v>672</v>
      </c>
      <c r="H265" s="2" t="s">
        <v>680</v>
      </c>
      <c r="I265" s="2">
        <f>VLOOKUP(H265,[1]Customers!$A:$B,2,FALSE)</f>
        <v>3547</v>
      </c>
      <c r="J265" s="2">
        <v>45433</v>
      </c>
      <c r="K265" s="2" t="s">
        <v>681</v>
      </c>
      <c r="M265" s="2">
        <v>4260</v>
      </c>
      <c r="N265" s="3" t="s">
        <v>19</v>
      </c>
      <c r="O265" s="2">
        <v>36199</v>
      </c>
    </row>
    <row r="266" spans="1:15" x14ac:dyDescent="0.35">
      <c r="A266" s="2" t="s">
        <v>682</v>
      </c>
      <c r="B266" s="2">
        <v>279</v>
      </c>
      <c r="C266" s="2" t="s">
        <v>16</v>
      </c>
      <c r="D266" s="2">
        <v>968</v>
      </c>
      <c r="E266" s="2">
        <v>20020</v>
      </c>
      <c r="G266" s="2">
        <v>350</v>
      </c>
      <c r="H266" s="2" t="s">
        <v>683</v>
      </c>
      <c r="I266" s="2">
        <f>VLOOKUP(H266,[1]Customers!$A:$B,2,FALSE)</f>
        <v>2273</v>
      </c>
      <c r="J266" s="2">
        <v>45755</v>
      </c>
      <c r="K266" s="2" t="s">
        <v>684</v>
      </c>
      <c r="M266" s="2">
        <v>4658.01</v>
      </c>
      <c r="N266" s="3" t="s">
        <v>19</v>
      </c>
    </row>
    <row r="267" spans="1:15" ht="15" customHeight="1" x14ac:dyDescent="0.35">
      <c r="A267" s="2" t="s">
        <v>685</v>
      </c>
      <c r="B267" s="2">
        <v>280</v>
      </c>
      <c r="C267" s="2" t="s">
        <v>16</v>
      </c>
      <c r="D267" s="2">
        <v>968</v>
      </c>
      <c r="E267" s="2">
        <v>20020</v>
      </c>
      <c r="G267" s="2">
        <v>391</v>
      </c>
      <c r="H267" s="2" t="s">
        <v>686</v>
      </c>
      <c r="I267" s="2">
        <f>VLOOKUP(H267,[1]Customers!$A:$B,2,FALSE)</f>
        <v>632</v>
      </c>
      <c r="J267" s="2">
        <v>45714</v>
      </c>
      <c r="K267" s="2" t="s">
        <v>687</v>
      </c>
      <c r="M267" s="2">
        <v>2620.4499999999998</v>
      </c>
      <c r="N267" s="3" t="s">
        <v>19</v>
      </c>
      <c r="O267" s="2">
        <v>5331</v>
      </c>
    </row>
    <row r="268" spans="1:15" x14ac:dyDescent="0.35">
      <c r="A268" s="2" t="s">
        <v>688</v>
      </c>
      <c r="B268" s="2">
        <v>281</v>
      </c>
      <c r="C268" s="2" t="s">
        <v>16</v>
      </c>
      <c r="D268" s="2">
        <v>968</v>
      </c>
      <c r="E268" s="2">
        <v>20020</v>
      </c>
      <c r="G268" s="2">
        <v>431</v>
      </c>
      <c r="H268" s="2" t="s">
        <v>689</v>
      </c>
      <c r="I268" s="2">
        <f>VLOOKUP(H268,[1]Customers!$A:$B,2,FALSE)</f>
        <v>3377</v>
      </c>
      <c r="J268" s="2">
        <v>45674</v>
      </c>
      <c r="K268" s="2" t="s">
        <v>690</v>
      </c>
      <c r="M268" s="2">
        <v>196334.78</v>
      </c>
      <c r="N268" s="3" t="s">
        <v>19</v>
      </c>
    </row>
    <row r="269" spans="1:15" ht="15" customHeight="1" x14ac:dyDescent="0.35">
      <c r="A269" s="2" t="s">
        <v>691</v>
      </c>
      <c r="B269" s="2">
        <v>282</v>
      </c>
      <c r="C269" s="2" t="s">
        <v>16</v>
      </c>
      <c r="D269" s="2">
        <v>968</v>
      </c>
      <c r="E269" s="2">
        <v>20020</v>
      </c>
      <c r="G269" s="2">
        <v>308</v>
      </c>
      <c r="H269" s="2" t="s">
        <v>692</v>
      </c>
      <c r="I269" s="2">
        <v>637</v>
      </c>
      <c r="J269" s="2">
        <v>45797</v>
      </c>
      <c r="K269" s="2" t="s">
        <v>693</v>
      </c>
      <c r="M269" s="2">
        <v>500000</v>
      </c>
      <c r="N269" s="3" t="s">
        <v>19</v>
      </c>
    </row>
    <row r="270" spans="1:15" x14ac:dyDescent="0.35">
      <c r="A270" s="2" t="s">
        <v>694</v>
      </c>
      <c r="B270" s="2">
        <v>283</v>
      </c>
      <c r="C270" s="2" t="s">
        <v>16</v>
      </c>
      <c r="D270" s="2">
        <v>968</v>
      </c>
      <c r="E270" s="2">
        <v>20020</v>
      </c>
      <c r="G270" s="2">
        <v>377</v>
      </c>
      <c r="H270" s="2" t="s">
        <v>695</v>
      </c>
      <c r="I270" s="2">
        <f>VLOOKUP(H270,[1]Customers!$A:$B,2,FALSE)</f>
        <v>2162</v>
      </c>
      <c r="J270" s="2">
        <v>45728</v>
      </c>
      <c r="K270" s="2" t="s">
        <v>696</v>
      </c>
      <c r="M270" s="2">
        <v>9387.5400000000009</v>
      </c>
      <c r="N270" s="3" t="s">
        <v>19</v>
      </c>
    </row>
    <row r="271" spans="1:15" x14ac:dyDescent="0.35">
      <c r="A271" s="2" t="s">
        <v>697</v>
      </c>
      <c r="B271" s="2">
        <v>284</v>
      </c>
      <c r="C271" s="2" t="s">
        <v>16</v>
      </c>
      <c r="D271" s="2">
        <v>968</v>
      </c>
      <c r="E271" s="2">
        <v>20020</v>
      </c>
      <c r="G271" s="2">
        <v>326</v>
      </c>
      <c r="H271" s="2" t="s">
        <v>698</v>
      </c>
      <c r="I271" s="2">
        <f>VLOOKUP(H271,[1]Customers!$A:$B,2,FALSE)</f>
        <v>2455</v>
      </c>
      <c r="J271" s="2">
        <v>45779</v>
      </c>
      <c r="K271" s="2" t="s">
        <v>699</v>
      </c>
      <c r="M271" s="2">
        <v>389.29</v>
      </c>
      <c r="N271" s="3" t="s">
        <v>19</v>
      </c>
    </row>
    <row r="272" spans="1:15" x14ac:dyDescent="0.35">
      <c r="A272" s="2" t="s">
        <v>700</v>
      </c>
      <c r="B272" s="2">
        <v>285</v>
      </c>
      <c r="C272" s="2" t="s">
        <v>16</v>
      </c>
      <c r="D272" s="2">
        <v>968</v>
      </c>
      <c r="E272" s="2">
        <v>20020</v>
      </c>
      <c r="G272" s="2">
        <v>371</v>
      </c>
      <c r="H272" s="2" t="s">
        <v>701</v>
      </c>
      <c r="I272" s="2">
        <f>VLOOKUP(H272,[1]Customers!$A:$B,2,FALSE)</f>
        <v>649</v>
      </c>
      <c r="J272" s="2">
        <v>45734</v>
      </c>
      <c r="K272" s="2" t="s">
        <v>702</v>
      </c>
      <c r="M272" s="2">
        <v>117244.46</v>
      </c>
      <c r="N272" s="3" t="s">
        <v>19</v>
      </c>
    </row>
    <row r="273" spans="1:15" x14ac:dyDescent="0.35">
      <c r="A273" s="2" t="s">
        <v>703</v>
      </c>
      <c r="B273" s="2">
        <v>286</v>
      </c>
      <c r="C273" s="2" t="s">
        <v>16</v>
      </c>
      <c r="D273" s="2">
        <v>968</v>
      </c>
      <c r="E273" s="2">
        <v>20020</v>
      </c>
      <c r="G273" s="2">
        <v>414</v>
      </c>
      <c r="H273" s="2" t="s">
        <v>701</v>
      </c>
      <c r="I273" s="2">
        <f>VLOOKUP(H273,[1]Customers!$A:$B,2,FALSE)</f>
        <v>649</v>
      </c>
      <c r="J273" s="2">
        <v>45691</v>
      </c>
      <c r="K273" s="2" t="s">
        <v>702</v>
      </c>
      <c r="M273" s="2">
        <v>9439.67</v>
      </c>
      <c r="N273" s="3" t="s">
        <v>19</v>
      </c>
    </row>
    <row r="274" spans="1:15" x14ac:dyDescent="0.35">
      <c r="A274" s="2" t="s">
        <v>704</v>
      </c>
      <c r="B274" s="2">
        <v>287</v>
      </c>
      <c r="C274" s="2" t="s">
        <v>16</v>
      </c>
      <c r="D274" s="2">
        <v>968</v>
      </c>
      <c r="E274" s="2">
        <v>20020</v>
      </c>
      <c r="G274" s="2">
        <v>286</v>
      </c>
      <c r="H274" s="2" t="s">
        <v>705</v>
      </c>
      <c r="I274" s="2">
        <f>VLOOKUP(H274,[1]Customers!$A:$B,2,FALSE)</f>
        <v>2336</v>
      </c>
      <c r="J274" s="2">
        <v>45819</v>
      </c>
      <c r="K274" s="2" t="s">
        <v>706</v>
      </c>
      <c r="M274" s="2">
        <v>4059.16</v>
      </c>
      <c r="N274" s="3" t="s">
        <v>19</v>
      </c>
    </row>
    <row r="275" spans="1:15" x14ac:dyDescent="0.35">
      <c r="A275" s="2" t="s">
        <v>707</v>
      </c>
      <c r="B275" s="2">
        <v>288</v>
      </c>
      <c r="C275" s="2" t="s">
        <v>16</v>
      </c>
      <c r="D275" s="2">
        <v>968</v>
      </c>
      <c r="E275" s="2">
        <v>20020</v>
      </c>
      <c r="G275" s="2">
        <v>847</v>
      </c>
      <c r="H275" s="2" t="s">
        <v>708</v>
      </c>
      <c r="I275" s="2">
        <f>VLOOKUP(H275,[1]Customers!$A:$B,2,FALSE)</f>
        <v>3379</v>
      </c>
      <c r="J275" s="2">
        <v>45258</v>
      </c>
      <c r="K275" s="2" t="s">
        <v>709</v>
      </c>
      <c r="M275" s="2">
        <v>73.25</v>
      </c>
      <c r="N275" s="3" t="s">
        <v>19</v>
      </c>
    </row>
    <row r="276" spans="1:15" x14ac:dyDescent="0.35">
      <c r="A276" s="2" t="s">
        <v>710</v>
      </c>
      <c r="B276" s="2">
        <v>289</v>
      </c>
      <c r="C276" s="2" t="s">
        <v>16</v>
      </c>
      <c r="D276" s="2">
        <v>968</v>
      </c>
      <c r="E276" s="2">
        <v>20020</v>
      </c>
      <c r="G276" s="2">
        <v>365</v>
      </c>
      <c r="H276" s="2" t="s">
        <v>711</v>
      </c>
      <c r="I276" s="2">
        <f>VLOOKUP(H276,[1]Customers!$A:$B,2,FALSE)</f>
        <v>675</v>
      </c>
      <c r="J276" s="2">
        <v>45740</v>
      </c>
      <c r="K276" s="2" t="s">
        <v>712</v>
      </c>
      <c r="M276" s="2">
        <v>17719.990000000002</v>
      </c>
      <c r="N276" s="3" t="s">
        <v>19</v>
      </c>
    </row>
    <row r="277" spans="1:15" x14ac:dyDescent="0.35">
      <c r="A277" s="2" t="s">
        <v>713</v>
      </c>
      <c r="B277" s="2">
        <v>290</v>
      </c>
      <c r="C277" s="2" t="s">
        <v>16</v>
      </c>
      <c r="D277" s="2">
        <v>968</v>
      </c>
      <c r="E277" s="2">
        <v>20020</v>
      </c>
      <c r="G277" s="2">
        <v>327</v>
      </c>
      <c r="H277" s="2" t="s">
        <v>714</v>
      </c>
      <c r="I277" s="2">
        <f>VLOOKUP(H277,[1]Customers!$A:$B,2,FALSE)</f>
        <v>2338</v>
      </c>
      <c r="J277" s="2">
        <v>45778</v>
      </c>
      <c r="K277" s="2" t="s">
        <v>715</v>
      </c>
      <c r="M277" s="2">
        <v>3401</v>
      </c>
      <c r="N277" s="3" t="s">
        <v>19</v>
      </c>
    </row>
    <row r="278" spans="1:15" x14ac:dyDescent="0.35">
      <c r="A278" s="2" t="s">
        <v>716</v>
      </c>
      <c r="B278" s="2">
        <v>291</v>
      </c>
      <c r="C278" s="2" t="s">
        <v>16</v>
      </c>
      <c r="D278" s="2">
        <v>968</v>
      </c>
      <c r="E278" s="2">
        <v>20020</v>
      </c>
      <c r="G278" s="2">
        <v>376</v>
      </c>
      <c r="H278" s="2" t="s">
        <v>717</v>
      </c>
      <c r="I278" s="2">
        <v>2609</v>
      </c>
      <c r="J278" s="2">
        <v>45729</v>
      </c>
      <c r="K278" s="2" t="s">
        <v>718</v>
      </c>
      <c r="M278" s="2">
        <v>363954.02</v>
      </c>
      <c r="N278" s="3" t="s">
        <v>19</v>
      </c>
    </row>
    <row r="279" spans="1:15" x14ac:dyDescent="0.35">
      <c r="A279" s="2" t="s">
        <v>719</v>
      </c>
      <c r="B279" s="2">
        <v>292</v>
      </c>
      <c r="C279" s="2" t="s">
        <v>16</v>
      </c>
      <c r="D279" s="2">
        <v>968</v>
      </c>
      <c r="E279" s="2">
        <v>20020</v>
      </c>
      <c r="G279" s="2">
        <v>588</v>
      </c>
      <c r="H279" s="2" t="s">
        <v>717</v>
      </c>
      <c r="I279" s="2">
        <v>2609</v>
      </c>
      <c r="J279" s="2">
        <v>45517</v>
      </c>
      <c r="M279" s="2">
        <v>43.27</v>
      </c>
      <c r="N279" s="3" t="s">
        <v>19</v>
      </c>
      <c r="O279" s="2" t="s">
        <v>720</v>
      </c>
    </row>
    <row r="280" spans="1:15" x14ac:dyDescent="0.35">
      <c r="A280" s="2" t="s">
        <v>721</v>
      </c>
      <c r="B280" s="2">
        <v>293</v>
      </c>
      <c r="C280" s="2" t="s">
        <v>16</v>
      </c>
      <c r="D280" s="2">
        <v>968</v>
      </c>
      <c r="E280" s="2">
        <v>20020</v>
      </c>
      <c r="G280" s="2">
        <v>438</v>
      </c>
      <c r="H280" s="2" t="s">
        <v>717</v>
      </c>
      <c r="I280" s="2">
        <v>2609</v>
      </c>
      <c r="J280" s="2">
        <v>45667</v>
      </c>
      <c r="K280" s="2" t="s">
        <v>722</v>
      </c>
      <c r="M280" s="2">
        <v>265313.38</v>
      </c>
      <c r="N280" s="3" t="s">
        <v>19</v>
      </c>
    </row>
    <row r="281" spans="1:15" x14ac:dyDescent="0.35">
      <c r="A281" s="2" t="s">
        <v>723</v>
      </c>
      <c r="B281" s="2">
        <v>294</v>
      </c>
      <c r="C281" s="2" t="s">
        <v>16</v>
      </c>
      <c r="D281" s="2">
        <v>968</v>
      </c>
      <c r="E281" s="2">
        <v>20020</v>
      </c>
      <c r="G281" s="2">
        <v>306</v>
      </c>
      <c r="H281" s="2" t="s">
        <v>724</v>
      </c>
      <c r="I281" s="2">
        <f>VLOOKUP(H281,[1]Customers!$A:$B,2,FALSE)</f>
        <v>2466</v>
      </c>
      <c r="J281" s="2">
        <v>45799</v>
      </c>
      <c r="K281" s="2" t="s">
        <v>725</v>
      </c>
      <c r="M281" s="2">
        <v>4427.42</v>
      </c>
      <c r="N281" s="3" t="s">
        <v>19</v>
      </c>
    </row>
    <row r="282" spans="1:15" x14ac:dyDescent="0.35">
      <c r="A282" s="2" t="s">
        <v>726</v>
      </c>
      <c r="B282" s="2">
        <v>295</v>
      </c>
      <c r="C282" s="2" t="s">
        <v>16</v>
      </c>
      <c r="D282" s="2">
        <v>968</v>
      </c>
      <c r="E282" s="2">
        <v>20020</v>
      </c>
      <c r="G282" s="2">
        <v>326</v>
      </c>
      <c r="H282" s="2" t="s">
        <v>724</v>
      </c>
      <c r="I282" s="2">
        <f>VLOOKUP(H282,[1]Customers!$A:$B,2,FALSE)</f>
        <v>2466</v>
      </c>
      <c r="J282" s="2">
        <v>45779</v>
      </c>
      <c r="K282" s="2" t="s">
        <v>727</v>
      </c>
      <c r="M282" s="2">
        <v>27336.73</v>
      </c>
      <c r="N282" s="3" t="s">
        <v>19</v>
      </c>
    </row>
    <row r="283" spans="1:15" x14ac:dyDescent="0.35">
      <c r="A283" s="2" t="s">
        <v>728</v>
      </c>
      <c r="B283" s="2">
        <v>296</v>
      </c>
      <c r="C283" s="2" t="s">
        <v>16</v>
      </c>
      <c r="D283" s="2">
        <v>968</v>
      </c>
      <c r="E283" s="2">
        <v>20020</v>
      </c>
      <c r="G283" s="2">
        <v>319</v>
      </c>
      <c r="H283" s="2" t="s">
        <v>724</v>
      </c>
      <c r="I283" s="2">
        <f>VLOOKUP(H283,[1]Customers!$A:$B,2,FALSE)</f>
        <v>2466</v>
      </c>
      <c r="J283" s="2">
        <v>45786</v>
      </c>
      <c r="K283" s="2" t="s">
        <v>729</v>
      </c>
      <c r="M283" s="2">
        <v>4509.24</v>
      </c>
      <c r="N283" s="3" t="s">
        <v>19</v>
      </c>
      <c r="O283" s="2">
        <v>5664</v>
      </c>
    </row>
    <row r="284" spans="1:15" x14ac:dyDescent="0.35">
      <c r="A284" s="2" t="s">
        <v>730</v>
      </c>
      <c r="B284" s="2">
        <v>297</v>
      </c>
      <c r="C284" s="2" t="s">
        <v>16</v>
      </c>
      <c r="D284" s="2">
        <v>968</v>
      </c>
      <c r="E284" s="2">
        <v>20020</v>
      </c>
      <c r="G284" s="2">
        <v>487</v>
      </c>
      <c r="H284" s="2" t="s">
        <v>724</v>
      </c>
      <c r="I284" s="2">
        <f>VLOOKUP(H284,[1]Customers!$A:$B,2,FALSE)</f>
        <v>2466</v>
      </c>
      <c r="J284" s="2">
        <v>45618</v>
      </c>
      <c r="K284" s="2" t="s">
        <v>727</v>
      </c>
      <c r="M284" s="2">
        <v>4343.49</v>
      </c>
      <c r="N284" s="3" t="s">
        <v>19</v>
      </c>
    </row>
    <row r="285" spans="1:15" x14ac:dyDescent="0.35">
      <c r="A285" s="2" t="s">
        <v>731</v>
      </c>
      <c r="B285" s="2">
        <v>298</v>
      </c>
      <c r="C285" s="2" t="s">
        <v>16</v>
      </c>
      <c r="D285" s="2">
        <v>968</v>
      </c>
      <c r="E285" s="2">
        <v>20020</v>
      </c>
      <c r="G285" s="2">
        <v>362</v>
      </c>
      <c r="H285" s="2" t="s">
        <v>732</v>
      </c>
      <c r="I285" s="2">
        <f>VLOOKUP(H285,[1]Customers!$A:$B,2,FALSE)</f>
        <v>2288</v>
      </c>
      <c r="J285" s="2">
        <v>45743</v>
      </c>
      <c r="K285" s="2" t="s">
        <v>733</v>
      </c>
      <c r="M285" s="2">
        <v>239</v>
      </c>
      <c r="N285" s="3" t="s">
        <v>19</v>
      </c>
    </row>
    <row r="286" spans="1:15" x14ac:dyDescent="0.35">
      <c r="A286" s="2" t="s">
        <v>734</v>
      </c>
      <c r="B286" s="2">
        <v>299</v>
      </c>
      <c r="C286" s="2" t="s">
        <v>16</v>
      </c>
      <c r="D286" s="2">
        <v>968</v>
      </c>
      <c r="E286" s="2">
        <v>20020</v>
      </c>
      <c r="G286" s="2">
        <v>399</v>
      </c>
      <c r="H286" s="2" t="s">
        <v>735</v>
      </c>
      <c r="I286" s="2">
        <f>VLOOKUP(H286,[1]Customers!$A:$B,2,FALSE)</f>
        <v>2599</v>
      </c>
      <c r="J286" s="2">
        <v>45706</v>
      </c>
      <c r="K286" s="2" t="s">
        <v>736</v>
      </c>
      <c r="M286" s="2">
        <v>2052.6799999999998</v>
      </c>
      <c r="N286" s="3" t="s">
        <v>19</v>
      </c>
      <c r="O286" s="2">
        <v>468</v>
      </c>
    </row>
    <row r="287" spans="1:15" x14ac:dyDescent="0.35">
      <c r="A287" s="2" t="s">
        <v>737</v>
      </c>
      <c r="B287" s="2">
        <v>300</v>
      </c>
      <c r="C287" s="2" t="s">
        <v>16</v>
      </c>
      <c r="D287" s="2">
        <v>968</v>
      </c>
      <c r="E287" s="2">
        <v>20020</v>
      </c>
      <c r="G287" s="2">
        <v>279</v>
      </c>
      <c r="H287" s="2" t="s">
        <v>738</v>
      </c>
      <c r="I287" s="2">
        <f>VLOOKUP(H287,[1]Customers!$A:$B,2,FALSE)</f>
        <v>933</v>
      </c>
      <c r="J287" s="2">
        <v>45826</v>
      </c>
      <c r="K287" s="2" t="s">
        <v>739</v>
      </c>
      <c r="M287" s="2">
        <v>2002.44</v>
      </c>
      <c r="N287" s="3" t="s">
        <v>19</v>
      </c>
    </row>
    <row r="288" spans="1:15" x14ac:dyDescent="0.35">
      <c r="A288" s="2" t="s">
        <v>740</v>
      </c>
      <c r="B288" s="2">
        <v>301</v>
      </c>
      <c r="C288" s="2" t="s">
        <v>16</v>
      </c>
      <c r="D288" s="2">
        <v>968</v>
      </c>
      <c r="E288" s="2">
        <v>20020</v>
      </c>
      <c r="G288" s="2">
        <v>362</v>
      </c>
      <c r="H288" s="2" t="s">
        <v>738</v>
      </c>
      <c r="I288" s="2">
        <f>VLOOKUP(H288,[1]Customers!$A:$B,2,FALSE)</f>
        <v>933</v>
      </c>
      <c r="J288" s="2">
        <v>45743</v>
      </c>
      <c r="K288" s="2" t="s">
        <v>741</v>
      </c>
      <c r="M288" s="2">
        <v>5756.59</v>
      </c>
      <c r="N288" s="3" t="s">
        <v>19</v>
      </c>
    </row>
    <row r="289" spans="1:15" x14ac:dyDescent="0.35">
      <c r="A289" s="2" t="s">
        <v>742</v>
      </c>
      <c r="B289" s="2">
        <v>302</v>
      </c>
      <c r="C289" s="2" t="s">
        <v>16</v>
      </c>
      <c r="D289" s="2">
        <v>968</v>
      </c>
      <c r="E289" s="2">
        <v>20020</v>
      </c>
      <c r="G289" s="2">
        <v>364</v>
      </c>
      <c r="H289" s="2" t="s">
        <v>743</v>
      </c>
      <c r="I289" s="2">
        <f>VLOOKUP(H289,[1]Customers!$A:$B,2,FALSE)</f>
        <v>2169</v>
      </c>
      <c r="J289" s="2">
        <v>45741</v>
      </c>
      <c r="K289" s="2" t="s">
        <v>744</v>
      </c>
      <c r="M289" s="2">
        <v>199306.4</v>
      </c>
      <c r="N289" s="3" t="s">
        <v>19</v>
      </c>
    </row>
    <row r="290" spans="1:15" x14ac:dyDescent="0.35">
      <c r="A290" s="2" t="s">
        <v>745</v>
      </c>
      <c r="B290" s="2">
        <v>303</v>
      </c>
      <c r="C290" s="2" t="s">
        <v>16</v>
      </c>
      <c r="D290" s="2">
        <v>968</v>
      </c>
      <c r="E290" s="2">
        <v>20020</v>
      </c>
      <c r="G290" s="2">
        <v>382</v>
      </c>
      <c r="H290" s="2" t="s">
        <v>746</v>
      </c>
      <c r="I290" s="2">
        <f>VLOOKUP(H290,[1]Customers!$A:$B,2,FALSE)</f>
        <v>2554</v>
      </c>
      <c r="J290" s="2">
        <v>45723</v>
      </c>
      <c r="K290" s="2" t="s">
        <v>747</v>
      </c>
      <c r="M290" s="2">
        <v>300000</v>
      </c>
      <c r="N290" s="3" t="s">
        <v>19</v>
      </c>
    </row>
    <row r="291" spans="1:15" x14ac:dyDescent="0.35">
      <c r="A291" s="2" t="s">
        <v>748</v>
      </c>
      <c r="B291" s="2">
        <v>304</v>
      </c>
      <c r="C291" s="2" t="s">
        <v>16</v>
      </c>
      <c r="D291" s="2">
        <v>968</v>
      </c>
      <c r="E291" s="2">
        <v>20020</v>
      </c>
      <c r="G291" s="2">
        <v>354</v>
      </c>
      <c r="H291" s="2" t="s">
        <v>749</v>
      </c>
      <c r="I291" s="2">
        <f>VLOOKUP(H291,[1]Customers!$A:$B,2,FALSE)</f>
        <v>2597</v>
      </c>
      <c r="J291" s="2">
        <v>45751</v>
      </c>
      <c r="K291" s="2" t="s">
        <v>750</v>
      </c>
      <c r="M291" s="2">
        <v>4400</v>
      </c>
      <c r="N291" s="3" t="s">
        <v>19</v>
      </c>
    </row>
    <row r="292" spans="1:15" x14ac:dyDescent="0.35">
      <c r="A292" s="2" t="s">
        <v>751</v>
      </c>
      <c r="B292" s="2">
        <v>305</v>
      </c>
      <c r="C292" s="2" t="s">
        <v>16</v>
      </c>
      <c r="D292" s="2">
        <v>968</v>
      </c>
      <c r="E292" s="2">
        <v>20020</v>
      </c>
      <c r="G292" s="2">
        <v>323</v>
      </c>
      <c r="H292" s="2" t="s">
        <v>749</v>
      </c>
      <c r="I292" s="2">
        <f>VLOOKUP(H292,[1]Customers!$A:$B,2,FALSE)</f>
        <v>2597</v>
      </c>
      <c r="J292" s="2">
        <v>45782</v>
      </c>
      <c r="K292" s="2" t="s">
        <v>752</v>
      </c>
      <c r="M292" s="2">
        <v>5975</v>
      </c>
      <c r="N292" s="3" t="s">
        <v>19</v>
      </c>
    </row>
    <row r="293" spans="1:15" x14ac:dyDescent="0.35">
      <c r="A293" s="2" t="s">
        <v>753</v>
      </c>
      <c r="B293" s="2">
        <v>306</v>
      </c>
      <c r="C293" s="2" t="s">
        <v>16</v>
      </c>
      <c r="D293" s="2">
        <v>968</v>
      </c>
      <c r="E293" s="2">
        <v>20020</v>
      </c>
      <c r="G293" s="2">
        <v>347</v>
      </c>
      <c r="H293" s="2" t="s">
        <v>749</v>
      </c>
      <c r="I293" s="2">
        <f>VLOOKUP(H293,[1]Customers!$A:$B,2,FALSE)</f>
        <v>2597</v>
      </c>
      <c r="J293" s="2">
        <v>45758</v>
      </c>
      <c r="K293" s="2" t="s">
        <v>754</v>
      </c>
      <c r="M293" s="2">
        <v>4300</v>
      </c>
      <c r="N293" s="3" t="s">
        <v>19</v>
      </c>
    </row>
    <row r="294" spans="1:15" x14ac:dyDescent="0.35">
      <c r="A294" s="2" t="s">
        <v>755</v>
      </c>
      <c r="B294" s="2">
        <v>307</v>
      </c>
      <c r="C294" s="2" t="s">
        <v>16</v>
      </c>
      <c r="D294" s="2">
        <v>968</v>
      </c>
      <c r="E294" s="2">
        <v>20020</v>
      </c>
      <c r="G294" s="2">
        <v>391</v>
      </c>
      <c r="H294" s="2" t="s">
        <v>749</v>
      </c>
      <c r="I294" s="2">
        <f>VLOOKUP(H294,[1]Customers!$A:$B,2,FALSE)</f>
        <v>2597</v>
      </c>
      <c r="J294" s="2">
        <v>45714</v>
      </c>
      <c r="K294" s="2" t="s">
        <v>756</v>
      </c>
      <c r="M294" s="2">
        <v>85804.66</v>
      </c>
      <c r="N294" s="3" t="s">
        <v>19</v>
      </c>
    </row>
    <row r="295" spans="1:15" x14ac:dyDescent="0.35">
      <c r="A295" s="2" t="s">
        <v>757</v>
      </c>
      <c r="B295" s="2">
        <v>308</v>
      </c>
      <c r="C295" s="2" t="s">
        <v>16</v>
      </c>
      <c r="D295" s="2">
        <v>968</v>
      </c>
      <c r="E295" s="2">
        <v>20020</v>
      </c>
      <c r="G295" s="2">
        <v>361</v>
      </c>
      <c r="H295" s="2" t="s">
        <v>758</v>
      </c>
      <c r="I295" s="2">
        <f>VLOOKUP(H295,[1]Customers!$A:$B,2,FALSE)</f>
        <v>2306</v>
      </c>
      <c r="J295" s="2">
        <v>45744</v>
      </c>
      <c r="K295" s="2" t="s">
        <v>759</v>
      </c>
      <c r="M295" s="2">
        <v>500.52</v>
      </c>
      <c r="N295" s="3" t="s">
        <v>19</v>
      </c>
      <c r="O295" s="2">
        <v>86</v>
      </c>
    </row>
    <row r="296" spans="1:15" x14ac:dyDescent="0.35">
      <c r="A296" s="2" t="s">
        <v>760</v>
      </c>
      <c r="B296" s="2">
        <v>309</v>
      </c>
      <c r="C296" s="2" t="s">
        <v>16</v>
      </c>
      <c r="D296" s="2">
        <v>968</v>
      </c>
      <c r="E296" s="2">
        <v>20020</v>
      </c>
      <c r="G296" s="2">
        <v>287</v>
      </c>
      <c r="H296" s="2" t="s">
        <v>758</v>
      </c>
      <c r="I296" s="2">
        <f>VLOOKUP(H296,[1]Customers!$A:$B,2,FALSE)</f>
        <v>2306</v>
      </c>
      <c r="J296" s="2">
        <v>45818</v>
      </c>
      <c r="K296" s="2" t="s">
        <v>761</v>
      </c>
      <c r="M296" s="2">
        <v>913.5</v>
      </c>
      <c r="N296" s="3" t="s">
        <v>19</v>
      </c>
    </row>
    <row r="297" spans="1:15" x14ac:dyDescent="0.35">
      <c r="A297" s="2" t="s">
        <v>762</v>
      </c>
      <c r="B297" s="2">
        <v>310</v>
      </c>
      <c r="C297" s="2" t="s">
        <v>16</v>
      </c>
      <c r="D297" s="2">
        <v>968</v>
      </c>
      <c r="E297" s="2">
        <v>20020</v>
      </c>
      <c r="G297" s="2">
        <v>494</v>
      </c>
      <c r="H297" s="2" t="s">
        <v>763</v>
      </c>
      <c r="I297" s="2">
        <f>VLOOKUP(H297,[1]Customers!$A:$B,2,FALSE)</f>
        <v>3388</v>
      </c>
      <c r="J297" s="2">
        <v>45611</v>
      </c>
      <c r="K297" s="2" t="s">
        <v>764</v>
      </c>
      <c r="M297" s="2">
        <v>7867.61</v>
      </c>
      <c r="N297" s="3" t="s">
        <v>19</v>
      </c>
    </row>
    <row r="298" spans="1:15" x14ac:dyDescent="0.35">
      <c r="A298" s="2" t="s">
        <v>765</v>
      </c>
      <c r="B298" s="2">
        <v>311</v>
      </c>
      <c r="C298" s="2" t="s">
        <v>16</v>
      </c>
      <c r="D298" s="2">
        <v>968</v>
      </c>
      <c r="E298" s="2">
        <v>20020</v>
      </c>
      <c r="G298" s="2">
        <v>354</v>
      </c>
      <c r="H298" s="2" t="s">
        <v>763</v>
      </c>
      <c r="I298" s="2">
        <f>VLOOKUP(H298,[1]Customers!$A:$B,2,FALSE)</f>
        <v>3388</v>
      </c>
      <c r="J298" s="2">
        <v>45751</v>
      </c>
      <c r="K298" s="2" t="s">
        <v>766</v>
      </c>
      <c r="M298" s="2">
        <v>1428.68</v>
      </c>
      <c r="N298" s="3" t="s">
        <v>19</v>
      </c>
    </row>
    <row r="299" spans="1:15" x14ac:dyDescent="0.35">
      <c r="A299" s="2" t="s">
        <v>767</v>
      </c>
      <c r="B299" s="2">
        <v>312</v>
      </c>
      <c r="C299" s="2" t="s">
        <v>16</v>
      </c>
      <c r="D299" s="2">
        <v>968</v>
      </c>
      <c r="E299" s="2">
        <v>20020</v>
      </c>
      <c r="G299" s="2">
        <v>398</v>
      </c>
      <c r="H299" s="2" t="s">
        <v>763</v>
      </c>
      <c r="I299" s="2">
        <f>VLOOKUP(H299,[1]Customers!$A:$B,2,FALSE)</f>
        <v>3388</v>
      </c>
      <c r="J299" s="2">
        <v>45707</v>
      </c>
      <c r="K299" s="2" t="s">
        <v>764</v>
      </c>
      <c r="M299" s="2">
        <v>28899.89</v>
      </c>
      <c r="N299" s="3" t="s">
        <v>19</v>
      </c>
    </row>
    <row r="300" spans="1:15" x14ac:dyDescent="0.35">
      <c r="A300" s="2" t="s">
        <v>768</v>
      </c>
      <c r="B300" s="2">
        <v>313</v>
      </c>
      <c r="C300" s="2" t="s">
        <v>16</v>
      </c>
      <c r="D300" s="2">
        <v>968</v>
      </c>
      <c r="E300" s="2">
        <v>20020</v>
      </c>
      <c r="G300" s="2">
        <v>363</v>
      </c>
      <c r="H300" s="2" t="s">
        <v>769</v>
      </c>
      <c r="I300" s="2">
        <f>VLOOKUP(H300,[1]Customers!$A:$B,2,FALSE)</f>
        <v>690</v>
      </c>
      <c r="J300" s="2">
        <v>45742</v>
      </c>
      <c r="K300" s="2" t="s">
        <v>770</v>
      </c>
      <c r="M300" s="2">
        <v>0.28000000000000003</v>
      </c>
      <c r="N300" s="3" t="s">
        <v>19</v>
      </c>
    </row>
    <row r="301" spans="1:15" x14ac:dyDescent="0.35">
      <c r="A301" s="2" t="s">
        <v>771</v>
      </c>
      <c r="B301" s="2">
        <v>314</v>
      </c>
      <c r="C301" s="2" t="s">
        <v>16</v>
      </c>
      <c r="D301" s="2">
        <v>968</v>
      </c>
      <c r="E301" s="2">
        <v>20020</v>
      </c>
      <c r="G301" s="2">
        <v>355</v>
      </c>
      <c r="H301" s="2" t="s">
        <v>772</v>
      </c>
      <c r="I301" s="2">
        <f>VLOOKUP(H301,[1]Customers!$A:$B,2,FALSE)</f>
        <v>2334</v>
      </c>
      <c r="J301" s="2">
        <v>45750</v>
      </c>
      <c r="K301" s="2" t="s">
        <v>773</v>
      </c>
      <c r="M301" s="2">
        <v>1671.51</v>
      </c>
      <c r="N301" s="3" t="s">
        <v>19</v>
      </c>
      <c r="O301" s="2">
        <v>678</v>
      </c>
    </row>
    <row r="302" spans="1:15" x14ac:dyDescent="0.35">
      <c r="A302" s="2" t="s">
        <v>774</v>
      </c>
      <c r="B302" s="2">
        <v>315</v>
      </c>
      <c r="C302" s="2" t="s">
        <v>16</v>
      </c>
      <c r="D302" s="2">
        <v>968</v>
      </c>
      <c r="E302" s="2">
        <v>20020</v>
      </c>
      <c r="G302" s="2">
        <v>298</v>
      </c>
      <c r="H302" s="2" t="s">
        <v>775</v>
      </c>
      <c r="I302" s="2">
        <f>VLOOKUP(H302,[1]Customers!$A:$B,2,FALSE)</f>
        <v>3566</v>
      </c>
      <c r="J302" s="2">
        <v>45807</v>
      </c>
      <c r="K302" s="2" t="s">
        <v>776</v>
      </c>
      <c r="M302" s="2">
        <v>1931.35</v>
      </c>
      <c r="N302" s="3" t="s">
        <v>19</v>
      </c>
    </row>
    <row r="303" spans="1:15" x14ac:dyDescent="0.35">
      <c r="A303" s="2" t="s">
        <v>777</v>
      </c>
      <c r="B303" s="2">
        <v>316</v>
      </c>
      <c r="C303" s="2" t="s">
        <v>16</v>
      </c>
      <c r="D303" s="2">
        <v>968</v>
      </c>
      <c r="E303" s="2">
        <v>20020</v>
      </c>
      <c r="G303" s="2">
        <v>271</v>
      </c>
      <c r="H303" s="2" t="s">
        <v>778</v>
      </c>
      <c r="I303" s="2">
        <f>VLOOKUP(H303,[1]Customers!$A:$B,2,FALSE)</f>
        <v>2450</v>
      </c>
      <c r="J303" s="2">
        <v>45834</v>
      </c>
      <c r="K303" s="2" t="s">
        <v>779</v>
      </c>
      <c r="M303" s="2">
        <v>3091.34</v>
      </c>
      <c r="N303" s="3" t="s">
        <v>19</v>
      </c>
    </row>
    <row r="304" spans="1:15" x14ac:dyDescent="0.35">
      <c r="A304" s="2" t="s">
        <v>780</v>
      </c>
      <c r="B304" s="2">
        <v>317</v>
      </c>
      <c r="C304" s="2" t="s">
        <v>16</v>
      </c>
      <c r="D304" s="2">
        <v>968</v>
      </c>
      <c r="E304" s="2">
        <v>20020</v>
      </c>
      <c r="G304" s="2">
        <v>329</v>
      </c>
      <c r="H304" s="2" t="s">
        <v>781</v>
      </c>
      <c r="I304" s="2">
        <f>VLOOKUP(H304,[1]Customers!$A:$B,2,FALSE)</f>
        <v>2415</v>
      </c>
      <c r="J304" s="2">
        <v>45776</v>
      </c>
      <c r="K304" s="2" t="s">
        <v>782</v>
      </c>
      <c r="M304" s="2">
        <v>19964.330000000002</v>
      </c>
      <c r="N304" s="3" t="s">
        <v>19</v>
      </c>
      <c r="O304" s="2">
        <v>9141</v>
      </c>
    </row>
    <row r="305" spans="1:15" x14ac:dyDescent="0.35">
      <c r="A305" s="2" t="s">
        <v>783</v>
      </c>
      <c r="B305" s="2">
        <v>318</v>
      </c>
      <c r="C305" s="2" t="s">
        <v>16</v>
      </c>
      <c r="D305" s="2">
        <v>968</v>
      </c>
      <c r="E305" s="2">
        <v>20020</v>
      </c>
      <c r="G305" s="2">
        <v>1015</v>
      </c>
      <c r="H305" s="2" t="s">
        <v>784</v>
      </c>
      <c r="I305" s="2">
        <f>VLOOKUP(H305,[1]Customers!$A:$B,2,FALSE)</f>
        <v>3389</v>
      </c>
      <c r="J305" s="2">
        <v>45090</v>
      </c>
      <c r="K305" s="2" t="s">
        <v>785</v>
      </c>
      <c r="M305" s="2">
        <v>13197.29</v>
      </c>
      <c r="N305" s="3" t="s">
        <v>19</v>
      </c>
    </row>
    <row r="306" spans="1:15" x14ac:dyDescent="0.35">
      <c r="A306" s="2" t="s">
        <v>786</v>
      </c>
      <c r="B306" s="2">
        <v>319</v>
      </c>
      <c r="C306" s="2" t="s">
        <v>16</v>
      </c>
      <c r="D306" s="2">
        <v>968</v>
      </c>
      <c r="E306" s="2">
        <v>20020</v>
      </c>
      <c r="G306" s="2">
        <v>687</v>
      </c>
      <c r="H306" s="2" t="s">
        <v>787</v>
      </c>
      <c r="I306" s="2">
        <f>VLOOKUP(H306,[1]Customers!$A:$B,2,FALSE)</f>
        <v>2606</v>
      </c>
      <c r="J306" s="2">
        <v>45418</v>
      </c>
      <c r="K306" s="2" t="s">
        <v>788</v>
      </c>
      <c r="M306" s="2">
        <v>1874.95</v>
      </c>
      <c r="N306" s="3" t="s">
        <v>19</v>
      </c>
    </row>
    <row r="307" spans="1:15" x14ac:dyDescent="0.35">
      <c r="A307" s="2" t="s">
        <v>789</v>
      </c>
      <c r="B307" s="2">
        <v>320</v>
      </c>
      <c r="C307" s="2" t="s">
        <v>16</v>
      </c>
      <c r="D307" s="2">
        <v>968</v>
      </c>
      <c r="E307" s="2">
        <v>20020</v>
      </c>
      <c r="G307" s="2">
        <v>907</v>
      </c>
      <c r="H307" s="2" t="s">
        <v>790</v>
      </c>
      <c r="I307" s="2">
        <f>VLOOKUP(H307,[1]Customers!$A:$B,2,FALSE)</f>
        <v>3570</v>
      </c>
      <c r="J307" s="2">
        <v>45198</v>
      </c>
      <c r="K307" s="2" t="s">
        <v>791</v>
      </c>
      <c r="M307" s="2">
        <v>181.41</v>
      </c>
      <c r="N307" s="3" t="s">
        <v>19</v>
      </c>
      <c r="O307" s="2">
        <v>35197</v>
      </c>
    </row>
    <row r="308" spans="1:15" x14ac:dyDescent="0.35">
      <c r="A308" s="2" t="s">
        <v>792</v>
      </c>
      <c r="B308" s="2">
        <v>321</v>
      </c>
      <c r="C308" s="2" t="s">
        <v>16</v>
      </c>
      <c r="D308" s="2">
        <v>968</v>
      </c>
      <c r="E308" s="2">
        <v>20020</v>
      </c>
      <c r="G308" s="2">
        <v>267</v>
      </c>
      <c r="H308" s="2" t="s">
        <v>793</v>
      </c>
      <c r="I308" s="2">
        <f>VLOOKUP(H308,[1]Customers!$A:$B,2,FALSE)</f>
        <v>693</v>
      </c>
      <c r="J308" s="2">
        <v>45838</v>
      </c>
      <c r="K308" s="2" t="s">
        <v>794</v>
      </c>
      <c r="M308" s="2">
        <v>8731.8700000000008</v>
      </c>
      <c r="N308" s="3" t="s">
        <v>19</v>
      </c>
    </row>
    <row r="309" spans="1:15" x14ac:dyDescent="0.35">
      <c r="A309" s="2" t="s">
        <v>795</v>
      </c>
      <c r="B309" s="2">
        <v>322</v>
      </c>
      <c r="C309" s="2" t="s">
        <v>16</v>
      </c>
      <c r="D309" s="2">
        <v>968</v>
      </c>
      <c r="E309" s="2">
        <v>20020</v>
      </c>
      <c r="G309" s="2">
        <v>378</v>
      </c>
      <c r="H309" s="2" t="s">
        <v>793</v>
      </c>
      <c r="I309" s="2">
        <f>VLOOKUP(H309,[1]Customers!$A:$B,2,FALSE)</f>
        <v>693</v>
      </c>
      <c r="J309" s="2">
        <v>45727</v>
      </c>
      <c r="K309" s="2" t="s">
        <v>796</v>
      </c>
      <c r="M309" s="2">
        <v>14254.22</v>
      </c>
      <c r="N309" s="3" t="s">
        <v>19</v>
      </c>
    </row>
    <row r="310" spans="1:15" x14ac:dyDescent="0.35">
      <c r="A310" s="2" t="s">
        <v>797</v>
      </c>
      <c r="B310" s="2">
        <v>323</v>
      </c>
      <c r="C310" s="2" t="s">
        <v>16</v>
      </c>
      <c r="D310" s="2">
        <v>968</v>
      </c>
      <c r="E310" s="2">
        <v>20020</v>
      </c>
      <c r="G310" s="2">
        <v>327</v>
      </c>
      <c r="H310" s="2" t="s">
        <v>793</v>
      </c>
      <c r="I310" s="2">
        <f>VLOOKUP(H310,[1]Customers!$A:$B,2,FALSE)</f>
        <v>693</v>
      </c>
      <c r="J310" s="2">
        <v>45778</v>
      </c>
      <c r="K310" s="2" t="s">
        <v>798</v>
      </c>
      <c r="M310" s="2">
        <v>11487.5</v>
      </c>
      <c r="N310" s="3" t="s">
        <v>19</v>
      </c>
    </row>
    <row r="311" spans="1:15" x14ac:dyDescent="0.35">
      <c r="A311" s="2" t="s">
        <v>799</v>
      </c>
      <c r="B311" s="2">
        <v>324</v>
      </c>
      <c r="C311" s="2" t="s">
        <v>16</v>
      </c>
      <c r="D311" s="2">
        <v>968</v>
      </c>
      <c r="E311" s="2">
        <v>20020</v>
      </c>
      <c r="G311" s="2">
        <v>372</v>
      </c>
      <c r="H311" s="2" t="s">
        <v>793</v>
      </c>
      <c r="I311" s="2">
        <f>VLOOKUP(H311,[1]Customers!$A:$B,2,FALSE)</f>
        <v>693</v>
      </c>
      <c r="J311" s="2">
        <v>45733</v>
      </c>
      <c r="K311" s="2" t="s">
        <v>794</v>
      </c>
      <c r="M311" s="2">
        <v>8731.8799999999992</v>
      </c>
      <c r="N311" s="3" t="s">
        <v>19</v>
      </c>
    </row>
    <row r="312" spans="1:15" x14ac:dyDescent="0.35">
      <c r="A312" s="2" t="s">
        <v>800</v>
      </c>
      <c r="B312" s="2">
        <v>325</v>
      </c>
      <c r="C312" s="2" t="s">
        <v>16</v>
      </c>
      <c r="D312" s="2">
        <v>968</v>
      </c>
      <c r="E312" s="2">
        <v>20020</v>
      </c>
      <c r="G312" s="2">
        <v>502</v>
      </c>
      <c r="H312" s="2" t="s">
        <v>801</v>
      </c>
      <c r="I312" s="2">
        <v>2631</v>
      </c>
      <c r="J312" s="2">
        <v>45603</v>
      </c>
      <c r="K312" s="2" t="s">
        <v>802</v>
      </c>
      <c r="M312" s="2">
        <v>14228.54</v>
      </c>
      <c r="N312" s="3" t="s">
        <v>19</v>
      </c>
    </row>
    <row r="313" spans="1:15" x14ac:dyDescent="0.35">
      <c r="A313" s="2" t="s">
        <v>803</v>
      </c>
      <c r="B313" s="2">
        <v>326</v>
      </c>
      <c r="C313" s="2" t="s">
        <v>16</v>
      </c>
      <c r="D313" s="2">
        <v>968</v>
      </c>
      <c r="E313" s="2">
        <v>20020</v>
      </c>
      <c r="G313" s="2">
        <v>434</v>
      </c>
      <c r="H313" s="2" t="s">
        <v>801</v>
      </c>
      <c r="I313" s="2">
        <v>2631</v>
      </c>
      <c r="J313" s="2">
        <v>45671</v>
      </c>
      <c r="K313" s="2" t="s">
        <v>802</v>
      </c>
      <c r="M313" s="2">
        <v>14228.54</v>
      </c>
      <c r="N313" s="3" t="s">
        <v>19</v>
      </c>
    </row>
    <row r="314" spans="1:15" x14ac:dyDescent="0.35">
      <c r="A314" s="2" t="s">
        <v>804</v>
      </c>
      <c r="B314" s="2">
        <v>327</v>
      </c>
      <c r="C314" s="2" t="s">
        <v>16</v>
      </c>
      <c r="D314" s="2">
        <v>968</v>
      </c>
      <c r="E314" s="2">
        <v>20020</v>
      </c>
      <c r="G314" s="2">
        <v>285</v>
      </c>
      <c r="H314" s="2" t="s">
        <v>805</v>
      </c>
      <c r="I314" s="2">
        <f>VLOOKUP(H314,[1]Customers!$A:$B,2,FALSE)</f>
        <v>2537</v>
      </c>
      <c r="J314" s="2">
        <v>45820</v>
      </c>
      <c r="K314" s="2" t="s">
        <v>806</v>
      </c>
      <c r="M314" s="2">
        <v>36679.879999999997</v>
      </c>
      <c r="N314" s="3" t="s">
        <v>19</v>
      </c>
    </row>
    <row r="315" spans="1:15" x14ac:dyDescent="0.35">
      <c r="A315" s="2" t="s">
        <v>807</v>
      </c>
      <c r="B315" s="2">
        <v>328</v>
      </c>
      <c r="C315" s="2" t="s">
        <v>16</v>
      </c>
      <c r="D315" s="2">
        <v>968</v>
      </c>
      <c r="E315" s="2">
        <v>20020</v>
      </c>
      <c r="G315" s="2">
        <v>293</v>
      </c>
      <c r="H315" s="2" t="s">
        <v>808</v>
      </c>
      <c r="I315" s="2">
        <f>VLOOKUP(H315,[1]Customers!$A:$B,2,FALSE)</f>
        <v>3393</v>
      </c>
      <c r="J315" s="2">
        <v>45812</v>
      </c>
      <c r="K315" s="2" t="s">
        <v>809</v>
      </c>
      <c r="M315" s="2">
        <v>7885.21</v>
      </c>
      <c r="N315" s="3" t="s">
        <v>19</v>
      </c>
    </row>
    <row r="316" spans="1:15" x14ac:dyDescent="0.35">
      <c r="A316" s="2" t="s">
        <v>810</v>
      </c>
      <c r="B316" s="2">
        <v>329</v>
      </c>
      <c r="C316" s="2" t="s">
        <v>16</v>
      </c>
      <c r="D316" s="2">
        <v>968</v>
      </c>
      <c r="E316" s="2">
        <v>20020</v>
      </c>
      <c r="G316" s="2">
        <v>575</v>
      </c>
      <c r="H316" s="2" t="s">
        <v>808</v>
      </c>
      <c r="I316" s="2">
        <f>VLOOKUP(H316,[1]Customers!$A:$B,2,FALSE)</f>
        <v>3393</v>
      </c>
      <c r="J316" s="2">
        <v>45530</v>
      </c>
      <c r="K316" s="2" t="s">
        <v>811</v>
      </c>
      <c r="M316" s="2">
        <v>1480.05</v>
      </c>
      <c r="N316" s="3" t="s">
        <v>19</v>
      </c>
    </row>
    <row r="317" spans="1:15" x14ac:dyDescent="0.35">
      <c r="A317" s="2" t="s">
        <v>812</v>
      </c>
      <c r="B317" s="2">
        <v>330</v>
      </c>
      <c r="C317" s="2" t="s">
        <v>16</v>
      </c>
      <c r="D317" s="2">
        <v>968</v>
      </c>
      <c r="E317" s="2">
        <v>20020</v>
      </c>
      <c r="G317" s="2">
        <v>496</v>
      </c>
      <c r="H317" s="2" t="s">
        <v>808</v>
      </c>
      <c r="I317" s="2">
        <f>VLOOKUP(H317,[1]Customers!$A:$B,2,FALSE)</f>
        <v>3393</v>
      </c>
      <c r="J317" s="2">
        <v>45609</v>
      </c>
      <c r="K317" s="2" t="s">
        <v>813</v>
      </c>
      <c r="M317" s="2">
        <v>71215.73</v>
      </c>
      <c r="N317" s="3" t="s">
        <v>19</v>
      </c>
    </row>
    <row r="318" spans="1:15" x14ac:dyDescent="0.35">
      <c r="A318" s="2" t="s">
        <v>814</v>
      </c>
      <c r="B318" s="2">
        <v>331</v>
      </c>
      <c r="C318" s="2" t="s">
        <v>16</v>
      </c>
      <c r="D318" s="2">
        <v>968</v>
      </c>
      <c r="E318" s="2">
        <v>20020</v>
      </c>
      <c r="G318" s="2">
        <v>293</v>
      </c>
      <c r="H318" s="2" t="s">
        <v>808</v>
      </c>
      <c r="I318" s="2">
        <f>VLOOKUP(H318,[1]Customers!$A:$B,2,FALSE)</f>
        <v>3393</v>
      </c>
      <c r="J318" s="2">
        <v>45812</v>
      </c>
      <c r="K318" s="2" t="s">
        <v>815</v>
      </c>
      <c r="M318" s="2">
        <v>3060</v>
      </c>
      <c r="N318" s="3" t="s">
        <v>19</v>
      </c>
    </row>
    <row r="319" spans="1:15" ht="15" customHeight="1" x14ac:dyDescent="0.35">
      <c r="A319" s="2" t="s">
        <v>816</v>
      </c>
      <c r="B319" s="2">
        <v>332</v>
      </c>
      <c r="C319" s="2" t="s">
        <v>16</v>
      </c>
      <c r="D319" s="2">
        <v>968</v>
      </c>
      <c r="E319" s="2">
        <v>20020</v>
      </c>
      <c r="G319" s="2">
        <v>970</v>
      </c>
      <c r="H319" s="2" t="s">
        <v>817</v>
      </c>
      <c r="I319" s="2">
        <f>VLOOKUP(H319,[1]Customers!$A:$B,2,FALSE)</f>
        <v>3394</v>
      </c>
      <c r="J319" s="2">
        <v>45135</v>
      </c>
      <c r="K319" s="2" t="s">
        <v>818</v>
      </c>
      <c r="M319" s="2">
        <v>1980.58</v>
      </c>
      <c r="N319" s="3" t="s">
        <v>19</v>
      </c>
      <c r="O319" s="2">
        <v>34841</v>
      </c>
    </row>
    <row r="320" spans="1:15" x14ac:dyDescent="0.35">
      <c r="A320" s="2" t="s">
        <v>819</v>
      </c>
      <c r="B320" s="2">
        <v>333</v>
      </c>
      <c r="C320" s="2" t="s">
        <v>16</v>
      </c>
      <c r="D320" s="2">
        <v>968</v>
      </c>
      <c r="E320" s="2">
        <v>20020</v>
      </c>
      <c r="G320" s="2">
        <v>970</v>
      </c>
      <c r="H320" s="2" t="s">
        <v>817</v>
      </c>
      <c r="I320" s="2">
        <f>VLOOKUP(H320,[1]Customers!$A:$B,2,FALSE)</f>
        <v>3394</v>
      </c>
      <c r="J320" s="2">
        <v>45135</v>
      </c>
      <c r="K320" s="2" t="s">
        <v>820</v>
      </c>
      <c r="M320" s="2">
        <v>19769.75</v>
      </c>
      <c r="N320" s="3" t="s">
        <v>19</v>
      </c>
      <c r="O320" s="2">
        <v>34842</v>
      </c>
    </row>
    <row r="321" spans="1:15" x14ac:dyDescent="0.35">
      <c r="A321" s="2" t="s">
        <v>821</v>
      </c>
      <c r="B321" s="2">
        <v>334</v>
      </c>
      <c r="C321" s="2" t="s">
        <v>16</v>
      </c>
      <c r="D321" s="2">
        <v>968</v>
      </c>
      <c r="E321" s="2">
        <v>20020</v>
      </c>
      <c r="G321" s="2">
        <v>281</v>
      </c>
      <c r="H321" s="2" t="s">
        <v>822</v>
      </c>
      <c r="I321" s="2">
        <f>VLOOKUP(H321,[1]Customers!$A:$B,2,FALSE)</f>
        <v>696</v>
      </c>
      <c r="J321" s="2">
        <v>45824</v>
      </c>
      <c r="M321" s="2">
        <v>7037</v>
      </c>
      <c r="N321" s="3" t="s">
        <v>19</v>
      </c>
    </row>
    <row r="322" spans="1:15" x14ac:dyDescent="0.35">
      <c r="A322" s="2" t="s">
        <v>823</v>
      </c>
      <c r="B322" s="2">
        <v>335</v>
      </c>
      <c r="C322" s="2" t="s">
        <v>16</v>
      </c>
      <c r="D322" s="2">
        <v>968</v>
      </c>
      <c r="E322" s="2">
        <v>20020</v>
      </c>
      <c r="G322" s="2">
        <v>405</v>
      </c>
      <c r="H322" s="2" t="s">
        <v>822</v>
      </c>
      <c r="I322" s="2">
        <f>VLOOKUP(H322,[1]Customers!$A:$B,2,FALSE)</f>
        <v>696</v>
      </c>
      <c r="J322" s="2">
        <v>45700</v>
      </c>
      <c r="K322" s="2" t="s">
        <v>824</v>
      </c>
      <c r="M322" s="2">
        <v>5651.83</v>
      </c>
      <c r="N322" s="3" t="s">
        <v>19</v>
      </c>
    </row>
    <row r="323" spans="1:15" x14ac:dyDescent="0.35">
      <c r="A323" s="2" t="s">
        <v>825</v>
      </c>
      <c r="B323" s="2">
        <v>336</v>
      </c>
      <c r="C323" s="2" t="s">
        <v>16</v>
      </c>
      <c r="D323" s="2">
        <v>968</v>
      </c>
      <c r="E323" s="2">
        <v>20020</v>
      </c>
      <c r="G323" s="2">
        <v>278</v>
      </c>
      <c r="H323" s="2" t="s">
        <v>826</v>
      </c>
      <c r="I323" s="2">
        <f>VLOOKUP(H323,[1]Customers!$A:$B,2,FALSE)</f>
        <v>2510</v>
      </c>
      <c r="J323" s="2">
        <v>45827</v>
      </c>
      <c r="M323" s="2">
        <v>23442.47</v>
      </c>
      <c r="N323" s="3" t="s">
        <v>19</v>
      </c>
    </row>
    <row r="324" spans="1:15" x14ac:dyDescent="0.35">
      <c r="A324" s="2" t="s">
        <v>827</v>
      </c>
      <c r="B324" s="2">
        <v>337</v>
      </c>
      <c r="C324" s="2" t="s">
        <v>16</v>
      </c>
      <c r="D324" s="2">
        <v>968</v>
      </c>
      <c r="E324" s="2">
        <v>20020</v>
      </c>
      <c r="G324" s="2">
        <v>291</v>
      </c>
      <c r="H324" s="2" t="s">
        <v>828</v>
      </c>
      <c r="I324" s="2">
        <v>2541</v>
      </c>
      <c r="J324" s="2">
        <v>45814</v>
      </c>
      <c r="K324" s="2" t="s">
        <v>829</v>
      </c>
      <c r="M324" s="2">
        <v>5393.53</v>
      </c>
      <c r="N324" s="3" t="s">
        <v>19</v>
      </c>
    </row>
    <row r="325" spans="1:15" x14ac:dyDescent="0.35">
      <c r="A325" s="2" t="s">
        <v>830</v>
      </c>
      <c r="B325" s="2">
        <v>338</v>
      </c>
      <c r="C325" s="2" t="s">
        <v>16</v>
      </c>
      <c r="D325" s="2">
        <v>968</v>
      </c>
      <c r="E325" s="2">
        <v>20020</v>
      </c>
      <c r="G325" s="2">
        <v>354</v>
      </c>
      <c r="H325" s="2" t="s">
        <v>831</v>
      </c>
      <c r="I325" s="2">
        <f>VLOOKUP(H325,[1]Customers!$A:$B,2,FALSE)</f>
        <v>2346</v>
      </c>
      <c r="J325" s="2">
        <v>45751</v>
      </c>
      <c r="K325" s="2" t="s">
        <v>832</v>
      </c>
      <c r="M325" s="2">
        <v>1044.83</v>
      </c>
      <c r="N325" s="3" t="s">
        <v>19</v>
      </c>
    </row>
    <row r="326" spans="1:15" ht="15" customHeight="1" x14ac:dyDescent="0.35">
      <c r="A326" s="2" t="s">
        <v>833</v>
      </c>
      <c r="B326" s="2">
        <v>339</v>
      </c>
      <c r="C326" s="2" t="s">
        <v>16</v>
      </c>
      <c r="D326" s="2">
        <v>968</v>
      </c>
      <c r="E326" s="2">
        <v>20020</v>
      </c>
      <c r="G326" s="2">
        <v>397</v>
      </c>
      <c r="H326" s="2" t="s">
        <v>831</v>
      </c>
      <c r="I326" s="2">
        <f>VLOOKUP(H326,[1]Customers!$A:$B,2,FALSE)</f>
        <v>2346</v>
      </c>
      <c r="J326" s="2">
        <v>45708</v>
      </c>
      <c r="K326" s="2" t="s">
        <v>834</v>
      </c>
      <c r="M326" s="2">
        <v>9510.66</v>
      </c>
      <c r="N326" s="3" t="s">
        <v>19</v>
      </c>
    </row>
    <row r="327" spans="1:15" x14ac:dyDescent="0.35">
      <c r="A327" s="2" t="s">
        <v>835</v>
      </c>
      <c r="B327" s="2">
        <v>340</v>
      </c>
      <c r="C327" s="2" t="s">
        <v>16</v>
      </c>
      <c r="D327" s="2">
        <v>968</v>
      </c>
      <c r="E327" s="2">
        <v>20020</v>
      </c>
      <c r="G327" s="2">
        <v>560</v>
      </c>
      <c r="H327" s="2" t="s">
        <v>831</v>
      </c>
      <c r="I327" s="2">
        <f>VLOOKUP(H327,[1]Customers!$A:$B,2,FALSE)</f>
        <v>2346</v>
      </c>
      <c r="J327" s="2">
        <v>45545</v>
      </c>
      <c r="K327" s="2" t="s">
        <v>836</v>
      </c>
      <c r="M327" s="2">
        <v>9510.67</v>
      </c>
      <c r="N327" s="3" t="s">
        <v>19</v>
      </c>
    </row>
    <row r="328" spans="1:15" x14ac:dyDescent="0.35">
      <c r="A328" s="2" t="s">
        <v>837</v>
      </c>
      <c r="B328" s="2">
        <v>341</v>
      </c>
      <c r="C328" s="2" t="s">
        <v>16</v>
      </c>
      <c r="D328" s="2">
        <v>968</v>
      </c>
      <c r="E328" s="2">
        <v>20020</v>
      </c>
      <c r="G328" s="2">
        <v>748</v>
      </c>
      <c r="H328" s="2" t="s">
        <v>838</v>
      </c>
      <c r="I328" s="2">
        <f>VLOOKUP(H328,[1]Customers!$A:$B,2,FALSE)</f>
        <v>3539</v>
      </c>
      <c r="J328" s="2">
        <v>45357</v>
      </c>
      <c r="K328" s="2" t="s">
        <v>839</v>
      </c>
      <c r="M328" s="2">
        <v>350</v>
      </c>
      <c r="N328" s="3" t="s">
        <v>19</v>
      </c>
      <c r="O328" s="2">
        <v>35037</v>
      </c>
    </row>
    <row r="329" spans="1:15" x14ac:dyDescent="0.35">
      <c r="A329" s="2" t="s">
        <v>840</v>
      </c>
      <c r="B329" s="2">
        <v>342</v>
      </c>
      <c r="C329" s="2" t="s">
        <v>16</v>
      </c>
      <c r="D329" s="2">
        <v>968</v>
      </c>
      <c r="E329" s="2">
        <v>20020</v>
      </c>
      <c r="G329" s="2">
        <v>748</v>
      </c>
      <c r="H329" s="2" t="s">
        <v>838</v>
      </c>
      <c r="I329" s="2">
        <f>VLOOKUP(H329,[1]Customers!$A:$B,2,FALSE)</f>
        <v>3539</v>
      </c>
      <c r="J329" s="2">
        <v>45357</v>
      </c>
      <c r="K329" s="2" t="s">
        <v>841</v>
      </c>
      <c r="M329" s="2">
        <v>35439.65</v>
      </c>
      <c r="N329" s="3" t="s">
        <v>19</v>
      </c>
      <c r="O329" s="2">
        <v>35103</v>
      </c>
    </row>
    <row r="330" spans="1:15" x14ac:dyDescent="0.35">
      <c r="A330" s="2" t="s">
        <v>842</v>
      </c>
      <c r="B330" s="2">
        <v>343</v>
      </c>
      <c r="C330" s="2" t="s">
        <v>16</v>
      </c>
      <c r="D330" s="2">
        <v>968</v>
      </c>
      <c r="E330" s="2">
        <v>20020</v>
      </c>
      <c r="G330" s="2">
        <v>1267</v>
      </c>
      <c r="H330" s="4" t="s">
        <v>843</v>
      </c>
      <c r="I330" s="2">
        <f>VLOOKUP(H330,[1]Customers!$A:$B,2,FALSE)</f>
        <v>3631</v>
      </c>
      <c r="J330" s="2">
        <v>44838</v>
      </c>
      <c r="K330" s="2" t="s">
        <v>844</v>
      </c>
      <c r="M330" s="2">
        <v>541.25</v>
      </c>
      <c r="N330" s="3" t="s">
        <v>19</v>
      </c>
      <c r="O330" s="2">
        <v>33286</v>
      </c>
    </row>
    <row r="331" spans="1:15" x14ac:dyDescent="0.35">
      <c r="A331" s="2" t="s">
        <v>845</v>
      </c>
      <c r="B331" s="2">
        <v>344</v>
      </c>
      <c r="C331" s="2" t="s">
        <v>16</v>
      </c>
      <c r="D331" s="2">
        <v>968</v>
      </c>
      <c r="E331" s="2">
        <v>20020</v>
      </c>
      <c r="G331" s="2">
        <v>473</v>
      </c>
      <c r="H331" s="2" t="s">
        <v>846</v>
      </c>
      <c r="I331" s="2">
        <f>VLOOKUP(H331,[1]Customers!$A:$B,2,FALSE)</f>
        <v>3563</v>
      </c>
      <c r="J331" s="2">
        <v>45632</v>
      </c>
      <c r="K331" s="2" t="s">
        <v>847</v>
      </c>
      <c r="M331" s="2">
        <v>620.79</v>
      </c>
      <c r="N331" s="3" t="s">
        <v>19</v>
      </c>
      <c r="O331" s="2">
        <v>5059</v>
      </c>
    </row>
    <row r="332" spans="1:15" x14ac:dyDescent="0.35">
      <c r="A332" s="2" t="s">
        <v>848</v>
      </c>
      <c r="B332" s="2">
        <v>345</v>
      </c>
      <c r="C332" s="2" t="s">
        <v>16</v>
      </c>
      <c r="D332" s="2">
        <v>968</v>
      </c>
      <c r="E332" s="2">
        <v>20020</v>
      </c>
      <c r="G332" s="2">
        <v>364</v>
      </c>
      <c r="H332" s="2" t="s">
        <v>849</v>
      </c>
      <c r="I332" s="2">
        <f>VLOOKUP(H332,[1]Customers!$A:$B,2,FALSE)</f>
        <v>2210</v>
      </c>
      <c r="J332" s="2">
        <v>45741</v>
      </c>
      <c r="K332" s="2" t="s">
        <v>850</v>
      </c>
      <c r="M332" s="2">
        <v>578.16999999999996</v>
      </c>
      <c r="N332" s="3" t="s">
        <v>19</v>
      </c>
    </row>
    <row r="333" spans="1:15" x14ac:dyDescent="0.35">
      <c r="A333" s="2" t="s">
        <v>851</v>
      </c>
      <c r="B333" s="2">
        <v>346</v>
      </c>
      <c r="C333" s="2" t="s">
        <v>16</v>
      </c>
      <c r="D333" s="2">
        <v>968</v>
      </c>
      <c r="E333" s="2">
        <v>20020</v>
      </c>
      <c r="G333" s="2">
        <v>516</v>
      </c>
      <c r="H333" s="2" t="s">
        <v>852</v>
      </c>
      <c r="I333" s="2">
        <f>VLOOKUP(H333,[1]Customers!$A:$B,2,FALSE)</f>
        <v>3273</v>
      </c>
      <c r="J333" s="2">
        <v>45589</v>
      </c>
      <c r="K333" s="2" t="s">
        <v>853</v>
      </c>
      <c r="M333" s="2">
        <v>17451.650000000001</v>
      </c>
      <c r="N333" s="3" t="s">
        <v>19</v>
      </c>
    </row>
    <row r="334" spans="1:15" x14ac:dyDescent="0.35">
      <c r="A334" s="2" t="s">
        <v>854</v>
      </c>
      <c r="B334" s="2">
        <v>347</v>
      </c>
      <c r="C334" s="2" t="s">
        <v>16</v>
      </c>
      <c r="D334" s="2">
        <v>968</v>
      </c>
      <c r="E334" s="2">
        <v>20020</v>
      </c>
      <c r="G334" s="2">
        <v>516</v>
      </c>
      <c r="H334" s="2" t="s">
        <v>852</v>
      </c>
      <c r="I334" s="2">
        <f>VLOOKUP(H334,[1]Customers!$A:$B,2,FALSE)</f>
        <v>3273</v>
      </c>
      <c r="J334" s="2">
        <v>45589</v>
      </c>
      <c r="K334" s="2" t="s">
        <v>853</v>
      </c>
      <c r="M334" s="2">
        <v>40000</v>
      </c>
      <c r="N334" s="3" t="s">
        <v>19</v>
      </c>
      <c r="O334" s="2">
        <v>53</v>
      </c>
    </row>
    <row r="335" spans="1:15" ht="15" customHeight="1" x14ac:dyDescent="0.35">
      <c r="A335" s="2" t="s">
        <v>855</v>
      </c>
      <c r="B335" s="2">
        <v>348</v>
      </c>
      <c r="C335" s="2" t="s">
        <v>16</v>
      </c>
      <c r="D335" s="2">
        <v>968</v>
      </c>
      <c r="E335" s="2">
        <v>20020</v>
      </c>
      <c r="G335" s="2">
        <v>284</v>
      </c>
      <c r="H335" s="2" t="s">
        <v>856</v>
      </c>
      <c r="I335" s="2">
        <v>3675</v>
      </c>
      <c r="J335" s="2">
        <v>45821</v>
      </c>
      <c r="K335" s="2" t="s">
        <v>857</v>
      </c>
      <c r="M335" s="2">
        <v>759214.25</v>
      </c>
      <c r="N335" s="3" t="s">
        <v>19</v>
      </c>
    </row>
    <row r="336" spans="1:15" ht="15" customHeight="1" x14ac:dyDescent="0.35">
      <c r="A336" s="2" t="s">
        <v>858</v>
      </c>
      <c r="B336" s="2">
        <v>349</v>
      </c>
      <c r="C336" s="2" t="s">
        <v>16</v>
      </c>
      <c r="D336" s="2">
        <v>968</v>
      </c>
      <c r="E336" s="2">
        <v>20020</v>
      </c>
      <c r="G336" s="2">
        <v>305</v>
      </c>
      <c r="H336" s="2" t="s">
        <v>859</v>
      </c>
      <c r="I336" s="2">
        <f>VLOOKUP(H336,[1]Customers!$A:$B,2,FALSE)</f>
        <v>2498</v>
      </c>
      <c r="J336" s="2">
        <v>45800</v>
      </c>
      <c r="K336" s="2" t="s">
        <v>860</v>
      </c>
      <c r="M336" s="2">
        <v>509769.33</v>
      </c>
      <c r="N336" s="3" t="s">
        <v>19</v>
      </c>
    </row>
    <row r="337" spans="1:15" x14ac:dyDescent="0.35">
      <c r="A337" s="2" t="s">
        <v>861</v>
      </c>
      <c r="B337" s="2">
        <v>350</v>
      </c>
      <c r="C337" s="2" t="s">
        <v>16</v>
      </c>
      <c r="D337" s="2">
        <v>968</v>
      </c>
      <c r="E337" s="2">
        <v>20020</v>
      </c>
      <c r="G337" s="2">
        <v>327</v>
      </c>
      <c r="H337" s="2" t="s">
        <v>862</v>
      </c>
      <c r="I337" s="2">
        <f>VLOOKUP(H337,[1]Customers!$A:$B,2,FALSE)</f>
        <v>2426</v>
      </c>
      <c r="J337" s="2">
        <v>45778</v>
      </c>
      <c r="K337" s="2" t="s">
        <v>863</v>
      </c>
      <c r="M337" s="2">
        <v>9307.67</v>
      </c>
      <c r="N337" s="3" t="s">
        <v>19</v>
      </c>
    </row>
    <row r="338" spans="1:15" x14ac:dyDescent="0.35">
      <c r="A338" s="2" t="s">
        <v>864</v>
      </c>
      <c r="B338" s="2">
        <v>351</v>
      </c>
      <c r="C338" s="2" t="s">
        <v>16</v>
      </c>
      <c r="D338" s="2">
        <v>968</v>
      </c>
      <c r="E338" s="2">
        <v>20020</v>
      </c>
      <c r="G338" s="2">
        <v>375</v>
      </c>
      <c r="H338" s="2" t="s">
        <v>865</v>
      </c>
      <c r="I338" s="2">
        <f>VLOOKUP(H338,[1]Customers!$A:$B,2,FALSE)</f>
        <v>2185</v>
      </c>
      <c r="J338" s="2">
        <v>45730</v>
      </c>
      <c r="K338" s="2" t="s">
        <v>866</v>
      </c>
      <c r="M338" s="2">
        <v>917.76</v>
      </c>
      <c r="N338" s="3" t="s">
        <v>19</v>
      </c>
    </row>
    <row r="339" spans="1:15" x14ac:dyDescent="0.35">
      <c r="A339" s="2" t="s">
        <v>867</v>
      </c>
      <c r="B339" s="2">
        <v>352</v>
      </c>
      <c r="C339" s="2" t="s">
        <v>16</v>
      </c>
      <c r="D339" s="2">
        <v>968</v>
      </c>
      <c r="E339" s="2">
        <v>20020</v>
      </c>
      <c r="G339" s="2">
        <v>347</v>
      </c>
      <c r="H339" s="2" t="s">
        <v>868</v>
      </c>
      <c r="I339" s="2">
        <f>VLOOKUP(H339,[1]Customers!$A:$B,2,FALSE)</f>
        <v>2379</v>
      </c>
      <c r="J339" s="2">
        <v>45758</v>
      </c>
      <c r="K339" s="2" t="s">
        <v>869</v>
      </c>
      <c r="M339" s="2">
        <v>782.55</v>
      </c>
      <c r="N339" s="3" t="s">
        <v>19</v>
      </c>
    </row>
    <row r="340" spans="1:15" x14ac:dyDescent="0.35">
      <c r="A340" s="2" t="s">
        <v>870</v>
      </c>
      <c r="B340" s="2">
        <v>353</v>
      </c>
      <c r="C340" s="2" t="s">
        <v>16</v>
      </c>
      <c r="D340" s="2">
        <v>968</v>
      </c>
      <c r="E340" s="2">
        <v>20020</v>
      </c>
      <c r="G340" s="2">
        <v>322</v>
      </c>
      <c r="H340" s="2" t="s">
        <v>871</v>
      </c>
      <c r="I340" s="2">
        <f>VLOOKUP(H340,[1]Customers!$A:$B,2,FALSE)</f>
        <v>2437</v>
      </c>
      <c r="J340" s="2">
        <v>45783</v>
      </c>
      <c r="K340" s="2" t="s">
        <v>872</v>
      </c>
      <c r="M340" s="2">
        <v>2806.24</v>
      </c>
      <c r="N340" s="3" t="s">
        <v>19</v>
      </c>
    </row>
    <row r="341" spans="1:15" x14ac:dyDescent="0.35">
      <c r="A341" s="2" t="s">
        <v>873</v>
      </c>
      <c r="B341" s="2">
        <v>354</v>
      </c>
      <c r="C341" s="2" t="s">
        <v>16</v>
      </c>
      <c r="D341" s="2">
        <v>968</v>
      </c>
      <c r="E341" s="2">
        <v>20020</v>
      </c>
      <c r="G341" s="2">
        <v>432</v>
      </c>
      <c r="H341" s="2" t="s">
        <v>874</v>
      </c>
      <c r="I341" s="2">
        <f>VLOOKUP(H341,[1]Customers!$A:$B,2,FALSE)</f>
        <v>1688</v>
      </c>
      <c r="J341" s="2">
        <v>45673</v>
      </c>
      <c r="K341" s="2" t="s">
        <v>875</v>
      </c>
      <c r="M341" s="2">
        <v>57212</v>
      </c>
      <c r="N341" s="3" t="s">
        <v>19</v>
      </c>
    </row>
    <row r="342" spans="1:15" x14ac:dyDescent="0.35">
      <c r="A342" s="2" t="s">
        <v>876</v>
      </c>
      <c r="B342" s="2">
        <v>355</v>
      </c>
      <c r="C342" s="2" t="s">
        <v>16</v>
      </c>
      <c r="D342" s="2">
        <v>968</v>
      </c>
      <c r="E342" s="2">
        <v>20020</v>
      </c>
      <c r="G342" s="2">
        <v>350</v>
      </c>
      <c r="H342" s="2" t="s">
        <v>877</v>
      </c>
      <c r="I342" s="2">
        <f>VLOOKUP(H342,[1]Customers!$A:$B,2,FALSE)</f>
        <v>3397</v>
      </c>
      <c r="J342" s="2">
        <v>45755</v>
      </c>
      <c r="K342" s="2" t="s">
        <v>878</v>
      </c>
      <c r="M342" s="2">
        <v>12035.03</v>
      </c>
      <c r="N342" s="3" t="s">
        <v>19</v>
      </c>
    </row>
    <row r="343" spans="1:15" x14ac:dyDescent="0.35">
      <c r="A343" s="2" t="s">
        <v>879</v>
      </c>
      <c r="B343" s="2">
        <v>356</v>
      </c>
      <c r="C343" s="2" t="s">
        <v>16</v>
      </c>
      <c r="D343" s="2">
        <v>968</v>
      </c>
      <c r="E343" s="2">
        <v>20020</v>
      </c>
      <c r="G343" s="2">
        <v>827</v>
      </c>
      <c r="H343" s="2" t="s">
        <v>877</v>
      </c>
      <c r="I343" s="2">
        <f>VLOOKUP(H343,[1]Customers!$A:$B,2,FALSE)</f>
        <v>3397</v>
      </c>
      <c r="J343" s="2">
        <v>45278</v>
      </c>
      <c r="K343" s="2" t="s">
        <v>880</v>
      </c>
      <c r="M343" s="2">
        <v>4462.2</v>
      </c>
      <c r="N343" s="3" t="s">
        <v>19</v>
      </c>
      <c r="O343" s="2">
        <v>35870</v>
      </c>
    </row>
    <row r="344" spans="1:15" ht="15" customHeight="1" x14ac:dyDescent="0.35">
      <c r="A344" s="2" t="s">
        <v>881</v>
      </c>
      <c r="B344" s="2">
        <v>357</v>
      </c>
      <c r="C344" s="2" t="s">
        <v>16</v>
      </c>
      <c r="D344" s="2">
        <v>968</v>
      </c>
      <c r="E344" s="2">
        <v>20020</v>
      </c>
      <c r="G344" s="2">
        <v>424</v>
      </c>
      <c r="H344" s="2" t="s">
        <v>877</v>
      </c>
      <c r="I344" s="2">
        <f>VLOOKUP(H344,[1]Customers!$A:$B,2,FALSE)</f>
        <v>3397</v>
      </c>
      <c r="J344" s="2">
        <v>45681</v>
      </c>
      <c r="K344" s="2" t="s">
        <v>878</v>
      </c>
      <c r="M344" s="2">
        <v>6730.19</v>
      </c>
      <c r="N344" s="3" t="s">
        <v>19</v>
      </c>
    </row>
    <row r="345" spans="1:15" ht="15" customHeight="1" x14ac:dyDescent="0.35">
      <c r="A345" s="2" t="s">
        <v>882</v>
      </c>
      <c r="B345" s="2">
        <v>358</v>
      </c>
      <c r="C345" s="2" t="s">
        <v>16</v>
      </c>
      <c r="D345" s="2">
        <v>968</v>
      </c>
      <c r="E345" s="2">
        <v>20020</v>
      </c>
      <c r="G345" s="2">
        <v>307</v>
      </c>
      <c r="H345" s="2" t="s">
        <v>883</v>
      </c>
      <c r="I345" s="2">
        <f>VLOOKUP(H345,[1]Customers!$A:$B,2,FALSE)</f>
        <v>714</v>
      </c>
      <c r="J345" s="2">
        <v>45798</v>
      </c>
      <c r="K345" s="2" t="s">
        <v>884</v>
      </c>
      <c r="M345" s="2">
        <v>202971.8</v>
      </c>
      <c r="N345" s="3" t="s">
        <v>19</v>
      </c>
    </row>
    <row r="346" spans="1:15" x14ac:dyDescent="0.35">
      <c r="A346" s="2" t="s">
        <v>885</v>
      </c>
      <c r="B346" s="2">
        <v>359</v>
      </c>
      <c r="C346" s="2" t="s">
        <v>16</v>
      </c>
      <c r="D346" s="2">
        <v>968</v>
      </c>
      <c r="E346" s="2">
        <v>20020</v>
      </c>
      <c r="G346" s="2">
        <v>357</v>
      </c>
      <c r="H346" s="2" t="s">
        <v>886</v>
      </c>
      <c r="I346" s="2">
        <f>VLOOKUP(H346,[1]Customers!$A:$B,2,FALSE)</f>
        <v>2316</v>
      </c>
      <c r="J346" s="2">
        <v>45748</v>
      </c>
      <c r="K346" s="2" t="s">
        <v>887</v>
      </c>
      <c r="M346" s="2">
        <v>3696.84</v>
      </c>
      <c r="N346" s="3" t="s">
        <v>19</v>
      </c>
    </row>
    <row r="347" spans="1:15" x14ac:dyDescent="0.35">
      <c r="A347" s="2" t="s">
        <v>888</v>
      </c>
      <c r="B347" s="2">
        <v>360</v>
      </c>
      <c r="C347" s="2" t="s">
        <v>16</v>
      </c>
      <c r="D347" s="2">
        <v>968</v>
      </c>
      <c r="E347" s="2">
        <v>20020</v>
      </c>
      <c r="G347" s="2">
        <v>330</v>
      </c>
      <c r="H347" s="2" t="s">
        <v>889</v>
      </c>
      <c r="I347" s="2">
        <f>VLOOKUP(H347,[1]Customers!$A:$B,2,FALSE)</f>
        <v>2414</v>
      </c>
      <c r="J347" s="2">
        <v>45775</v>
      </c>
      <c r="K347" s="2" t="s">
        <v>890</v>
      </c>
      <c r="M347" s="2">
        <v>537.19000000000005</v>
      </c>
      <c r="N347" s="3" t="s">
        <v>19</v>
      </c>
    </row>
    <row r="348" spans="1:15" x14ac:dyDescent="0.35">
      <c r="A348" s="2" t="s">
        <v>891</v>
      </c>
      <c r="B348" s="2">
        <v>361</v>
      </c>
      <c r="C348" s="2" t="s">
        <v>16</v>
      </c>
      <c r="D348" s="2">
        <v>968</v>
      </c>
      <c r="E348" s="2">
        <v>20020</v>
      </c>
      <c r="G348" s="2">
        <v>431</v>
      </c>
      <c r="H348" s="2" t="s">
        <v>892</v>
      </c>
      <c r="I348" s="2">
        <f>VLOOKUP(H348,[1]Customers!$A:$B,2,FALSE)</f>
        <v>2275</v>
      </c>
      <c r="J348" s="2">
        <v>45674</v>
      </c>
      <c r="K348" s="2" t="s">
        <v>893</v>
      </c>
      <c r="M348" s="2">
        <v>13799.18</v>
      </c>
      <c r="N348" s="3" t="s">
        <v>19</v>
      </c>
    </row>
    <row r="349" spans="1:15" x14ac:dyDescent="0.35">
      <c r="A349" s="2" t="s">
        <v>894</v>
      </c>
      <c r="B349" s="2">
        <v>362</v>
      </c>
      <c r="C349" s="2" t="s">
        <v>16</v>
      </c>
      <c r="D349" s="2">
        <v>968</v>
      </c>
      <c r="E349" s="2">
        <v>20020</v>
      </c>
      <c r="G349" s="2">
        <v>298</v>
      </c>
      <c r="H349" s="2" t="s">
        <v>892</v>
      </c>
      <c r="I349" s="2">
        <f>VLOOKUP(H349,[1]Customers!$A:$B,2,FALSE)</f>
        <v>2275</v>
      </c>
      <c r="J349" s="2">
        <v>45807</v>
      </c>
      <c r="K349" s="2" t="s">
        <v>895</v>
      </c>
      <c r="M349" s="2">
        <v>1818.92</v>
      </c>
      <c r="N349" s="3" t="s">
        <v>19</v>
      </c>
    </row>
    <row r="350" spans="1:15" x14ac:dyDescent="0.35">
      <c r="A350" s="2" t="s">
        <v>896</v>
      </c>
      <c r="B350" s="2">
        <v>363</v>
      </c>
      <c r="C350" s="2" t="s">
        <v>16</v>
      </c>
      <c r="D350" s="2">
        <v>968</v>
      </c>
      <c r="E350" s="2">
        <v>20020</v>
      </c>
      <c r="G350" s="2">
        <v>449</v>
      </c>
      <c r="H350" s="2" t="s">
        <v>897</v>
      </c>
      <c r="I350" s="2">
        <f>VLOOKUP(H350,[1]Customers!$A:$B,2,FALSE)</f>
        <v>3398</v>
      </c>
      <c r="J350" s="2">
        <v>45656</v>
      </c>
      <c r="K350" s="2" t="s">
        <v>898</v>
      </c>
      <c r="M350" s="2">
        <v>53129.68</v>
      </c>
      <c r="N350" s="3" t="s">
        <v>19</v>
      </c>
    </row>
    <row r="351" spans="1:15" x14ac:dyDescent="0.35">
      <c r="A351" s="2" t="s">
        <v>899</v>
      </c>
      <c r="B351" s="2">
        <v>364</v>
      </c>
      <c r="C351" s="2" t="s">
        <v>16</v>
      </c>
      <c r="D351" s="2">
        <v>968</v>
      </c>
      <c r="E351" s="2">
        <v>20020</v>
      </c>
      <c r="G351" s="2">
        <v>522</v>
      </c>
      <c r="H351" s="2" t="s">
        <v>897</v>
      </c>
      <c r="I351" s="2">
        <f>VLOOKUP(H351,[1]Customers!$A:$B,2,FALSE)</f>
        <v>3398</v>
      </c>
      <c r="J351" s="2">
        <v>45583</v>
      </c>
      <c r="K351" s="2" t="s">
        <v>900</v>
      </c>
      <c r="M351" s="2">
        <v>60849.66</v>
      </c>
      <c r="N351" s="3" t="s">
        <v>19</v>
      </c>
    </row>
    <row r="352" spans="1:15" x14ac:dyDescent="0.35">
      <c r="A352" s="2" t="s">
        <v>901</v>
      </c>
      <c r="B352" s="2">
        <v>365</v>
      </c>
      <c r="C352" s="2" t="s">
        <v>16</v>
      </c>
      <c r="D352" s="2">
        <v>968</v>
      </c>
      <c r="E352" s="2">
        <v>20020</v>
      </c>
      <c r="G352" s="2">
        <v>831</v>
      </c>
      <c r="H352" s="2" t="s">
        <v>897</v>
      </c>
      <c r="I352" s="2">
        <f>VLOOKUP(H352,[1]Customers!$A:$B,2,FALSE)</f>
        <v>3398</v>
      </c>
      <c r="J352" s="2">
        <v>45274</v>
      </c>
      <c r="K352" s="2" t="s">
        <v>902</v>
      </c>
      <c r="M352" s="2">
        <v>1738.99</v>
      </c>
      <c r="N352" s="3" t="s">
        <v>19</v>
      </c>
      <c r="O352" s="2">
        <v>34212</v>
      </c>
    </row>
    <row r="353" spans="1:15" x14ac:dyDescent="0.35">
      <c r="A353" s="2" t="s">
        <v>903</v>
      </c>
      <c r="B353" s="2">
        <v>366</v>
      </c>
      <c r="C353" s="2" t="s">
        <v>16</v>
      </c>
      <c r="D353" s="2">
        <v>968</v>
      </c>
      <c r="E353" s="2">
        <v>20020</v>
      </c>
      <c r="G353" s="2">
        <v>977</v>
      </c>
      <c r="H353" s="2" t="s">
        <v>904</v>
      </c>
      <c r="I353" s="2">
        <f>VLOOKUP(H353,[1]Customers!$A:$B,2,FALSE)</f>
        <v>3399</v>
      </c>
      <c r="J353" s="2">
        <v>45128</v>
      </c>
      <c r="M353" s="2">
        <v>6308.4</v>
      </c>
      <c r="N353" s="3" t="s">
        <v>19</v>
      </c>
    </row>
    <row r="354" spans="1:15" x14ac:dyDescent="0.35">
      <c r="A354" s="2" t="s">
        <v>905</v>
      </c>
      <c r="B354" s="2">
        <v>367</v>
      </c>
      <c r="C354" s="2" t="s">
        <v>16</v>
      </c>
      <c r="D354" s="2">
        <v>968</v>
      </c>
      <c r="E354" s="2">
        <v>20020</v>
      </c>
      <c r="G354" s="2">
        <v>385</v>
      </c>
      <c r="H354" s="2" t="s">
        <v>906</v>
      </c>
      <c r="I354" s="2">
        <f>VLOOKUP(H354,[1]Customers!$A:$B,2,FALSE)</f>
        <v>2166</v>
      </c>
      <c r="J354" s="2">
        <v>45720</v>
      </c>
      <c r="K354" s="2" t="s">
        <v>907</v>
      </c>
      <c r="M354" s="2">
        <v>45000</v>
      </c>
      <c r="N354" s="3" t="s">
        <v>19</v>
      </c>
    </row>
    <row r="355" spans="1:15" x14ac:dyDescent="0.35">
      <c r="A355" s="2" t="s">
        <v>908</v>
      </c>
      <c r="B355" s="2">
        <v>368</v>
      </c>
      <c r="C355" s="2" t="s">
        <v>16</v>
      </c>
      <c r="D355" s="2">
        <v>968</v>
      </c>
      <c r="E355" s="2">
        <v>20020</v>
      </c>
      <c r="G355" s="2">
        <v>287</v>
      </c>
      <c r="H355" s="2" t="s">
        <v>909</v>
      </c>
      <c r="I355" s="2">
        <f>VLOOKUP(H355,[1]Customers!$A:$B,2,FALSE)</f>
        <v>2553</v>
      </c>
      <c r="J355" s="2">
        <v>45818</v>
      </c>
      <c r="K355" s="2" t="s">
        <v>910</v>
      </c>
      <c r="M355" s="2">
        <v>14635.6</v>
      </c>
      <c r="N355" s="3" t="s">
        <v>19</v>
      </c>
    </row>
    <row r="356" spans="1:15" x14ac:dyDescent="0.35">
      <c r="A356" s="2" t="s">
        <v>911</v>
      </c>
      <c r="B356" s="2">
        <v>369</v>
      </c>
      <c r="C356" s="2" t="s">
        <v>16</v>
      </c>
      <c r="D356" s="2">
        <v>968</v>
      </c>
      <c r="E356" s="2">
        <v>20020</v>
      </c>
      <c r="G356" s="2">
        <v>284</v>
      </c>
      <c r="H356" s="2" t="s">
        <v>912</v>
      </c>
      <c r="I356" s="2">
        <f>VLOOKUP(H356,[1]Customers!$A:$B,2,FALSE)</f>
        <v>2567</v>
      </c>
      <c r="J356" s="2">
        <v>45821</v>
      </c>
      <c r="K356" s="2" t="s">
        <v>913</v>
      </c>
      <c r="M356" s="2">
        <v>10561.08</v>
      </c>
      <c r="N356" s="3" t="s">
        <v>19</v>
      </c>
    </row>
    <row r="357" spans="1:15" x14ac:dyDescent="0.35">
      <c r="A357" s="2" t="s">
        <v>914</v>
      </c>
      <c r="B357" s="2">
        <v>370</v>
      </c>
      <c r="C357" s="2" t="s">
        <v>16</v>
      </c>
      <c r="D357" s="2">
        <v>968</v>
      </c>
      <c r="E357" s="2">
        <v>20020</v>
      </c>
      <c r="G357" s="2">
        <v>600</v>
      </c>
      <c r="H357" s="2" t="s">
        <v>915</v>
      </c>
      <c r="I357" s="2">
        <f>VLOOKUP(H357,[1]Customers!$A:$B,2,FALSE)</f>
        <v>2712</v>
      </c>
      <c r="J357" s="2">
        <v>45505</v>
      </c>
      <c r="K357" s="2" t="s">
        <v>916</v>
      </c>
      <c r="M357" s="2">
        <v>3357.9</v>
      </c>
      <c r="N357" s="3" t="s">
        <v>19</v>
      </c>
    </row>
    <row r="358" spans="1:15" x14ac:dyDescent="0.35">
      <c r="A358" s="2" t="s">
        <v>917</v>
      </c>
      <c r="B358" s="2">
        <v>371</v>
      </c>
      <c r="C358" s="2" t="s">
        <v>16</v>
      </c>
      <c r="D358" s="2">
        <v>968</v>
      </c>
      <c r="E358" s="2">
        <v>20020</v>
      </c>
      <c r="G358" s="2">
        <v>693</v>
      </c>
      <c r="H358" s="2" t="s">
        <v>918</v>
      </c>
      <c r="I358" s="2">
        <v>2474</v>
      </c>
      <c r="J358" s="2">
        <v>45412</v>
      </c>
      <c r="K358" s="2" t="s">
        <v>919</v>
      </c>
      <c r="M358" s="2">
        <v>0.01</v>
      </c>
      <c r="N358" s="3" t="s">
        <v>19</v>
      </c>
      <c r="O358" s="2">
        <v>36165</v>
      </c>
    </row>
    <row r="359" spans="1:15" ht="14.5" customHeight="1" x14ac:dyDescent="0.35">
      <c r="A359" s="2" t="s">
        <v>920</v>
      </c>
      <c r="B359" s="2">
        <v>372</v>
      </c>
      <c r="C359" s="2" t="s">
        <v>16</v>
      </c>
      <c r="D359" s="2">
        <v>968</v>
      </c>
      <c r="E359" s="2">
        <v>20020</v>
      </c>
      <c r="G359" s="2">
        <v>337</v>
      </c>
      <c r="H359" s="2" t="s">
        <v>921</v>
      </c>
      <c r="I359" s="2">
        <v>2491</v>
      </c>
      <c r="J359" s="2">
        <v>45768</v>
      </c>
      <c r="K359" s="2" t="s">
        <v>922</v>
      </c>
      <c r="M359" s="2">
        <v>573.48</v>
      </c>
      <c r="N359" s="3" t="s">
        <v>19</v>
      </c>
    </row>
    <row r="360" spans="1:15" x14ac:dyDescent="0.35">
      <c r="A360" s="2" t="s">
        <v>923</v>
      </c>
      <c r="B360" s="2">
        <v>373</v>
      </c>
      <c r="C360" s="2" t="s">
        <v>16</v>
      </c>
      <c r="D360" s="2">
        <v>968</v>
      </c>
      <c r="E360" s="2">
        <v>20020</v>
      </c>
      <c r="G360" s="2">
        <v>449</v>
      </c>
      <c r="H360" s="2" t="s">
        <v>921</v>
      </c>
      <c r="I360" s="2">
        <v>2491</v>
      </c>
      <c r="J360" s="2">
        <v>45656</v>
      </c>
      <c r="K360" s="2" t="s">
        <v>924</v>
      </c>
      <c r="M360" s="2">
        <v>113002.9</v>
      </c>
      <c r="N360" s="3" t="s">
        <v>19</v>
      </c>
    </row>
    <row r="361" spans="1:15" x14ac:dyDescent="0.35">
      <c r="A361" s="2" t="s">
        <v>925</v>
      </c>
      <c r="B361" s="2">
        <v>374</v>
      </c>
      <c r="C361" s="2" t="s">
        <v>16</v>
      </c>
      <c r="D361" s="2">
        <v>968</v>
      </c>
      <c r="E361" s="2">
        <v>20020</v>
      </c>
      <c r="G361" s="2">
        <v>284</v>
      </c>
      <c r="H361" s="2" t="s">
        <v>921</v>
      </c>
      <c r="I361" s="2">
        <v>2491</v>
      </c>
      <c r="J361" s="2">
        <v>45821</v>
      </c>
      <c r="K361" s="2" t="s">
        <v>926</v>
      </c>
      <c r="M361" s="2">
        <v>214885.99</v>
      </c>
      <c r="N361" s="3" t="s">
        <v>19</v>
      </c>
    </row>
    <row r="362" spans="1:15" x14ac:dyDescent="0.35">
      <c r="A362" s="2" t="s">
        <v>927</v>
      </c>
      <c r="B362" s="2">
        <v>375</v>
      </c>
      <c r="C362" s="2" t="s">
        <v>16</v>
      </c>
      <c r="D362" s="2">
        <v>968</v>
      </c>
      <c r="E362" s="2">
        <v>20020</v>
      </c>
      <c r="G362" s="2">
        <v>452</v>
      </c>
      <c r="H362" s="2" t="s">
        <v>921</v>
      </c>
      <c r="I362" s="2">
        <v>2491</v>
      </c>
      <c r="J362" s="2">
        <v>45653</v>
      </c>
      <c r="K362" s="2" t="s">
        <v>928</v>
      </c>
      <c r="M362" s="2">
        <v>5734.8</v>
      </c>
      <c r="N362" s="3" t="s">
        <v>19</v>
      </c>
    </row>
    <row r="363" spans="1:15" x14ac:dyDescent="0.35">
      <c r="A363" s="2" t="s">
        <v>929</v>
      </c>
      <c r="B363" s="2">
        <v>376</v>
      </c>
      <c r="C363" s="2" t="s">
        <v>16</v>
      </c>
      <c r="D363" s="2">
        <v>968</v>
      </c>
      <c r="E363" s="2">
        <v>20020</v>
      </c>
      <c r="G363" s="2">
        <v>615</v>
      </c>
      <c r="H363" s="2" t="s">
        <v>921</v>
      </c>
      <c r="I363" s="2">
        <v>2491</v>
      </c>
      <c r="J363" s="2">
        <v>45490</v>
      </c>
      <c r="K363" s="2" t="s">
        <v>930</v>
      </c>
      <c r="M363" s="2">
        <v>2062.13</v>
      </c>
      <c r="N363" s="3" t="s">
        <v>19</v>
      </c>
    </row>
    <row r="364" spans="1:15" x14ac:dyDescent="0.35">
      <c r="A364" s="2" t="s">
        <v>931</v>
      </c>
      <c r="B364" s="2">
        <v>377</v>
      </c>
      <c r="C364" s="2" t="s">
        <v>16</v>
      </c>
      <c r="D364" s="2">
        <v>968</v>
      </c>
      <c r="E364" s="2">
        <v>20020</v>
      </c>
      <c r="G364" s="2">
        <v>601</v>
      </c>
      <c r="H364" s="2" t="s">
        <v>932</v>
      </c>
      <c r="I364" s="2">
        <f>VLOOKUP(H364,[1]Customers!$A:$B,2,FALSE)</f>
        <v>3268</v>
      </c>
      <c r="J364" s="2">
        <v>45504</v>
      </c>
      <c r="M364" s="2">
        <v>44795.55</v>
      </c>
      <c r="N364" s="3" t="s">
        <v>19</v>
      </c>
    </row>
    <row r="365" spans="1:15" x14ac:dyDescent="0.35">
      <c r="A365" s="2" t="s">
        <v>933</v>
      </c>
      <c r="B365" s="2">
        <v>378</v>
      </c>
      <c r="C365" s="2" t="s">
        <v>16</v>
      </c>
      <c r="D365" s="2">
        <v>968</v>
      </c>
      <c r="E365" s="2">
        <v>20020</v>
      </c>
      <c r="G365" s="2">
        <v>768</v>
      </c>
      <c r="H365" s="2" t="s">
        <v>934</v>
      </c>
      <c r="I365" s="2">
        <f>VLOOKUP(H365,[1]Customers!$A:$B,2,FALSE)</f>
        <v>3400</v>
      </c>
      <c r="J365" s="2">
        <v>45337</v>
      </c>
      <c r="M365" s="2">
        <v>62336.66</v>
      </c>
      <c r="N365" s="3" t="s">
        <v>19</v>
      </c>
      <c r="O365" s="2">
        <v>35526</v>
      </c>
    </row>
    <row r="366" spans="1:15" x14ac:dyDescent="0.35">
      <c r="A366" s="2" t="s">
        <v>935</v>
      </c>
      <c r="B366" s="2">
        <v>379</v>
      </c>
      <c r="C366" s="2" t="s">
        <v>16</v>
      </c>
      <c r="D366" s="2">
        <v>968</v>
      </c>
      <c r="E366" s="2">
        <v>20020</v>
      </c>
      <c r="G366" s="2">
        <v>630</v>
      </c>
      <c r="H366" s="2" t="s">
        <v>936</v>
      </c>
      <c r="I366" s="2">
        <f>VLOOKUP(H366,[1]Customers!$A:$B,2,FALSE)</f>
        <v>3561</v>
      </c>
      <c r="J366" s="2">
        <v>45475</v>
      </c>
      <c r="K366" s="2" t="s">
        <v>937</v>
      </c>
      <c r="M366" s="2">
        <v>1465.65</v>
      </c>
      <c r="N366" s="3" t="s">
        <v>19</v>
      </c>
      <c r="O366" s="2">
        <v>37135</v>
      </c>
    </row>
    <row r="367" spans="1:15" x14ac:dyDescent="0.35">
      <c r="A367" s="2" t="s">
        <v>938</v>
      </c>
      <c r="B367" s="2">
        <v>380</v>
      </c>
      <c r="C367" s="2" t="s">
        <v>16</v>
      </c>
      <c r="D367" s="2">
        <v>968</v>
      </c>
      <c r="E367" s="2">
        <v>20020</v>
      </c>
      <c r="G367" s="2">
        <v>334</v>
      </c>
      <c r="H367" s="2" t="s">
        <v>939</v>
      </c>
      <c r="I367" s="2">
        <f>VLOOKUP(H367,[1]Customers!$A:$B,2,FALSE)</f>
        <v>3403</v>
      </c>
      <c r="J367" s="2">
        <v>45771</v>
      </c>
      <c r="K367" s="2" t="s">
        <v>940</v>
      </c>
      <c r="M367" s="2">
        <v>14029.19</v>
      </c>
      <c r="N367" s="3" t="s">
        <v>19</v>
      </c>
      <c r="O367" s="2">
        <v>304</v>
      </c>
    </row>
    <row r="368" spans="1:15" x14ac:dyDescent="0.35">
      <c r="A368" s="2" t="s">
        <v>941</v>
      </c>
      <c r="B368" s="2">
        <v>381</v>
      </c>
      <c r="C368" s="2" t="s">
        <v>16</v>
      </c>
      <c r="D368" s="2">
        <v>968</v>
      </c>
      <c r="E368" s="2">
        <v>20020</v>
      </c>
      <c r="G368" s="2">
        <v>848</v>
      </c>
      <c r="H368" s="2" t="s">
        <v>942</v>
      </c>
      <c r="I368" s="2">
        <f>VLOOKUP(H368,[1]Customers!$A:$B,2,FALSE)</f>
        <v>3543</v>
      </c>
      <c r="J368" s="2">
        <v>45257</v>
      </c>
      <c r="K368" s="2" t="s">
        <v>943</v>
      </c>
      <c r="M368" s="2">
        <v>117734.97</v>
      </c>
      <c r="N368" s="3" t="s">
        <v>19</v>
      </c>
      <c r="O368" s="2">
        <v>35612</v>
      </c>
    </row>
    <row r="369" spans="1:15" x14ac:dyDescent="0.35">
      <c r="A369" s="2" t="s">
        <v>944</v>
      </c>
      <c r="B369" s="2">
        <v>382</v>
      </c>
      <c r="C369" s="2" t="s">
        <v>16</v>
      </c>
      <c r="D369" s="2">
        <v>968</v>
      </c>
      <c r="E369" s="2">
        <v>20020</v>
      </c>
      <c r="G369" s="2">
        <v>841</v>
      </c>
      <c r="H369" s="2" t="s">
        <v>945</v>
      </c>
      <c r="I369" s="2">
        <f>VLOOKUP(H369,[1]Customers!$A:$B,2,FALSE)</f>
        <v>3404</v>
      </c>
      <c r="J369" s="2">
        <v>45264</v>
      </c>
      <c r="K369" s="2" t="s">
        <v>946</v>
      </c>
      <c r="M369" s="2">
        <v>306.77999999999997</v>
      </c>
      <c r="N369" s="3" t="s">
        <v>19</v>
      </c>
    </row>
    <row r="370" spans="1:15" x14ac:dyDescent="0.35">
      <c r="A370" s="2" t="s">
        <v>947</v>
      </c>
      <c r="B370" s="2">
        <v>383</v>
      </c>
      <c r="C370" s="2" t="s">
        <v>16</v>
      </c>
      <c r="D370" s="2">
        <v>968</v>
      </c>
      <c r="E370" s="2">
        <v>20020</v>
      </c>
      <c r="G370" s="2">
        <v>778</v>
      </c>
      <c r="H370" s="2" t="s">
        <v>945</v>
      </c>
      <c r="I370" s="2">
        <f>VLOOKUP(H370,[1]Customers!$A:$B,2,FALSE)</f>
        <v>3404</v>
      </c>
      <c r="J370" s="2">
        <v>45327</v>
      </c>
      <c r="K370" s="2" t="s">
        <v>946</v>
      </c>
      <c r="M370" s="2">
        <v>138.6</v>
      </c>
      <c r="N370" s="3" t="s">
        <v>19</v>
      </c>
    </row>
    <row r="371" spans="1:15" x14ac:dyDescent="0.35">
      <c r="A371" s="2" t="s">
        <v>948</v>
      </c>
      <c r="B371" s="2">
        <v>384</v>
      </c>
      <c r="C371" s="2" t="s">
        <v>16</v>
      </c>
      <c r="D371" s="2">
        <v>968</v>
      </c>
      <c r="E371" s="2">
        <v>20020</v>
      </c>
      <c r="G371" s="2">
        <v>713</v>
      </c>
      <c r="H371" s="2" t="s">
        <v>949</v>
      </c>
      <c r="I371" s="2">
        <f>VLOOKUP(H371,[1]Customers!$A:$B,2,FALSE)</f>
        <v>729</v>
      </c>
      <c r="J371" s="2">
        <v>45392</v>
      </c>
      <c r="K371" s="2" t="s">
        <v>950</v>
      </c>
      <c r="M371" s="2">
        <v>3131.98</v>
      </c>
      <c r="N371" s="3" t="s">
        <v>19</v>
      </c>
      <c r="O371" s="2">
        <v>36508</v>
      </c>
    </row>
    <row r="372" spans="1:15" x14ac:dyDescent="0.35">
      <c r="A372" s="2" t="s">
        <v>951</v>
      </c>
      <c r="B372" s="2">
        <v>385</v>
      </c>
      <c r="C372" s="2" t="s">
        <v>16</v>
      </c>
      <c r="D372" s="2">
        <v>968</v>
      </c>
      <c r="E372" s="2">
        <v>20020</v>
      </c>
      <c r="G372" s="2">
        <v>292</v>
      </c>
      <c r="H372" s="2" t="s">
        <v>952</v>
      </c>
      <c r="I372" s="2">
        <f>VLOOKUP(H372,[1]Customers!$A:$B,2,FALSE)</f>
        <v>733</v>
      </c>
      <c r="J372" s="2">
        <v>45813</v>
      </c>
      <c r="K372" s="2" t="s">
        <v>953</v>
      </c>
      <c r="M372" s="2">
        <v>35241</v>
      </c>
      <c r="N372" s="3" t="s">
        <v>19</v>
      </c>
    </row>
  </sheetData>
  <hyperlinks>
    <hyperlink ref="K2" r:id="rId1" display="vSaleOrder.aspx%3fID=315626" xr:uid="{91426FD7-7971-48E0-82A1-7BD2E400E58A}"/>
    <hyperlink ref="K3" r:id="rId2" display="vSaleOrder.aspx%3fID=288373" xr:uid="{3ED42B53-D1D9-4687-8260-EC5F8D0D9B7D}"/>
    <hyperlink ref="K4" r:id="rId3" display="vSaleOrder.aspx%3fID=" xr:uid="{1DE7AAD9-61C3-49EE-8819-31D573B5ABAB}"/>
    <hyperlink ref="K5" r:id="rId4" display="vSaleOrder.aspx%3fID=319605" xr:uid="{59F3D239-7D77-4BBE-9CF0-68953B0D7A7B}"/>
    <hyperlink ref="K6" r:id="rId5" display="vSaleOrder.aspx%3fID=316924" xr:uid="{845507CB-7196-4846-9F0A-AF69DFA556D9}"/>
    <hyperlink ref="K7" r:id="rId6" display="vSaleOrder.aspx%3fID=319293" xr:uid="{4D03E196-3C56-4E1F-8CB3-E7B44A08E881}"/>
    <hyperlink ref="K8" r:id="rId7" display="vSaleOrder.aspx%3fID=318258" xr:uid="{DFBD2611-6481-41C3-922C-467076850207}"/>
    <hyperlink ref="K9" r:id="rId8" display="vSaleOrder.aspx%3fID=292661" xr:uid="{E437A4D9-1BBA-453E-B56E-43013E4E6867}"/>
    <hyperlink ref="K10" r:id="rId9" display="vSaleOrder.aspx%3fID=296419" xr:uid="{E2F71C13-86F7-40C4-A00D-F54D5DA41A09}"/>
    <hyperlink ref="K11" r:id="rId10" display="vSaleOrder.aspx%3fID=288401" xr:uid="{4A7B88AB-B1AD-47B2-A833-E1DB219C785D}"/>
    <hyperlink ref="K12" r:id="rId11" display="vSaleOrder.aspx%3fID=307004" xr:uid="{FBED1BDF-0344-4994-89D2-99A79788CD8A}"/>
    <hyperlink ref="K13" r:id="rId12" display="vSaleOrder.aspx%3fID=314240" xr:uid="{95BFD99C-39C3-47AD-A157-1601765524CD}"/>
    <hyperlink ref="K14" r:id="rId13" display="vSaleOrder.aspx%3fID=307596" xr:uid="{4824A107-4A30-401B-8E14-923927AAC658}"/>
    <hyperlink ref="K15" r:id="rId14" display="vSaleOrder.aspx%3fID=261545" xr:uid="{2448E8EE-CF70-498F-8207-E7E43ED3E5DC}"/>
    <hyperlink ref="K16" r:id="rId15" display="vSaleOrder.aspx%3fID=" xr:uid="{E62DD8FD-16F3-480E-BEAC-B1EF9CFB7158}"/>
    <hyperlink ref="K17" r:id="rId16" display="vSaleOrder.aspx%3fID=318280" xr:uid="{CCCEFDD3-D0CB-4520-A93E-1A6E93AEAC8F}"/>
    <hyperlink ref="K18" r:id="rId17" display="vSaleOrder.aspx%3fID=314557" xr:uid="{01529C16-D793-438E-A52E-B0240E2BCA15}"/>
    <hyperlink ref="K19" r:id="rId18" display="vSaleOrder.aspx%3fID=314559" xr:uid="{116A71FE-E4AF-4212-BE1A-4F2B7D7D4FD5}"/>
    <hyperlink ref="K20" r:id="rId19" display="vSaleOrder.aspx%3fID=316916" xr:uid="{259F435F-0D9A-4B49-A69B-92CC34249E7B}"/>
    <hyperlink ref="K21" r:id="rId20" display="vSaleOrder.aspx%3fID=268745" xr:uid="{684C5111-673A-40C7-80D6-FB409B009153}"/>
    <hyperlink ref="K23" r:id="rId21" display="vSaleOrder.aspx%3fID=272461" xr:uid="{F5A4B167-A481-4960-8854-E45159C26E6A}"/>
    <hyperlink ref="K24" r:id="rId22" display="vSaleOrder.aspx%3fID=" xr:uid="{B14A74B4-97FA-4829-93AD-C871F59FEC49}"/>
    <hyperlink ref="K25" r:id="rId23" display="vSaleOrder.aspx%3fID=297366" xr:uid="{5F3C3D67-DBAD-4694-BCAF-33448CC609B0}"/>
    <hyperlink ref="K26" r:id="rId24" display="vSaleOrder.aspx%3fID=288448" xr:uid="{0C765B06-1CC6-44B6-8A71-8312AF49D524}"/>
    <hyperlink ref="K27" r:id="rId25" display="vSaleOrder.aspx%3fID=295712" xr:uid="{018B72FA-DA3B-408F-987C-953F42664038}"/>
    <hyperlink ref="K28" r:id="rId26" display="vSaleOrder.aspx%3fID=295712" xr:uid="{A7E1806C-05FD-4457-8B5A-B16E4269C01A}"/>
    <hyperlink ref="K29" r:id="rId27" display="vSaleOrder.aspx%3fID=314261" xr:uid="{ABF447F5-C66F-4753-8301-1DE6ACCD55D0}"/>
    <hyperlink ref="K30" r:id="rId28" display="vSaleOrder.aspx%3fID=314264" xr:uid="{9F68D9B3-2DD7-4E7A-B685-238550195B07}"/>
    <hyperlink ref="K31" r:id="rId29" display="vSaleOrder.aspx%3fID=277937" xr:uid="{1F6314FC-484F-4917-ABD2-F164C402C4C2}"/>
    <hyperlink ref="K32" r:id="rId30" display="vSaleOrder.aspx%3fID=277937" xr:uid="{3DB2F03F-9607-4735-B213-5F9DD5C45A86}"/>
    <hyperlink ref="K33" r:id="rId31" display="vSaleOrder.aspx%3fID=277336" xr:uid="{108E63F7-A3DC-43CC-B039-825D8D658C2F}"/>
    <hyperlink ref="K34" r:id="rId32" display="vSaleOrder.aspx%3fID=313886" xr:uid="{3071A556-D940-4312-AD72-FF85AEAEEF75}"/>
    <hyperlink ref="K35" r:id="rId33" display="vSaleOrder.aspx%3fID=318128" xr:uid="{53B8EE0F-3BBA-4EC2-87CF-1DC3F67D3CDE}"/>
    <hyperlink ref="K36" r:id="rId34" display="vSaleOrder.aspx%3fID=295777" xr:uid="{E93D7C3C-6AD2-4DDB-9479-85DD8CD6E2FE}"/>
    <hyperlink ref="K37" r:id="rId35" display="vSaleOrder.aspx%3fID=295777" xr:uid="{1696B7A8-4805-499C-81FB-5ED496C25C06}"/>
    <hyperlink ref="K38" r:id="rId36" display="vSaleOrder.aspx%3fID=295777" xr:uid="{370C1241-1D2E-4068-A3F1-CB282BD16077}"/>
    <hyperlink ref="K39" r:id="rId37" display="vSaleOrder.aspx%3fID=250544" xr:uid="{1FBD2CC3-3FE1-4120-AC02-A421B2EADE24}"/>
    <hyperlink ref="K40" r:id="rId38" display="vSaleOrder.aspx%3fID=314269" xr:uid="{0D14932D-3E58-4C1F-8F25-038DA3F48717}"/>
    <hyperlink ref="K41" r:id="rId39" display="vSaleOrder.aspx%3fID=286505" xr:uid="{6115434A-0C68-48CF-B458-54FC75C0EF8F}"/>
    <hyperlink ref="K42" r:id="rId40" display="vSaleOrder.aspx%3fID=314290" xr:uid="{B2C786C1-E3D0-4730-BBD8-A909653C7CE0}"/>
    <hyperlink ref="K43" r:id="rId41" display="vSaleOrder.aspx%3fID=314271" xr:uid="{0E8C86E1-7911-4BEA-BD0E-D6442AED425C}"/>
    <hyperlink ref="K44" r:id="rId42" display="vSaleOrder.aspx%3fID=288348" xr:uid="{243D702A-BBA4-480B-8701-8527560AA617}"/>
    <hyperlink ref="K45" r:id="rId43" display="vSaleOrder.aspx%3fID=314270" xr:uid="{C0C2F07E-FC83-450A-94C6-36D6BBFE1235}"/>
    <hyperlink ref="K46" r:id="rId44" display="vSaleOrder.aspx%3fID=266371" xr:uid="{C935E017-8842-47F6-839D-9F0546801D2C}"/>
    <hyperlink ref="K47" r:id="rId45" display="vSaleOrder.aspx%3fID=243141" xr:uid="{2BFCBE41-9C70-4D17-9DD1-CA82B352DF9D}"/>
    <hyperlink ref="K48" r:id="rId46" display="vSaleOrder.aspx%3fID=" xr:uid="{8D38142C-396A-4914-8009-484E8C94F2D6}"/>
    <hyperlink ref="K49" r:id="rId47" display="vSaleOrder.aspx%3fID=280293" xr:uid="{66B4F439-87B2-472B-B794-46AEB03EE57E}"/>
    <hyperlink ref="K50" r:id="rId48" display="vSaleOrder.aspx%3fID=294193" xr:uid="{BA645878-9549-4152-BE26-D8E95E91B0F2}"/>
    <hyperlink ref="K51" r:id="rId49" display="vSaleOrder.aspx%3fID=290226" xr:uid="{68CF6126-16FB-4C5E-BF52-111BC232B8F7}"/>
    <hyperlink ref="K52" r:id="rId50" display="vSaleOrder.aspx%3fID=290226" xr:uid="{571ADB8F-C70F-4600-84A0-32DCF6DFC56B}"/>
    <hyperlink ref="K53" r:id="rId51" display="vSaleOrder.aspx%3fID=304459" xr:uid="{8619BD98-8ACA-49AE-B6A9-607431DC76DA}"/>
    <hyperlink ref="K54" r:id="rId52" display="vSaleOrder.aspx%3fID=277126" xr:uid="{583CCEA7-9D52-4E46-B7CE-249AC0977A99}"/>
    <hyperlink ref="K55" r:id="rId53" display="vSaleOrder.aspx%3fID=279701" xr:uid="{84FFEBB2-677D-4F35-A2C3-BF780C02A2CD}"/>
    <hyperlink ref="K56" r:id="rId54" display="vSaleOrder.aspx%3fID=305471" xr:uid="{C6F8A558-6FC5-44B9-92BA-4D7EEEF50321}"/>
    <hyperlink ref="K57" r:id="rId55" display="vSaleOrder.aspx%3fID=316920" xr:uid="{09700594-C026-4AD3-B18E-518826337206}"/>
    <hyperlink ref="K58" r:id="rId56" display="vSaleOrder.aspx%3fID=314298" xr:uid="{82FDD1DC-D4BE-41F7-9A74-B8C61A541A74}"/>
    <hyperlink ref="K59" r:id="rId57" display="vSaleOrder.aspx%3fID=314265" xr:uid="{B9D77C68-4847-49BE-86CC-44ED5D9272FD}"/>
    <hyperlink ref="K60" r:id="rId58" display="vSaleOrder.aspx%3fID=271064" xr:uid="{2526BC37-06B0-4765-BBD1-DCD1D550E197}"/>
    <hyperlink ref="K61" r:id="rId59" display="vSaleOrder.aspx%3fID=271494" xr:uid="{2CFEF72D-4AB1-4960-B477-F566A1F5CCF0}"/>
    <hyperlink ref="K62" r:id="rId60" display="vSaleOrder.aspx%3fID=264620" xr:uid="{AA53390F-F206-4A8D-894F-8A37D5744D11}"/>
    <hyperlink ref="K63" r:id="rId61" display="vSaleOrder.aspx%3fID=219186" xr:uid="{1030BD38-CE3D-4721-AB01-085D12C0883A}"/>
    <hyperlink ref="K64" r:id="rId62" display="vSaleOrder.aspx%3fID=315630" xr:uid="{11500348-767B-4267-8414-3B92F438BEC1}"/>
    <hyperlink ref="K65" r:id="rId63" display="vSaleOrder.aspx%3fID=314276" xr:uid="{5A211F92-0D5D-42CA-BF89-82BA69F9E514}"/>
    <hyperlink ref="K66" r:id="rId64" display="vSaleOrder.aspx%3fID=314276" xr:uid="{A79B1824-845F-4136-BDC8-B2F3437598DE}"/>
    <hyperlink ref="K67" r:id="rId65" display="vSaleOrder.aspx%3fID=303435" xr:uid="{4F2DF85F-02C8-4F43-9B4B-81E147661B2C}"/>
    <hyperlink ref="K68" r:id="rId66" display="vSaleOrder.aspx%3fID=272472" xr:uid="{8E29C4ED-533E-4E39-AC7D-F539D07A32C2}"/>
    <hyperlink ref="K69" r:id="rId67" display="vSaleOrder.aspx%3fID=306185" xr:uid="{3A64A11E-E427-487F-A29E-1D08A83AF326}"/>
    <hyperlink ref="K70" r:id="rId68" display="vSaleOrder.aspx%3fID=313978" xr:uid="{986450E1-26AF-4870-8FAD-D93F96AE5041}"/>
    <hyperlink ref="K71" r:id="rId69" display="vSaleOrder.aspx%3fID=314010" xr:uid="{9F50FABD-784E-4FFD-A652-DEB7E07941C7}"/>
    <hyperlink ref="K72" r:id="rId70" display="vSaleOrder.aspx%3fID=274972" xr:uid="{9A3B8F16-E5AC-4508-967F-E3A4406A9258}"/>
    <hyperlink ref="K73" r:id="rId71" display="vSaleOrder.aspx%3fID=274972" xr:uid="{A3EA29AE-1EC5-4B70-A0ED-C4AB9FDA893B}"/>
    <hyperlink ref="K74" r:id="rId72" display="vSaleOrder.aspx%3fID=274972" xr:uid="{4DB84956-7156-410E-A980-F0485FA4016C}"/>
    <hyperlink ref="K75" r:id="rId73" display="vSaleOrder.aspx%3fID=287425" xr:uid="{186DAA20-D164-42BD-8D26-F0F5150A5BF8}"/>
    <hyperlink ref="K76" r:id="rId74" display="vSaleOrder.aspx%3fID=319735" xr:uid="{4B4CBF2C-46C4-4DAE-B93A-FA8FBD9E68CE}"/>
    <hyperlink ref="K77" r:id="rId75" display="vSaleOrder.aspx%3fID=296643" xr:uid="{8FA6C9B0-602C-4B65-9A0C-EF6CFFC9E322}"/>
    <hyperlink ref="K79" r:id="rId76" display="vSaleOrder.aspx%3fID=261362" xr:uid="{0EEE6809-26C4-4D72-84C3-9E13F21A8B8B}"/>
    <hyperlink ref="K80" r:id="rId77" display="vSaleOrder.aspx%3fID=318124" xr:uid="{8991D365-B6F4-43BC-A73A-D62C594C3479}"/>
    <hyperlink ref="K81" r:id="rId78" display="vSaleOrder.aspx%3fID=261362" xr:uid="{465A2F52-7E08-456B-A2BE-4DD98260EE3F}"/>
    <hyperlink ref="K82" r:id="rId79" display="vSaleOrder.aspx%3fID=286499" xr:uid="{28D634C9-0019-4611-B363-345B6514C76A}"/>
    <hyperlink ref="K83" r:id="rId80" display="vSaleOrder.aspx%3fID=314852" xr:uid="{728DAB97-B01E-4B31-90EF-76D8378FA392}"/>
    <hyperlink ref="K84" r:id="rId81" display="vSaleOrder.aspx%3fID=314901" xr:uid="{CBA4CE14-0C62-44F4-BC8B-C773D1B1F750}"/>
    <hyperlink ref="K85" r:id="rId82" display="vSaleOrder.aspx%3fID=315627" xr:uid="{7A8E9F99-1B86-4B89-9AF9-0493471F62C8}"/>
    <hyperlink ref="K86" r:id="rId83" display="vSaleOrder.aspx%3fID=314891" xr:uid="{3391A1F1-CDE6-4BFA-9EE3-F38F9DA04005}"/>
    <hyperlink ref="K87" r:id="rId84" display="vSaleOrder.aspx%3fID=313885" xr:uid="{C81E23DC-2A5B-4DFB-9C2F-7ADDE9BDD6A7}"/>
    <hyperlink ref="K88" r:id="rId85" display="vSaleOrder.aspx%3fID=316861" xr:uid="{E1443B7A-0A18-447C-9958-1145A1C9D241}"/>
    <hyperlink ref="K89" r:id="rId86" display="vSaleOrder.aspx%3fID=317670" xr:uid="{C72343E4-C504-4E27-91AE-739FD6E509A9}"/>
    <hyperlink ref="K90" r:id="rId87" display="vSaleOrder.aspx%3fID=315635" xr:uid="{A69C0B77-8013-4581-BA28-74ABEC8562DE}"/>
    <hyperlink ref="K91" r:id="rId88" display="vSaleOrder.aspx%3fID=300934" xr:uid="{12A2F612-193F-4029-AA46-C81056772FCF}"/>
    <hyperlink ref="K92" r:id="rId89" display="vSaleOrder.aspx%3fID=292727" xr:uid="{FF99A273-1799-4E1E-95F4-8862663097CB}"/>
    <hyperlink ref="K93" r:id="rId90" display="vSaleOrder.aspx%3fID=284734" xr:uid="{2818DAF8-8D65-4F17-A740-8C39FB5638D6}"/>
    <hyperlink ref="K94" r:id="rId91" display="vSaleOrder.aspx%3fID=" xr:uid="{2E468422-2C7B-417A-AD7F-FECA87C39C42}"/>
    <hyperlink ref="K95" r:id="rId92" display="vSaleOrder.aspx%3fID=" xr:uid="{AD4ACB98-4B48-49C7-BFD8-548DEEE75EDC}"/>
    <hyperlink ref="K96" r:id="rId93" display="vSaleOrder.aspx%3fID=314895" xr:uid="{E2E8933E-6C96-490C-8637-9749C3ED6175}"/>
    <hyperlink ref="K97" r:id="rId94" display="vSaleOrder.aspx%3fID=196480" xr:uid="{3472B1CD-FA58-4D91-A38B-B1458790F9F4}"/>
    <hyperlink ref="K98" r:id="rId95" display="vSaleOrder.aspx%3fID=" xr:uid="{3B85194A-9722-48F0-AAD5-7657E15C234E}"/>
    <hyperlink ref="K99" r:id="rId96" display="vSaleOrder.aspx%3fID=303456" xr:uid="{B4B526B8-EF6A-41F5-AABE-5D928B296998}"/>
    <hyperlink ref="K100" r:id="rId97" display="vSaleOrder.aspx%3fID=196481" xr:uid="{F53CD79A-02D2-49D9-AAC6-DD61F4970B09}"/>
    <hyperlink ref="K101" r:id="rId98" display="vSaleOrder.aspx%3fID=303529" xr:uid="{39A8396E-4C11-46CE-AE0D-A4ADB1358B99}"/>
    <hyperlink ref="K102" r:id="rId99" display="vSaleOrder.aspx%3fID=296853" xr:uid="{C8022B21-4D39-4AB7-AF23-C52A0CE5BA74}"/>
    <hyperlink ref="K103" r:id="rId100" display="vSaleOrder.aspx%3fID=315641" xr:uid="{98B3D3CE-2507-41E1-AA53-9C5A784FC6E1}"/>
    <hyperlink ref="K104" r:id="rId101" display="vSaleOrder.aspx%3fID=306498" xr:uid="{EF26C4AE-9294-490C-84E7-3E6F5033C2EF}"/>
    <hyperlink ref="K105" r:id="rId102" display="vSaleOrder.aspx%3fID=" xr:uid="{DF119A84-CD85-49CB-85A8-6E0A62D426A9}"/>
    <hyperlink ref="K106" r:id="rId103" display="vSaleOrder.aspx%3fID=259030" xr:uid="{042153C8-8870-4A87-9DCF-5C1CDDF3C2FB}"/>
    <hyperlink ref="K107" r:id="rId104" display="vSaleOrder.aspx%3fID=259030" xr:uid="{2CC6674D-332B-4F1D-B5C4-08073BC556A9}"/>
    <hyperlink ref="K108" r:id="rId105" display="vSaleOrder.aspx%3fID=259030" xr:uid="{A70DB0F9-DCE1-4577-82C2-CFCFDFE517D3}"/>
    <hyperlink ref="K109" r:id="rId106" display="vSaleOrder.aspx%3fID=314002" xr:uid="{1685175C-32F1-46ED-9BB9-54CB0EA4C21E}"/>
    <hyperlink ref="K110" r:id="rId107" display="vSaleOrder.aspx%3fID=308189" xr:uid="{26DDAD42-7183-4C77-869A-99CE388B4F03}"/>
    <hyperlink ref="K111" r:id="rId108" display="vSaleOrder.aspx%3fID=289009" xr:uid="{7A00CE3C-2670-4156-AE4C-DB5CC248E414}"/>
    <hyperlink ref="K112" r:id="rId109" display="vSaleOrder.aspx%3fID=242401" xr:uid="{3F0AAC20-CAEB-41F0-81AD-D7D109FB6BA8}"/>
    <hyperlink ref="K113" r:id="rId110" display="vSaleOrder.aspx%3fID=242397" xr:uid="{2C406C72-B5C3-44BA-9E70-3D662813D435}"/>
    <hyperlink ref="K114" r:id="rId111" display="vSaleOrder.aspx%3fID=242403" xr:uid="{9EAE5D23-B745-4E5B-AF49-D3EA2F5E31BA}"/>
    <hyperlink ref="K115" r:id="rId112" display="vSaleOrder.aspx%3fID=230770" xr:uid="{735AD653-13C8-4DD0-8E11-4B283A8F519F}"/>
    <hyperlink ref="K116" r:id="rId113" display="vSaleOrder.aspx%3fID=251147" xr:uid="{D7E40E2D-D3B0-4E6C-A129-739CF797F822}"/>
    <hyperlink ref="K117" r:id="rId114" display="vSaleOrder.aspx%3fID=251152" xr:uid="{2296059F-C523-4FF7-A175-469D50E1EE14}"/>
    <hyperlink ref="K118" r:id="rId115" display="vSaleOrder.aspx%3fID=284497" xr:uid="{FAF6A61F-9386-4923-8E71-1A092D6F93A9}"/>
    <hyperlink ref="K119" r:id="rId116" display="vSaleOrder.aspx%3fID=290707" xr:uid="{F265E0B2-7967-48E2-880E-665D49E5FC52}"/>
    <hyperlink ref="K120" r:id="rId117" display="vSaleOrder.aspx%3fID=292407" xr:uid="{38F9093E-7541-4FA2-9C66-83FA40DD86B3}"/>
    <hyperlink ref="K121" r:id="rId118" display="vSaleOrder.aspx%3fID=299345" xr:uid="{484404C9-F17D-4C69-926B-A095B1B2EBAD}"/>
    <hyperlink ref="K122" r:id="rId119" display="vSaleOrder.aspx%3fID=" xr:uid="{37E12E1A-D404-4620-ABF8-C0982532B770}"/>
    <hyperlink ref="K123" r:id="rId120" display="vSaleOrder.aspx%3fID=304486" xr:uid="{AC1AA994-5DA0-4368-B3E2-151DFC3350C8}"/>
    <hyperlink ref="K124" r:id="rId121" display="vSaleOrder.aspx%3fID=316914" xr:uid="{D7609F36-8C35-4325-842A-D731D3B2F743}"/>
    <hyperlink ref="K125" r:id="rId122" display="vSaleOrder.aspx%3fID=316908" xr:uid="{BF64DE76-B3A5-4B3B-A460-E0828E19C2FD}"/>
    <hyperlink ref="K126" r:id="rId123" display="vSaleOrder.aspx%3fID=314851" xr:uid="{ADCACC56-7852-446E-80F5-56535DB45D22}"/>
    <hyperlink ref="K127" r:id="rId124" display="vSaleOrder.aspx%3fID=308013" xr:uid="{D0DEB431-E9ED-47D1-A214-795825A4C97A}"/>
    <hyperlink ref="K128" r:id="rId125" display="vSaleOrder.aspx%3fID=315639" xr:uid="{383E1329-C599-45C6-B2AF-8CF6E32E6DE9}"/>
    <hyperlink ref="K129" r:id="rId126" display="vSaleOrder.aspx%3fID=295775" xr:uid="{87A3E359-725A-47F2-BE31-B357954E7D88}"/>
    <hyperlink ref="K130" r:id="rId127" display="vSaleOrder.aspx%3fID=295775" xr:uid="{361008A1-8626-4841-B3FA-A7F91C597CDE}"/>
    <hyperlink ref="K131" r:id="rId128" display="vSaleOrder.aspx%3fID=269238" xr:uid="{767FAE0F-EBC6-4702-8324-54AF1CD1C321}"/>
    <hyperlink ref="K132" r:id="rId129" display="vSaleOrder.aspx%3fID=249454" xr:uid="{C855B0F1-64F8-42E1-A3B7-C18A9A67A292}"/>
    <hyperlink ref="K133" r:id="rId130" display="vSaleOrder.aspx%3fID=284027" xr:uid="{589CB3CD-887C-4415-9400-CFDA314FE3DD}"/>
    <hyperlink ref="K134" r:id="rId131" display="vSaleOrder.aspx%3fID=" xr:uid="{F9AC40FF-E054-4CF7-ADF1-D084C29940EF}"/>
    <hyperlink ref="K135" r:id="rId132" display="vSaleOrder.aspx%3fID=318028" xr:uid="{E55396BD-59D2-4A8C-983A-71E92511D251}"/>
    <hyperlink ref="K136" r:id="rId133" display="vSaleOrder.aspx%3fID=318255" xr:uid="{0EB301D5-99CC-402F-8A2A-D58E7A689845}"/>
    <hyperlink ref="K137" r:id="rId134" display="vSaleOrder.aspx%3fID=313987" xr:uid="{8F246A8C-0519-4E85-8837-1C9D2C112391}"/>
    <hyperlink ref="K138" r:id="rId135" display="vSaleOrder.aspx%3fID=318244" xr:uid="{865FB4B7-6B44-46AD-B75F-A0F3BBD50BB0}"/>
    <hyperlink ref="K139" r:id="rId136" display="vSaleOrder.aspx%3fID=292985" xr:uid="{8D91FFF8-C049-4DC6-AFCD-BE1D0B3C7480}"/>
    <hyperlink ref="K140" r:id="rId137" display="vSaleOrder.aspx%3fID=314044" xr:uid="{F9DE5153-D4A4-4500-A176-8ABC588043D3}"/>
    <hyperlink ref="K141" r:id="rId138" display="vSaleOrder.aspx%3fID=276731" xr:uid="{C1D0EA4D-9D31-489B-8939-F93B135F1029}"/>
    <hyperlink ref="K142" r:id="rId139" display="vSaleOrder.aspx%3fID=276731" xr:uid="{0DEC78BF-1CA5-406C-857E-10DAFE0107E2}"/>
    <hyperlink ref="K143" r:id="rId140" display="vSaleOrder.aspx%3fID=261271" xr:uid="{85E66C8A-C8AD-4108-BD01-FF3ED7AB55B7}"/>
    <hyperlink ref="K144" r:id="rId141" display="vSaleOrder.aspx%3fID=268449" xr:uid="{68D14474-22D3-4FCF-B4AB-09BB8AD08A41}"/>
    <hyperlink ref="K145" r:id="rId142" display="vSaleOrder.aspx%3fID=295306" xr:uid="{75BE484F-AFC8-40D1-AC21-D39D334D4115}"/>
    <hyperlink ref="K146" r:id="rId143" display="vSaleOrder.aspx%3fID=300892" xr:uid="{7AA84E9D-A197-4AA0-B3AE-62766555FC5B}"/>
    <hyperlink ref="K147" r:id="rId144" display="vSaleOrder.aspx%3fID=258611" xr:uid="{E9109A9E-8221-41BC-8797-F27EA8AF35A4}"/>
    <hyperlink ref="K148" r:id="rId145" display="vSaleOrder.aspx%3fID=314303" xr:uid="{6F7F5131-A4EA-4DC5-A75B-668F1E0CA72C}"/>
    <hyperlink ref="K149" r:id="rId146" display="vSaleOrder.aspx%3fID=314303" xr:uid="{FB697F16-2E61-477A-AAD3-5AF0CBF21CC5}"/>
    <hyperlink ref="K150" r:id="rId147" display="vSaleOrder.aspx%3fID=314257" xr:uid="{5F475051-6ECF-474D-A13B-758A24C85C22}"/>
    <hyperlink ref="K151" r:id="rId148" display="vSaleOrder.aspx%3fID=257823" xr:uid="{BA068466-F4B5-4722-8A1C-0DD34241A364}"/>
    <hyperlink ref="K152" r:id="rId149" display="vSaleOrder.aspx%3fID=302795" xr:uid="{297823A8-0F31-4CFC-B732-ED4585CE2573}"/>
    <hyperlink ref="K153" r:id="rId150" display="vSaleOrder.aspx%3fID=313970" xr:uid="{396AF482-5A56-427A-BB7D-F9A3D4A88C1A}"/>
    <hyperlink ref="K154" r:id="rId151" display="vSaleOrder.aspx%3fID=318132" xr:uid="{0DE1AD96-AB63-43E7-92B7-594F5CDACE63}"/>
    <hyperlink ref="K155" r:id="rId152" display="vSaleOrder.aspx%3fID=318272" xr:uid="{1DECCFB4-084A-4D52-921F-0D48C2E757D1}"/>
    <hyperlink ref="K156" r:id="rId153" display="vSaleOrder.aspx%3fID=" xr:uid="{AEF4F280-58CC-4091-9F1A-F8ABB1871998}"/>
    <hyperlink ref="K157" r:id="rId154" display="vSaleOrder.aspx%3fID=318125" xr:uid="{2329F8BF-A23C-4FD0-8B55-B86A37F28FDC}"/>
    <hyperlink ref="K158" r:id="rId155" display="vSaleOrder.aspx%3fID=316918" xr:uid="{73BA67B0-D754-46D4-896D-58390C064D28}"/>
    <hyperlink ref="K159" r:id="rId156" display="vSaleOrder.aspx%3fID=" xr:uid="{536BDDDE-662D-4C5A-B5F7-D687A5023C7E}"/>
    <hyperlink ref="K160" r:id="rId157" display="vSaleOrder.aspx%3fID=268214" xr:uid="{5D9DAC92-0B5E-4A70-9D88-4C92C06ACFB3}"/>
    <hyperlink ref="K161" r:id="rId158" display="vSaleOrder.aspx%3fID=298216" xr:uid="{8B376622-2BDE-4313-A8A2-7819F7358B1A}"/>
    <hyperlink ref="K162" r:id="rId159" display="vSaleOrder.aspx%3fID=314244" xr:uid="{48840E7F-3947-490D-A7AB-1FBB887FAF5D}"/>
    <hyperlink ref="K163" r:id="rId160" display="vSaleOrder.aspx%3fID=318021" xr:uid="{D0CFEDA8-9221-4AAE-BAE7-0AB8C48A2ADE}"/>
    <hyperlink ref="K164" r:id="rId161" display="vSaleOrder.aspx%3fID=" xr:uid="{7216D5E7-BFF3-429A-B779-E39B18D10EDD}"/>
    <hyperlink ref="K165" r:id="rId162" display="vSaleOrder.aspx%3fID=258619" xr:uid="{5731E0CC-5247-4F79-841B-400680E4B8BF}"/>
    <hyperlink ref="K166" r:id="rId163" display="vSaleOrder.aspx%3fID=295409" xr:uid="{0B1470CB-7A57-4897-976B-C5D3C212B1A8}"/>
    <hyperlink ref="K167" r:id="rId164" display="vSaleOrder.aspx%3fID=295409" xr:uid="{4BCDACC8-2778-46BD-B49F-765D0AF7FCC8}"/>
    <hyperlink ref="K168" r:id="rId165" display="vSaleOrder.aspx%3fID=269107" xr:uid="{5223124F-9A05-4522-AE1A-A74E1FF1150E}"/>
    <hyperlink ref="K169" r:id="rId166" display="vSaleOrder.aspx%3fID=266373" xr:uid="{84AF98DA-C7C3-484E-80A5-285FF138AF16}"/>
    <hyperlink ref="K170" r:id="rId167" display="vSaleOrder.aspx%3fID=314274" xr:uid="{D76307FC-95A2-4AE2-9E98-0AF0A3CE6233}"/>
    <hyperlink ref="K171" r:id="rId168" display="vSaleOrder.aspx%3fID=254433" xr:uid="{5291798C-98B0-4247-928C-BB60C4647CF7}"/>
    <hyperlink ref="K172" r:id="rId169" display="vSaleOrder.aspx%3fID=254421" xr:uid="{2549E987-AFB1-479E-B3E8-0A16B0E794EB}"/>
    <hyperlink ref="K173" r:id="rId170" display="vSaleOrder.aspx%3fID=" xr:uid="{31CCFC56-A98C-4740-919E-DAC028269E26}"/>
    <hyperlink ref="K174" r:id="rId171" display="vSaleOrder.aspx%3fID=254420" xr:uid="{EF92B1AF-96A3-45D8-AE4D-5E494325811B}"/>
    <hyperlink ref="K175" r:id="rId172" display="vSaleOrder.aspx%3fID=" xr:uid="{9BFD6F80-4C2E-43E9-BF5A-6D50E10CB3E3}"/>
    <hyperlink ref="K176" r:id="rId173" display="vSaleOrder.aspx%3fID=254435" xr:uid="{C94D32CD-2701-43E4-8ED0-BD4AA7271C30}"/>
    <hyperlink ref="K177" r:id="rId174" display="vSaleOrder.aspx%3fID=264389" xr:uid="{8C14F92E-AF92-4FBD-942B-02478A912D14}"/>
    <hyperlink ref="K178" r:id="rId175" display="vSaleOrder.aspx%3fID=315636" xr:uid="{31B004E8-9047-4AC0-80F5-0CC017A0D657}"/>
    <hyperlink ref="K179" r:id="rId176" display="vSaleOrder.aspx%3fID=275386" xr:uid="{353A3906-8866-4404-9A5D-DDFE73B627CA}"/>
    <hyperlink ref="K180" r:id="rId177" display="vSaleOrder.aspx%3fID=318131" xr:uid="{AEAA2D52-3B98-4E74-A1FF-4D9D977BDA1E}"/>
    <hyperlink ref="K181" r:id="rId178" display="vSaleOrder.aspx%3fID=318130" xr:uid="{1009FF9E-9F6B-401F-9DD2-B0AC7EFCA4AD}"/>
    <hyperlink ref="K182" r:id="rId179" display="vSaleOrder.aspx%3fID=316922" xr:uid="{01422E93-E31D-48C4-96F2-8549CF9592BC}"/>
    <hyperlink ref="K183" r:id="rId180" display="vSaleOrder.aspx%3fID=246931" xr:uid="{C86A96EC-4605-4A2D-A280-0FD3C39F5DEA}"/>
    <hyperlink ref="K184" r:id="rId181" display="vSaleOrder.aspx%3fID=260869" xr:uid="{5F762230-A85B-46D1-B810-6663486C631D}"/>
    <hyperlink ref="K185" r:id="rId182" display="vSaleOrder.aspx%3fID=260873" xr:uid="{9ACE973F-B449-4268-A80F-BB99119A869D}"/>
    <hyperlink ref="K186" r:id="rId183" display="vSaleOrder.aspx%3fID=260870" xr:uid="{5DC86DC8-5020-46D4-827A-B46286482F4A}"/>
    <hyperlink ref="K187" r:id="rId184" display="vSaleOrder.aspx%3fID=297692" xr:uid="{237A975B-C8AA-48D7-B9C7-250096FC798B}"/>
    <hyperlink ref="K188" r:id="rId185" display="vSaleOrder.aspx%3fID=260861" xr:uid="{FE29D9C3-A684-411D-81A1-2A0CA4217EC3}"/>
    <hyperlink ref="K189" r:id="rId186" display="vSaleOrder.aspx%3fID=260880" xr:uid="{9254A831-BCF4-4290-A99A-F6E2A4F4854B}"/>
    <hyperlink ref="K190" r:id="rId187" display="vSaleOrder.aspx%3fID=260882" xr:uid="{217A3070-07C8-483C-83D4-A8902747C4C4}"/>
    <hyperlink ref="K191" r:id="rId188" display="vSaleOrder.aspx%3fID=260881" xr:uid="{5AE1BE1B-D508-4A55-B3D4-88CA930B93CC}"/>
    <hyperlink ref="K192" r:id="rId189" display="vSaleOrder.aspx%3fID=282909" xr:uid="{D6D517D8-A19C-4A83-A185-6FF8AA9B30EF}"/>
    <hyperlink ref="K193" r:id="rId190" display="vSaleOrder.aspx%3fID=282909" xr:uid="{6F7080CE-06AB-4636-937E-5018CB0BC60B}"/>
    <hyperlink ref="K194" r:id="rId191" display="vSaleOrder.aspx%3fID=" xr:uid="{08528048-853B-44A6-81E8-E1F100B46A32}"/>
    <hyperlink ref="K195" r:id="rId192" display="vSaleOrder.aspx%3fID=313948" xr:uid="{5CEB58E8-37A6-4A49-946F-E9B749EB3D28}"/>
    <hyperlink ref="K196" r:id="rId193" display="vSaleOrder.aspx%3fID=219578" xr:uid="{518FCFE9-80D2-4B8E-871B-481211B4D2A7}"/>
    <hyperlink ref="K197" r:id="rId194" display="vSaleOrder.aspx%3fID=239866" xr:uid="{EF7F98AB-2AC6-48F2-A450-C50F6BE5CE70}"/>
    <hyperlink ref="K198" r:id="rId195" display="vSaleOrder.aspx%3fID=239867" xr:uid="{4939F64D-202B-4420-B07C-A61472EBA369}"/>
    <hyperlink ref="K199" r:id="rId196" display="vSaleOrder.aspx%3fID=239880" xr:uid="{A22CE66B-C267-4B68-84C7-30B82D7504FA}"/>
    <hyperlink ref="K200" r:id="rId197" display="vSaleOrder.aspx%3fID=" xr:uid="{2E8EE424-B2F7-441F-800B-F6CEFB6D47CF}"/>
    <hyperlink ref="K201" r:id="rId198" display="vSaleOrder.aspx%3fID=" xr:uid="{EA236065-C7EB-46CF-946B-01DD7C1FD81C}"/>
    <hyperlink ref="K202" r:id="rId199" display="vSaleOrder.aspx%3fID=205851" xr:uid="{18F03CF5-DED7-49EB-8610-DA9440DA02CC}"/>
    <hyperlink ref="K203" r:id="rId200" display="vSaleOrder.aspx%3fID=205841" xr:uid="{5AB84A54-82E8-4717-9B4F-84469FAB0EEA}"/>
    <hyperlink ref="K204" r:id="rId201" display="vSaleOrder.aspx%3fID=205848" xr:uid="{F773D5D1-394A-40F5-8D59-9FE14FF945AB}"/>
    <hyperlink ref="K205" r:id="rId202" display="vSaleOrder.aspx%3fID=205843" xr:uid="{F8FA0F35-105B-41A9-9022-98E5B9C7EE5B}"/>
    <hyperlink ref="K206" r:id="rId203" display="vSaleOrder.aspx%3fID=205846" xr:uid="{AE9DF7D2-BAA1-4683-B292-421C9A17821D}"/>
    <hyperlink ref="K207" r:id="rId204" display="vSaleOrder.aspx%3fID=205842" xr:uid="{2018B3DD-F2C8-4F60-BBBD-97DDF34F5CB3}"/>
    <hyperlink ref="K208" r:id="rId205" display="vSaleOrder.aspx%3fID=205847" xr:uid="{F65EDFE1-AB56-48B6-A9C3-2230F40F4085}"/>
    <hyperlink ref="K209" r:id="rId206" display="vSaleOrder.aspx%3fID=205846" xr:uid="{23D07136-33C2-4902-AD50-748A000FFD90}"/>
    <hyperlink ref="K210" r:id="rId207" display="vSaleOrder.aspx%3fID=205847" xr:uid="{00DBF12C-C8BB-4E12-9FA0-01E8D71911E3}"/>
    <hyperlink ref="K211" r:id="rId208" display="vSaleOrder.aspx%3fID=205842" xr:uid="{37935E15-C59B-464C-B8B9-A173CD24BC24}"/>
    <hyperlink ref="K212" r:id="rId209" display="vSaleOrder.aspx%3fID=205844" xr:uid="{5C4EBED8-A437-4650-80FB-10D8E41ECFC6}"/>
    <hyperlink ref="K213" r:id="rId210" display="vSaleOrder.aspx%3fID=205841" xr:uid="{BE49A226-88D4-447A-9229-718196E9EB5E}"/>
    <hyperlink ref="K214" r:id="rId211" display="vSaleOrder.aspx%3fID=205848" xr:uid="{0F2E6DA9-A8A2-40C0-8979-E7E9DD49CB1E}"/>
    <hyperlink ref="K215" r:id="rId212" display="vSaleOrder.aspx%3fID=205845" xr:uid="{3C8499CA-60B3-4464-959D-E2E95E173C93}"/>
    <hyperlink ref="K216" r:id="rId213" display="vSaleOrder.aspx%3fID=205851" xr:uid="{1AF42A44-EF04-49F7-816B-50B491C15452}"/>
    <hyperlink ref="K217" r:id="rId214" display="vSaleOrder.aspx%3fID=205845" xr:uid="{17AF8427-87C3-44DB-B867-E0B9C272B325}"/>
    <hyperlink ref="K218" r:id="rId215" display="vSaleOrder.aspx%3fID=205843" xr:uid="{51B64003-FA64-4742-A308-FC726AFC09AE}"/>
    <hyperlink ref="K219" r:id="rId216" display="vSaleOrder.aspx%3fID=308809" xr:uid="{B32E4484-F2D7-4C67-8240-81A3788F1344}"/>
    <hyperlink ref="K220" r:id="rId217" display="vSaleOrder.aspx%3fID=317659" xr:uid="{A0A1C1A1-698B-4C96-9205-BBBC3B22FAE0}"/>
    <hyperlink ref="K221" r:id="rId218" display="vSaleOrder.aspx%3fID=" xr:uid="{16666AEF-EAC1-4382-85F0-A499876CE3AF}"/>
    <hyperlink ref="K222" r:id="rId219" display="vSaleOrder.aspx%3fID=263383" xr:uid="{80E88822-7E0B-47AA-9F26-3E18C30F8BA1}"/>
    <hyperlink ref="K223" r:id="rId220" display="vSaleOrder.aspx%3fID=270064" xr:uid="{FC66FF5E-4238-4C60-9ED3-391D65408D5A}"/>
    <hyperlink ref="K224" r:id="rId221" display="vSaleOrder.aspx%3fID=223681" xr:uid="{B9929C36-9374-4985-905A-348512A56F13}"/>
    <hyperlink ref="K225" r:id="rId222" display="vSaleOrder.aspx%3fID=291150" xr:uid="{B19FEAC8-8E6E-4495-85DA-5C0D8B11FA01}"/>
    <hyperlink ref="K226" r:id="rId223" display="vSaleOrder.aspx%3fID=314884" xr:uid="{DC4C4600-2579-48FF-BEEE-B21B11184BA1}"/>
    <hyperlink ref="K227" r:id="rId224" display="vSaleOrder.aspx%3fID=304181" xr:uid="{C89B3CE9-23E4-4CE7-B4D8-3417EB206327}"/>
    <hyperlink ref="K228" r:id="rId225" display="vSaleOrder.aspx%3fID=" xr:uid="{BE1E0CE7-1469-45A8-A139-563A730D9A5E}"/>
    <hyperlink ref="K229" r:id="rId226" display="vSaleOrder.aspx%3fID=300562" xr:uid="{A47466F2-0DB7-4C79-AC52-7B357FCC7991}"/>
    <hyperlink ref="K230" r:id="rId227" display="vSaleOrder.aspx%3fID=315638" xr:uid="{A4063352-DCA1-4432-8FF2-094A1F2784B6}"/>
    <hyperlink ref="K231" r:id="rId228" display="vSaleOrder.aspx%3fID=295155" xr:uid="{1EF1E71C-5543-4E7C-98C2-9DD7660C2B9E}"/>
    <hyperlink ref="K232" r:id="rId229" display="vSaleOrder.aspx%3fID=295155" xr:uid="{D22A8649-5F81-4945-A0B5-E76AB7895BF0}"/>
    <hyperlink ref="K233" r:id="rId230" display="vSaleOrder.aspx%3fID=313887" xr:uid="{EB43316C-CD89-4F1D-994B-59E951607D0D}"/>
    <hyperlink ref="K234" r:id="rId231" display="vSaleOrder.aspx%3fID=319804" xr:uid="{1750981A-D813-4BFC-A38E-2D3F0F7E883C}"/>
    <hyperlink ref="K235" r:id="rId232" display="vSaleOrder.aspx%3fID=" xr:uid="{AF24484C-C213-4062-9CF7-34587E26CAAB}"/>
    <hyperlink ref="K236" r:id="rId233" display="vSaleOrder.aspx%3fID=314262" xr:uid="{518D787F-F2D2-4653-941C-0F9EEA0E49CA}"/>
    <hyperlink ref="K237" r:id="rId234" display="vSaleOrder.aspx%3fID=318283" xr:uid="{3829977A-02D0-4257-BD48-7C78E1EEAA79}"/>
    <hyperlink ref="K238" r:id="rId235" display="vSaleOrder.aspx%3fID=313973" xr:uid="{26033C3C-3170-4D75-9FF7-895A9BA42B39}"/>
    <hyperlink ref="K239" r:id="rId236" display="vSaleOrder.aspx%3fID=317663" xr:uid="{4D3F94A0-9978-4481-B31E-D4300034BE7F}"/>
    <hyperlink ref="K240" r:id="rId237" display="vSaleOrder.aspx%3fID=317669" xr:uid="{4CB815BC-5C85-4CE8-ABD2-2E3D6D61BD12}"/>
    <hyperlink ref="K241" r:id="rId238" display="vSaleOrder.aspx%3fID=" xr:uid="{8C942CC7-38A4-4807-BD85-C90C72783A4E}"/>
    <hyperlink ref="K242" r:id="rId239" display="vSaleOrder.aspx%3fID=316912" xr:uid="{C5308B18-C6E0-4A43-9F1F-A0228D464DAE}"/>
    <hyperlink ref="K243" r:id="rId240" display="vSaleOrder.aspx%3fID=314854" xr:uid="{D81E3DCE-AB3E-4B4C-B65C-FAAFBE5FC39E}"/>
    <hyperlink ref="K244" r:id="rId241" display="vSaleOrder.aspx%3fID=302236" xr:uid="{8BC7A886-C3A4-481D-8123-85736EAB09E3}"/>
    <hyperlink ref="K245" r:id="rId242" display="vSaleOrder.aspx%3fID=314854" xr:uid="{998EF532-9BF3-4FAA-9629-5288C59C671A}"/>
    <hyperlink ref="K246" r:id="rId243" display="vSaleOrder.aspx%3fID=288930" xr:uid="{9950CD8E-50A1-45D5-9F07-1F801021E152}"/>
    <hyperlink ref="K247" r:id="rId244" display="vSaleOrder.aspx%3fID=288930" xr:uid="{E4DEF52D-E1C3-4156-BC2F-04CD24E254B8}"/>
    <hyperlink ref="K248" r:id="rId245" display="vSaleOrder.aspx%3fID=288930" xr:uid="{9223A002-F64A-47BA-8360-FADEC7A64EFA}"/>
    <hyperlink ref="K249" r:id="rId246" display="vSaleOrder.aspx%3fID=288930" xr:uid="{A92D28D3-038C-4895-A09A-0E3FC4AEBA00}"/>
    <hyperlink ref="K250" r:id="rId247" display="vSaleOrder.aspx%3fID=288930" xr:uid="{AE1914A5-B1A4-4F6C-9D68-586188B1AE10}"/>
    <hyperlink ref="K251" r:id="rId248" display="vSaleOrder.aspx%3fID=305993" xr:uid="{DF1AA5CA-DBF3-4587-8447-DB3317B08C69}"/>
    <hyperlink ref="K252" r:id="rId249" display="vSaleOrder.aspx%3fID=318252" xr:uid="{C3395D4D-8878-4549-B2D5-9696536DE1BC}"/>
    <hyperlink ref="K253" r:id="rId250" display="vSaleOrder.aspx%3fID=316158" xr:uid="{4BA09AF7-FBB8-48D6-A319-0D9353749F45}"/>
    <hyperlink ref="K254" r:id="rId251" display="vSaleOrder.aspx%3fID=313889" xr:uid="{6791688B-FF7E-4330-8969-D47529264AE9}"/>
    <hyperlink ref="K255" r:id="rId252" display="vSaleOrder.aspx%3fID=" xr:uid="{DA86E521-D845-48D4-82DE-A6E4AC91003F}"/>
    <hyperlink ref="K256" r:id="rId253" display="vSaleOrder.aspx%3fID=300910" xr:uid="{B2A3E426-FE98-4C6F-92FF-1B3C292A5566}"/>
    <hyperlink ref="K257" r:id="rId254" display="vSaleOrder.aspx%3fID=318123" xr:uid="{73661A62-E558-4BC8-9FB1-9FB867CBB30E}"/>
    <hyperlink ref="K258" r:id="rId255" display="vSaleOrder.aspx%3fID=314281" xr:uid="{A594646B-443A-466B-8183-B9D71B48F7AD}"/>
    <hyperlink ref="K259" r:id="rId256" display="vSaleOrder.aspx%3fID=" xr:uid="{2F023F60-22BE-436A-82C6-1E91A347AFF4}"/>
    <hyperlink ref="K260" r:id="rId257" display="vSaleOrder.aspx%3fID=314281" xr:uid="{9327E3A4-6485-40CD-87AC-DE3713811A57}"/>
    <hyperlink ref="K261" r:id="rId258" display="vSaleOrder.aspx%3fID=" xr:uid="{6AAC407C-ED26-4E95-83AE-CE8F69484D96}"/>
    <hyperlink ref="K262" r:id="rId259" display="vSaleOrder.aspx%3fID=283391" xr:uid="{64CF8C24-26DA-4139-9756-37460016F472}"/>
    <hyperlink ref="K263" r:id="rId260" display="vSaleOrder.aspx%3fID=283420" xr:uid="{F2BA5166-64A0-4B8D-8BBE-C999DABCB8EC}"/>
    <hyperlink ref="K264" r:id="rId261" display="vSaleOrder.aspx%3fID=314914" xr:uid="{50E4E709-1CC5-42FF-806F-876F6B9E0E4B}"/>
    <hyperlink ref="K265" r:id="rId262" display="vSaleOrder.aspx%3fID=267591" xr:uid="{1908162F-0F9D-46F5-B579-99B1BC34006E}"/>
    <hyperlink ref="K266" r:id="rId263" display="vSaleOrder.aspx%3fID=314048" xr:uid="{EBD7AE9D-0044-4603-A2F6-E6A264F88E28}"/>
    <hyperlink ref="K267" r:id="rId264" display="vSaleOrder.aspx%3fID=308841" xr:uid="{1795042B-A2E9-4580-A9E1-BC6A2057B5FF}"/>
    <hyperlink ref="K268" r:id="rId265" display="vSaleOrder.aspx%3fID=294093" xr:uid="{5D23903F-1F7B-45D4-9930-B14663A02BD9}"/>
    <hyperlink ref="K269" r:id="rId266" display="vSaleOrder.aspx%3fID=318122" xr:uid="{BE872CC5-8E40-4C3A-AF30-64046210CCC4}"/>
    <hyperlink ref="K270" r:id="rId267" display="vSaleOrder.aspx%3fID=" xr:uid="{75BEEB62-AC49-472C-ACC4-597F7A475843}"/>
    <hyperlink ref="K271" r:id="rId268" display="vSaleOrder.aspx%3fID=314296" xr:uid="{331867A1-5CC6-45BC-ADFF-5ADF38DDC4B7}"/>
    <hyperlink ref="K272" r:id="rId269" display="vSaleOrder.aspx%3fID=273766" xr:uid="{3062C002-7534-46DD-AF8B-B999BF089600}"/>
    <hyperlink ref="K273" r:id="rId270" display="vSaleOrder.aspx%3fID=273766" xr:uid="{4A67C891-4015-4F6A-96A4-D552ED76FF14}"/>
    <hyperlink ref="K274" r:id="rId271" display="vSaleOrder.aspx%3fID=316706" xr:uid="{8E4BD07B-3DF6-4207-BF31-989312FD3844}"/>
    <hyperlink ref="K275" r:id="rId272" display="vSaleOrder.aspx%3fID=254270" xr:uid="{7D6A7DBA-1617-4BF4-80AB-A96AFF88D725}"/>
    <hyperlink ref="K276" r:id="rId273" display="vSaleOrder.aspx%3fID=306719" xr:uid="{6C53A337-C74D-45F4-9D41-B06A438B00F3}"/>
    <hyperlink ref="K277" r:id="rId274" display="vSaleOrder.aspx%3fID=314287" xr:uid="{9D143F45-F02D-412D-991F-07A6820E9D64}"/>
    <hyperlink ref="K278" r:id="rId275" display="vSaleOrder.aspx%3fID=296736" xr:uid="{2DBB11F7-BECC-4D96-9676-A4126FCB188F}"/>
    <hyperlink ref="K279" r:id="rId276" display="vSaleOrder.aspx%3fID=" xr:uid="{CAE587D8-84F0-460D-B1C6-67732B8A899F}"/>
    <hyperlink ref="K280" r:id="rId277" display="vSaleOrder.aspx%3fID=289642" xr:uid="{DA3CD01A-9C83-42D4-B5E0-40CE30897286}"/>
    <hyperlink ref="K281" r:id="rId278" display="vSaleOrder.aspx%3fID=314882" xr:uid="{B0976B2E-F4AC-4ADC-BD55-CA702E1C863B}"/>
    <hyperlink ref="K282" r:id="rId279" display="vSaleOrder.aspx%3fID=296704" xr:uid="{7BDB53D9-DABA-4D2F-977C-F9D6D7B0F207}"/>
    <hyperlink ref="K283" r:id="rId280" display="vSaleOrder.aspx%3fID=314304" xr:uid="{4590F99C-CEC5-4CD8-A6DF-A5266AC18A06}"/>
    <hyperlink ref="K284" r:id="rId281" display="vSaleOrder.aspx%3fID=296704" xr:uid="{3230A190-BB97-4F52-BF56-BC92C70A411B}"/>
    <hyperlink ref="K285" r:id="rId282" display="vSaleOrder.aspx%3fID=315647" xr:uid="{4C0F7635-C1BB-4D42-AF38-55F18546D5FD}"/>
    <hyperlink ref="K286" r:id="rId283" display="vSaleOrder.aspx%3fID=307812" xr:uid="{0C8736D1-5B7A-4057-9F95-E5DA976A1B07}"/>
    <hyperlink ref="K287" r:id="rId284" display="vSaleOrder.aspx%3fID=314263" xr:uid="{5A4D673E-E6F3-4F7E-815C-36A4B5C60251}"/>
    <hyperlink ref="K288" r:id="rId285" display="vSaleOrder.aspx%3fID=316863" xr:uid="{BA588E11-2EA0-404B-8839-0B696229AF4F}"/>
    <hyperlink ref="K289" r:id="rId286" display="vSaleOrder.aspx%3fID=315645" xr:uid="{7036301A-5D9B-40C8-97FA-F645BB770503}"/>
    <hyperlink ref="K290" r:id="rId287" display="vSaleOrder.aspx%3fID=316926" xr:uid="{369E745D-0771-428C-A301-179FB5A4006D}"/>
    <hyperlink ref="K291" r:id="rId288" display="vSaleOrder.aspx%3fID=314239" xr:uid="{4604B59F-36BD-40E3-B6E8-35495767D6CB}"/>
    <hyperlink ref="K292" r:id="rId289" display="vSaleOrder.aspx%3fID=314297" xr:uid="{D152B88D-E1C5-4C9D-B67D-B44B0E11A065}"/>
    <hyperlink ref="K293" r:id="rId290" display="vSaleOrder.aspx%3fID=313888" xr:uid="{CC5E5840-DB96-47B5-A8C0-85E037EF594A}"/>
    <hyperlink ref="K294" r:id="rId291" display="vSaleOrder.aspx%3fID=305972" xr:uid="{3E668088-DCF0-40C8-8548-E4E5261DF616}"/>
    <hyperlink ref="K295" r:id="rId292" display="vSaleOrder.aspx%3fID=314860" xr:uid="{9469C43B-A6B8-4807-B032-D8569CA46BEE}"/>
    <hyperlink ref="K296" r:id="rId293" display="vSaleOrder.aspx%3fID=314278" xr:uid="{0611E7A8-F1F3-4C25-BF4C-A68DCF9D715A}"/>
    <hyperlink ref="K297" r:id="rId294" display="vSaleOrder.aspx%3fID=291113" xr:uid="{71E1E0C6-BAFE-4AED-8E39-6351DEF4914B}"/>
    <hyperlink ref="K298" r:id="rId295" display="vSaleOrder.aspx%3fID=306100" xr:uid="{D23FF62A-420B-4540-AFD9-B07DAA4BF11D}"/>
    <hyperlink ref="K299" r:id="rId296" display="vSaleOrder.aspx%3fID=291113" xr:uid="{582A984A-0166-4044-BCF6-DC27AA357FA4}"/>
    <hyperlink ref="K300" r:id="rId297" display="vSaleOrder.aspx%3fID=" xr:uid="{7C60E090-387E-469C-8186-1BE53F136AED}"/>
    <hyperlink ref="K301" r:id="rId298" display="vSaleOrder.aspx%3fID=313895" xr:uid="{F0B1592A-9C88-4EB6-AEDC-D277469FE7A4}"/>
    <hyperlink ref="K302" r:id="rId299" display="vSaleOrder.aspx%3fID=314251" xr:uid="{292A7935-D3EF-4C33-B5C8-56B63B46D58D}"/>
    <hyperlink ref="K303" r:id="rId300" display="vSaleOrder.aspx%3fID=314272" xr:uid="{15EB25F2-1B48-42BD-B4DC-7B4916CC105C}"/>
    <hyperlink ref="K304" r:id="rId301" display="vSaleOrder.aspx%3fID=313894" xr:uid="{01774A17-AEAC-441A-974B-EA8D9A6CB2B8}"/>
    <hyperlink ref="K305" r:id="rId302" display="vSaleOrder.aspx%3fID=240704" xr:uid="{954FD1A5-FE40-4FFC-A492-7A9AC17F0447}"/>
    <hyperlink ref="K306" r:id="rId303" display="vSaleOrder.aspx%3fID=255653" xr:uid="{A63DB6BB-63F7-489B-AC4A-419E8FCFD6F4}"/>
    <hyperlink ref="K307" r:id="rId304" display="vSaleOrder.aspx%3fID=253932" xr:uid="{0D63651B-AE50-43DF-8154-C1DDAACFEDC7}"/>
    <hyperlink ref="K308" r:id="rId305" display="vSaleOrder.aspx%3fID=314277" xr:uid="{951F2BEF-B39C-4F34-92CE-7A2129AD1B38}"/>
    <hyperlink ref="K309" r:id="rId306" display="vSaleOrder.aspx%3fID=319922" xr:uid="{23E3C449-A54B-4266-95F8-A52608A29314}"/>
    <hyperlink ref="K310" r:id="rId307" display="vSaleOrder.aspx%3fID=319943" xr:uid="{1EFF2AD8-84BB-4575-AF6D-72D0C4B28FAA}"/>
    <hyperlink ref="K311" r:id="rId308" display="vSaleOrder.aspx%3fID=314277" xr:uid="{A95F3C3B-AF58-4EF9-827C-F91D95EE433C}"/>
    <hyperlink ref="K312" r:id="rId309" display="vSaleOrder.aspx%3fID=295518" xr:uid="{7A294A85-FFDE-4D69-93F7-64686411783E}"/>
    <hyperlink ref="K313" r:id="rId310" display="vSaleOrder.aspx%3fID=295518" xr:uid="{4D522650-B52E-4049-935A-F5F0DC4B97C4}"/>
    <hyperlink ref="K314" r:id="rId311" display="vSaleOrder.aspx%3fID=314250" xr:uid="{9BD00E02-F6D7-4F29-A5A1-3D1136EEAB9D}"/>
    <hyperlink ref="K315" r:id="rId312" display="vSaleOrder.aspx%3fID=318241" xr:uid="{C18C0500-183A-4953-8161-A4506CBBC7E5}"/>
    <hyperlink ref="K316" r:id="rId313" display="vSaleOrder.aspx%3fID=274489" xr:uid="{B10236AA-5B6E-4FA4-8D04-104C472C48F7}"/>
    <hyperlink ref="K317" r:id="rId314" display="vSaleOrder.aspx%3fID=287201" xr:uid="{C8689713-F512-438E-BB74-CD648E85765B}"/>
    <hyperlink ref="K318" r:id="rId315" display="vSaleOrder.aspx%3fID=318237" xr:uid="{DB8E055B-C8CB-4536-965A-38D1ED4920E3}"/>
    <hyperlink ref="K319" r:id="rId316" display="vSaleOrder.aspx%3fID=247506" xr:uid="{77048743-8F46-442A-ABA1-E9AC3C65E662}"/>
    <hyperlink ref="K320" r:id="rId317" display="vSaleOrder.aspx%3fID=247507" xr:uid="{A7CB7083-8FD6-40E0-9119-11DEA53E36DE}"/>
    <hyperlink ref="K321" r:id="rId318" display="vSaleOrder.aspx%3fID=318269" xr:uid="{DDE4D135-9EAD-43BC-B2F3-2AD93F7186BD}"/>
    <hyperlink ref="K322" r:id="rId319" display="vSaleOrder.aspx%3fID=295134" xr:uid="{D5E2E039-B58D-442C-A2DA-FE152A63D09F}"/>
    <hyperlink ref="K323" r:id="rId320" display="vSaleOrder.aspx%3fID=" xr:uid="{198DC147-5993-4858-9C68-A8F4126F65C8}"/>
    <hyperlink ref="K324" r:id="rId321" display="vSaleOrder.aspx%3fID=319606" xr:uid="{828AF374-8BBF-4934-85A7-1E886DDE5231}"/>
    <hyperlink ref="K325" r:id="rId322" display="vSaleOrder.aspx%3fID=311581" xr:uid="{F10E0FFC-704C-45CC-A3FF-40A71D81439C}"/>
    <hyperlink ref="K326" r:id="rId323" display="vSaleOrder.aspx%3fID=289980" xr:uid="{C6E5EFDF-330A-4E0E-9A4E-FE5BD13010B1}"/>
    <hyperlink ref="K327" r:id="rId324" display="vSaleOrder.aspx%3fID=" xr:uid="{4AF4A4B2-6A66-4EF9-ABF0-A570CEFBCE36}"/>
    <hyperlink ref="K328" r:id="rId325" display="vSaleOrder.aspx%3fID=250843" xr:uid="{FE051877-EBB7-42C5-BA9F-447242D2E462}"/>
    <hyperlink ref="K329" r:id="rId326" display="vSaleOrder.aspx%3fID=251539" xr:uid="{9A2CB3D3-6167-4755-832D-719C93D3DB28}"/>
    <hyperlink ref="K330" r:id="rId327" display="vSaleOrder.aspx%3fID=215256" xr:uid="{1A9BA66A-5031-45CF-966B-A99CEE406A6A}"/>
    <hyperlink ref="K331" r:id="rId328" display="vSaleOrder.aspx%3fID=300337" xr:uid="{75E57C22-DB40-4405-81B2-DB05FA84FA0A}"/>
    <hyperlink ref="K332" r:id="rId329" display="vSaleOrder.aspx%3fID=316905" xr:uid="{E33BA72B-CAEA-414B-BCE6-0A72267676F0}"/>
    <hyperlink ref="K333" r:id="rId330" display="vSaleOrder.aspx%3fID=293393" xr:uid="{1C200E4E-1FC2-4A37-8EAB-BB3F08A3B1CB}"/>
    <hyperlink ref="K334" r:id="rId331" display="vSaleOrder.aspx%3fID=293393" xr:uid="{29BD5829-3ADC-4FA0-B448-82EC2C848DCF}"/>
    <hyperlink ref="K335" r:id="rId332" display="vSaleOrder.aspx%3fID=318265" xr:uid="{44C82E7D-E888-4E0A-8289-0730C637FC13}"/>
    <hyperlink ref="K336" r:id="rId333" display="vSaleOrder.aspx%3fID=315625" xr:uid="{B41EE34A-CD53-4C7F-8F57-F53EC7917197}"/>
    <hyperlink ref="K337" r:id="rId334" display="vSaleOrder.aspx%3fID=314295" xr:uid="{6F795F9B-15F5-4E48-BAA8-C78C8771BBA8}"/>
    <hyperlink ref="K338" r:id="rId335" display="vSaleOrder.aspx%3fID=315637" xr:uid="{CFDE7677-9FB4-4285-AD6A-EA91C8EEBD9A}"/>
    <hyperlink ref="K339" r:id="rId336" display="vSaleOrder.aspx%3fID=313890" xr:uid="{C57F9C2E-F9A2-42AA-995E-04D34E98423F}"/>
    <hyperlink ref="K340" r:id="rId337" display="vSaleOrder.aspx%3fID=314299" xr:uid="{89999C20-0808-42E1-8855-7459C4540EE4}"/>
    <hyperlink ref="K341" r:id="rId338" display="vSaleOrder.aspx%3fID=304152" xr:uid="{E1B046DA-83E0-45A2-A8DF-AECFE4A44B44}"/>
    <hyperlink ref="K342" r:id="rId339" display="vSaleOrder.aspx%3fID=304067" xr:uid="{46A49B2A-994A-4416-8753-5C9904AE53FF}"/>
    <hyperlink ref="K343" r:id="rId340" display="vSaleOrder.aspx%3fID=262040" xr:uid="{D6E07700-DEFC-4409-A3C7-7EEB90513911}"/>
    <hyperlink ref="K344" r:id="rId341" display="vSaleOrder.aspx%3fID=304067" xr:uid="{8C6CED7B-2D81-4EF7-B71C-D07EE8FE9F2A}"/>
    <hyperlink ref="K345" r:id="rId342" display="vSaleOrder.aspx%3fID=" xr:uid="{DED00CA6-D290-43BC-8147-9E5E9361004D}"/>
    <hyperlink ref="K346" r:id="rId343" display="vSaleOrder.aspx%3fID=313876" xr:uid="{823DC796-576D-4635-8CCC-21BDC6C566CA}"/>
    <hyperlink ref="K347" r:id="rId344" display="vSaleOrder.aspx%3fID=313891" xr:uid="{7A2F4B51-FF4C-4242-81DF-A5AF194DADE8}"/>
    <hyperlink ref="K348" r:id="rId345" display="vSaleOrder.aspx%3fID=296681" xr:uid="{3A20BCD3-ABAE-48C4-AA57-A27DAAC12EF0}"/>
    <hyperlink ref="K349" r:id="rId346" display="vSaleOrder.aspx%3fID=314248" xr:uid="{B97D335F-32FF-484F-999B-55C3EA43FC4B}"/>
    <hyperlink ref="K350" r:id="rId347" display="vSaleOrder.aspx%3fID=" xr:uid="{3352D400-07A5-4C4C-B05D-CECA5FC5A0B0}"/>
    <hyperlink ref="K351" r:id="rId348" display="vSaleOrder.aspx%3fID=266335" xr:uid="{84BC91E9-EEFC-4241-82CF-5AAE4C11DF72}"/>
    <hyperlink ref="K352" r:id="rId349" display="vSaleOrder.aspx%3fID=235969" xr:uid="{33E0ADBF-8AC5-46A1-ABA7-11D22DAE178B}"/>
    <hyperlink ref="K353" r:id="rId350" display="vSaleOrder.aspx%3fID=" xr:uid="{CD61F99F-57F6-47A2-B920-C6CCDA999175}"/>
    <hyperlink ref="K354" r:id="rId351" display="vSaleOrder.aspx%3fID=315631" xr:uid="{46A449C5-A502-425F-BFF6-7D70DB4D929E}"/>
    <hyperlink ref="K355" r:id="rId352" display="vSaleOrder.aspx%3fID=314280" xr:uid="{BF1A9D8F-AD13-4FFB-B158-5ED037E2D504}"/>
    <hyperlink ref="K356" r:id="rId353" display="vSaleOrder.aspx%3fID=318261" xr:uid="{99C7460D-0A5C-4C46-882F-72FD9B7463BC}"/>
    <hyperlink ref="K357" r:id="rId354" display="vSaleOrder.aspx%3fID=258271" xr:uid="{28AE721B-E8A4-430B-94A1-0D728B5AA75D}"/>
    <hyperlink ref="K358" r:id="rId355" display="vSaleOrder.aspx%3fID=266394" xr:uid="{37571B7F-4B6C-4A59-92F1-E01C1405F5CF}"/>
    <hyperlink ref="K359" r:id="rId356" display="vSaleOrder.aspx%3fID=" xr:uid="{20AD4F7D-FA64-4923-A619-78C111269032}"/>
    <hyperlink ref="K360" r:id="rId357" display="vSaleOrder.aspx%3fID=" xr:uid="{333C936F-4AEC-45FA-917A-72C7890E61BD}"/>
    <hyperlink ref="K361" r:id="rId358" display="vSaleOrder.aspx%3fID=305906" xr:uid="{7C07252D-D52D-4276-A216-5C65E94D1814}"/>
    <hyperlink ref="K362" r:id="rId359" display="vSaleOrder.aspx%3fID=" xr:uid="{E38B47C6-2E72-46B0-B411-AB76D073B037}"/>
    <hyperlink ref="K363" r:id="rId360" display="vSaleOrder.aspx%3fID=283738" xr:uid="{D79E9131-1ACB-4DE4-9A16-C26EB343E861}"/>
    <hyperlink ref="K364" r:id="rId361" display="vSaleOrder.aspx%3fID=" xr:uid="{3CB32C71-BA7B-48F3-93BC-E3501C1FB4D7}"/>
    <hyperlink ref="K365" r:id="rId362" display="vSaleOrder.aspx%3fID=" xr:uid="{F2E5353E-34B1-49A5-AFDC-C7F26F5AD1CD}"/>
    <hyperlink ref="K366" r:id="rId363" display="vSaleOrder.aspx%3fID=279835" xr:uid="{564F94CA-9E1B-4B5B-BE4A-586DA15CFBF1}"/>
    <hyperlink ref="K367" r:id="rId364" display="vSaleOrder.aspx%3fID=" xr:uid="{7144F3EA-F625-4610-A85C-5705747C89A0}"/>
    <hyperlink ref="K368" r:id="rId365" display="vSaleOrder.aspx%3fID=" xr:uid="{549D38C2-63F9-4AD8-9ED2-C7651A474088}"/>
    <hyperlink ref="K369" r:id="rId366" display="vSaleOrder.aspx%3fID=260253" xr:uid="{1B7E21D1-159E-4C8D-A81D-3D25E18EF040}"/>
    <hyperlink ref="K370" r:id="rId367" display="vSaleOrder.aspx%3fID=260253" xr:uid="{46B9E818-305E-4556-B29F-5E302BC7E54E}"/>
    <hyperlink ref="K371" r:id="rId368" display="vSaleOrder.aspx%3fID=272670" xr:uid="{7B54847E-65BB-41BE-9553-C5B4B8ADBFF7}"/>
    <hyperlink ref="K372" r:id="rId369" display="vSaleOrder.aspx%3fID=318248" xr:uid="{88DFB941-2167-4798-975B-588EF65FE65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36A4-AC85-430A-849E-7029A1CC5A12}">
  <dimension ref="A2:N15"/>
  <sheetViews>
    <sheetView workbookViewId="0">
      <selection activeCell="H8" sqref="H8"/>
    </sheetView>
  </sheetViews>
  <sheetFormatPr defaultRowHeight="14.5" x14ac:dyDescent="0.35"/>
  <sheetData>
    <row r="2" spans="1:14" s="5" customFormat="1" x14ac:dyDescent="0.35">
      <c r="A2" s="5" t="s">
        <v>35</v>
      </c>
      <c r="B2" s="5">
        <v>7</v>
      </c>
      <c r="C2" s="5" t="s">
        <v>16</v>
      </c>
      <c r="D2" s="5">
        <v>968</v>
      </c>
      <c r="E2" s="5">
        <v>20020</v>
      </c>
      <c r="G2" s="5">
        <v>592</v>
      </c>
      <c r="H2" s="5" t="s">
        <v>36</v>
      </c>
      <c r="I2" s="5">
        <v>2601</v>
      </c>
      <c r="J2" s="5">
        <v>45513</v>
      </c>
      <c r="K2" s="5" t="s">
        <v>37</v>
      </c>
      <c r="M2" s="5">
        <v>527.91999999999996</v>
      </c>
      <c r="N2" s="6" t="s">
        <v>19</v>
      </c>
    </row>
    <row r="3" spans="1:14" s="5" customFormat="1" x14ac:dyDescent="0.35">
      <c r="A3" s="5" t="s">
        <v>38</v>
      </c>
      <c r="B3" s="5">
        <v>8</v>
      </c>
      <c r="C3" s="5" t="s">
        <v>16</v>
      </c>
      <c r="D3" s="5">
        <v>968</v>
      </c>
      <c r="E3" s="5">
        <v>20020</v>
      </c>
      <c r="G3" s="5">
        <v>606</v>
      </c>
      <c r="H3" s="5" t="s">
        <v>36</v>
      </c>
      <c r="I3" s="5">
        <v>2601</v>
      </c>
      <c r="J3" s="5">
        <v>45499</v>
      </c>
      <c r="K3" s="5" t="s">
        <v>39</v>
      </c>
      <c r="M3" s="5">
        <v>1085.97</v>
      </c>
      <c r="N3" s="6" t="s">
        <v>19</v>
      </c>
    </row>
    <row r="4" spans="1:14" s="5" customFormat="1" x14ac:dyDescent="0.35">
      <c r="A4" s="5" t="s">
        <v>40</v>
      </c>
      <c r="B4" s="5">
        <v>9</v>
      </c>
      <c r="C4" s="5" t="s">
        <v>16</v>
      </c>
      <c r="D4" s="5">
        <v>968</v>
      </c>
      <c r="E4" s="5">
        <v>20020</v>
      </c>
      <c r="G4" s="5">
        <v>602</v>
      </c>
      <c r="H4" s="5" t="s">
        <v>36</v>
      </c>
      <c r="I4" s="5">
        <v>2601</v>
      </c>
      <c r="J4" s="5">
        <v>45503</v>
      </c>
      <c r="K4" s="5" t="s">
        <v>39</v>
      </c>
      <c r="M4" s="5">
        <v>44.55</v>
      </c>
      <c r="N4" s="6" t="s">
        <v>19</v>
      </c>
    </row>
    <row r="5" spans="1:14" s="5" customFormat="1" x14ac:dyDescent="0.35">
      <c r="A5" s="5" t="s">
        <v>47</v>
      </c>
      <c r="B5" s="5">
        <v>12</v>
      </c>
      <c r="C5" s="5" t="s">
        <v>16</v>
      </c>
      <c r="D5" s="5">
        <v>968</v>
      </c>
      <c r="E5" s="5">
        <v>20020</v>
      </c>
      <c r="G5" s="5">
        <v>315</v>
      </c>
      <c r="H5" s="5" t="s">
        <v>48</v>
      </c>
      <c r="I5" s="5">
        <v>2386</v>
      </c>
      <c r="J5" s="5">
        <v>45790</v>
      </c>
      <c r="K5" s="5" t="s">
        <v>49</v>
      </c>
      <c r="M5" s="5">
        <v>821.88</v>
      </c>
      <c r="N5" s="6" t="s">
        <v>19</v>
      </c>
    </row>
    <row r="6" spans="1:14" s="5" customFormat="1" x14ac:dyDescent="0.35">
      <c r="A6" s="5" t="s">
        <v>50</v>
      </c>
      <c r="B6" s="5">
        <v>13</v>
      </c>
      <c r="C6" s="5" t="s">
        <v>16</v>
      </c>
      <c r="D6" s="5">
        <v>968</v>
      </c>
      <c r="E6" s="5">
        <v>20020</v>
      </c>
      <c r="G6" s="5">
        <v>344</v>
      </c>
      <c r="H6" s="5" t="s">
        <v>48</v>
      </c>
      <c r="I6" s="5">
        <v>2386</v>
      </c>
      <c r="J6" s="5">
        <v>45761</v>
      </c>
      <c r="K6" s="5" t="s">
        <v>51</v>
      </c>
      <c r="M6" s="5">
        <v>862.01</v>
      </c>
      <c r="N6" s="6" t="s">
        <v>19</v>
      </c>
    </row>
    <row r="7" spans="1:14" s="5" customFormat="1" x14ac:dyDescent="0.35">
      <c r="A7" s="5" t="s">
        <v>58</v>
      </c>
      <c r="B7" s="5">
        <v>16</v>
      </c>
      <c r="C7" s="5" t="s">
        <v>16</v>
      </c>
      <c r="D7" s="5">
        <v>968</v>
      </c>
      <c r="E7" s="5">
        <v>20020</v>
      </c>
      <c r="G7" s="5">
        <v>343</v>
      </c>
      <c r="H7" s="5" t="s">
        <v>59</v>
      </c>
      <c r="I7" s="5">
        <v>2387</v>
      </c>
      <c r="J7" s="5">
        <v>45762</v>
      </c>
      <c r="K7" s="5" t="s">
        <v>60</v>
      </c>
      <c r="M7" s="5">
        <v>687.5</v>
      </c>
      <c r="N7" s="6" t="s">
        <v>19</v>
      </c>
    </row>
    <row r="8" spans="1:14" s="5" customFormat="1" x14ac:dyDescent="0.35">
      <c r="A8" s="5" t="s">
        <v>64</v>
      </c>
      <c r="B8" s="5">
        <v>18</v>
      </c>
      <c r="C8" s="5" t="s">
        <v>16</v>
      </c>
      <c r="D8" s="5">
        <v>968</v>
      </c>
      <c r="E8" s="5">
        <v>20020</v>
      </c>
      <c r="G8" s="5">
        <v>314</v>
      </c>
      <c r="H8" s="5" t="s">
        <v>65</v>
      </c>
      <c r="I8" s="5">
        <v>2413</v>
      </c>
      <c r="J8" s="5">
        <v>45791</v>
      </c>
      <c r="K8" s="5" t="s">
        <v>66</v>
      </c>
      <c r="M8" s="5">
        <v>557.32000000000005</v>
      </c>
      <c r="N8" s="6" t="s">
        <v>19</v>
      </c>
    </row>
    <row r="9" spans="1:14" s="5" customFormat="1" x14ac:dyDescent="0.35">
      <c r="A9" s="5" t="s">
        <v>67</v>
      </c>
      <c r="B9" s="5">
        <v>19</v>
      </c>
      <c r="C9" s="5" t="s">
        <v>16</v>
      </c>
      <c r="D9" s="5">
        <v>968</v>
      </c>
      <c r="E9" s="5">
        <v>20020</v>
      </c>
      <c r="G9" s="5">
        <v>365</v>
      </c>
      <c r="H9" s="5" t="s">
        <v>68</v>
      </c>
      <c r="I9" s="5">
        <v>452</v>
      </c>
      <c r="J9" s="5">
        <v>45740</v>
      </c>
      <c r="K9" s="5" t="s">
        <v>69</v>
      </c>
      <c r="M9" s="5">
        <v>740.29</v>
      </c>
      <c r="N9" s="6" t="s">
        <v>19</v>
      </c>
    </row>
    <row r="10" spans="1:14" s="5" customFormat="1" x14ac:dyDescent="0.35">
      <c r="A10" s="5" t="s">
        <v>70</v>
      </c>
      <c r="B10" s="5">
        <v>20</v>
      </c>
      <c r="C10" s="5" t="s">
        <v>16</v>
      </c>
      <c r="D10" s="5">
        <v>968</v>
      </c>
      <c r="E10" s="5">
        <v>20020</v>
      </c>
      <c r="G10" s="5">
        <v>337</v>
      </c>
      <c r="H10" s="5" t="s">
        <v>71</v>
      </c>
      <c r="I10" s="5">
        <v>453</v>
      </c>
      <c r="J10" s="5">
        <v>45768</v>
      </c>
      <c r="K10" s="5" t="s">
        <v>72</v>
      </c>
      <c r="M10" s="5">
        <v>2780.99</v>
      </c>
      <c r="N10" s="6" t="s">
        <v>19</v>
      </c>
    </row>
    <row r="11" spans="1:14" s="5" customFormat="1" x14ac:dyDescent="0.35">
      <c r="A11" s="5" t="s">
        <v>73</v>
      </c>
      <c r="B11" s="5">
        <v>21</v>
      </c>
      <c r="C11" s="5" t="s">
        <v>16</v>
      </c>
      <c r="D11" s="5">
        <v>968</v>
      </c>
      <c r="E11" s="5">
        <v>20020</v>
      </c>
      <c r="G11" s="5">
        <v>316</v>
      </c>
      <c r="H11" s="5" t="s">
        <v>74</v>
      </c>
      <c r="I11" s="5">
        <v>454</v>
      </c>
      <c r="J11" s="5">
        <v>45789</v>
      </c>
      <c r="K11" s="5" t="s">
        <v>75</v>
      </c>
      <c r="M11" s="5">
        <v>2963.43</v>
      </c>
      <c r="N11" s="6" t="s">
        <v>19</v>
      </c>
    </row>
    <row r="12" spans="1:14" s="5" customFormat="1" x14ac:dyDescent="0.35">
      <c r="A12" s="5" t="s">
        <v>76</v>
      </c>
      <c r="B12" s="5">
        <v>22</v>
      </c>
      <c r="C12" s="5" t="s">
        <v>16</v>
      </c>
      <c r="D12" s="5">
        <v>968</v>
      </c>
      <c r="E12" s="5">
        <v>20020</v>
      </c>
      <c r="G12" s="5">
        <v>400</v>
      </c>
      <c r="H12" s="5" t="s">
        <v>74</v>
      </c>
      <c r="I12" s="5">
        <v>454</v>
      </c>
      <c r="J12" s="5">
        <v>45705</v>
      </c>
      <c r="K12" s="5" t="s">
        <v>77</v>
      </c>
      <c r="M12" s="5">
        <v>2824.75</v>
      </c>
      <c r="N12" s="6" t="s">
        <v>19</v>
      </c>
    </row>
    <row r="13" spans="1:14" s="5" customFormat="1" x14ac:dyDescent="0.35">
      <c r="A13" s="5" t="s">
        <v>100</v>
      </c>
      <c r="B13" s="5">
        <v>32</v>
      </c>
      <c r="C13" s="5" t="s">
        <v>16</v>
      </c>
      <c r="D13" s="5">
        <v>968</v>
      </c>
      <c r="E13" s="5">
        <v>20020</v>
      </c>
      <c r="G13" s="5">
        <v>337</v>
      </c>
      <c r="H13" s="5" t="s">
        <v>101</v>
      </c>
      <c r="I13" s="5">
        <v>2628</v>
      </c>
      <c r="J13" s="5">
        <v>45768</v>
      </c>
      <c r="K13" s="5" t="s">
        <v>102</v>
      </c>
      <c r="M13" s="5">
        <v>338.1</v>
      </c>
      <c r="N13" s="6" t="s">
        <v>19</v>
      </c>
    </row>
    <row r="14" spans="1:14" s="5" customFormat="1" x14ac:dyDescent="0.35">
      <c r="A14" s="5" t="s">
        <v>114</v>
      </c>
      <c r="B14" s="5">
        <v>38</v>
      </c>
      <c r="C14" s="5" t="s">
        <v>16</v>
      </c>
      <c r="D14" s="5">
        <v>968</v>
      </c>
      <c r="E14" s="5">
        <v>20020</v>
      </c>
      <c r="G14" s="5">
        <v>329</v>
      </c>
      <c r="H14" s="5" t="s">
        <v>115</v>
      </c>
      <c r="I14" s="5">
        <v>2440</v>
      </c>
      <c r="J14" s="5">
        <v>45776</v>
      </c>
      <c r="K14" s="5" t="s">
        <v>116</v>
      </c>
      <c r="M14" s="5">
        <v>3047.61</v>
      </c>
      <c r="N14" s="6" t="s">
        <v>19</v>
      </c>
    </row>
    <row r="15" spans="1:14" s="5" customFormat="1" ht="15" customHeight="1" x14ac:dyDescent="0.35">
      <c r="A15" s="5" t="s">
        <v>117</v>
      </c>
      <c r="B15" s="5">
        <v>39</v>
      </c>
      <c r="C15" s="5" t="s">
        <v>16</v>
      </c>
      <c r="D15" s="5">
        <v>968</v>
      </c>
      <c r="E15" s="5">
        <v>20020</v>
      </c>
      <c r="G15" s="5">
        <v>277</v>
      </c>
      <c r="H15" s="5" t="s">
        <v>118</v>
      </c>
      <c r="I15" s="5">
        <v>1576</v>
      </c>
      <c r="J15" s="5">
        <v>45828</v>
      </c>
      <c r="K15" s="5" t="s">
        <v>119</v>
      </c>
      <c r="M15" s="5">
        <v>1402.87</v>
      </c>
      <c r="N15" s="6" t="s">
        <v>19</v>
      </c>
    </row>
  </sheetData>
  <hyperlinks>
    <hyperlink ref="K2" r:id="rId1" display="vSaleOrder.aspx%3fID=285102" xr:uid="{96FCB64C-2460-484A-9EE6-CC845606FCD1}"/>
    <hyperlink ref="K3" r:id="rId2" display="vSaleOrder.aspx%3fID=282797" xr:uid="{613482C4-1423-45D8-8D9A-8158E0AEF9C4}"/>
    <hyperlink ref="K4" r:id="rId3" display="vSaleOrder.aspx%3fID=282797" xr:uid="{6A338AB9-AD6F-485E-BFB7-6982BDB4713D}"/>
    <hyperlink ref="K5" r:id="rId4" display="vSaleOrder.aspx%3fID=314305" xr:uid="{299FCAC4-37E0-4069-A11D-7DC94C6DECFD}"/>
    <hyperlink ref="K6" r:id="rId5" display="vSaleOrder.aspx%3fID=314012" xr:uid="{7C496617-B32C-4E34-8245-C858DA4B4531}"/>
    <hyperlink ref="K7" r:id="rId6" display="vSaleOrder.aspx%3fID=314050" xr:uid="{F1EDD1B9-58DE-46C1-A8B0-70FDE59CD645}"/>
    <hyperlink ref="K8" r:id="rId7" display="vSaleOrder.aspx%3fID=316163" xr:uid="{F2CBBDBA-8798-43AA-A714-FD657905C584}"/>
    <hyperlink ref="K9" r:id="rId8" display="vSaleOrder.aspx%3fID=315642" xr:uid="{C92E1372-04E3-4AFA-BA04-1C922D8E2B04}"/>
    <hyperlink ref="K10" r:id="rId9" display="vSaleOrder.aspx%3fID=318022" xr:uid="{A0E7B295-4F50-4049-95E1-31C162697EC3}"/>
    <hyperlink ref="K11" r:id="rId10" display="vSaleOrder.aspx%3fID=314306" xr:uid="{00AA9700-524D-42D3-AC52-34194A23BA20}"/>
    <hyperlink ref="K12" r:id="rId11" display="vSaleOrder.aspx%3fID=307409" xr:uid="{0E879FAD-26CC-47FF-B196-52651A5AE485}"/>
    <hyperlink ref="K13" r:id="rId12" display="vSaleOrder.aspx%3fID=" xr:uid="{5A533C8F-7A4F-4608-8D5F-82FF74AA8E7D}"/>
    <hyperlink ref="K14" r:id="rId13" display="vSaleOrder.aspx%3fID=313893" xr:uid="{D3AA7FA1-61C2-486C-9345-57C4EBBC3364}"/>
    <hyperlink ref="K15" r:id="rId14" display="vSaleOrder.aspx%3fID=318276" xr:uid="{9E6C9338-AB34-48D2-882C-B5B5BE13F08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7909-9DC9-4368-8CB1-73838AEE90CC}">
  <dimension ref="A2:K4"/>
  <sheetViews>
    <sheetView tabSelected="1" workbookViewId="0">
      <selection activeCell="A4" sqref="A4:XFD4"/>
    </sheetView>
  </sheetViews>
  <sheetFormatPr defaultRowHeight="14.5" x14ac:dyDescent="0.35"/>
  <sheetData>
    <row r="2" spans="1:11" s="2" customFormat="1" x14ac:dyDescent="0.35">
      <c r="A2" s="2" t="s">
        <v>465</v>
      </c>
      <c r="B2" s="2">
        <v>179</v>
      </c>
      <c r="C2" s="2">
        <v>20020</v>
      </c>
      <c r="D2" s="2">
        <v>1316</v>
      </c>
      <c r="E2" s="2">
        <v>490</v>
      </c>
      <c r="F2" s="2" t="s">
        <v>466</v>
      </c>
      <c r="G2" s="2">
        <v>3674</v>
      </c>
      <c r="H2" s="7">
        <v>45615</v>
      </c>
      <c r="I2" s="2" t="s">
        <v>467</v>
      </c>
      <c r="J2" s="8">
        <v>-2149.59</v>
      </c>
      <c r="K2" s="2" t="s">
        <v>954</v>
      </c>
    </row>
    <row r="3" spans="1:11" s="2" customFormat="1" x14ac:dyDescent="0.35">
      <c r="A3" s="2" t="s">
        <v>472</v>
      </c>
      <c r="B3" s="2">
        <v>182</v>
      </c>
      <c r="C3" s="2">
        <v>20020</v>
      </c>
      <c r="D3" s="2">
        <v>1316</v>
      </c>
      <c r="E3" s="2">
        <v>643</v>
      </c>
      <c r="F3" s="2" t="s">
        <v>470</v>
      </c>
      <c r="G3" s="2">
        <v>583</v>
      </c>
      <c r="H3" s="7">
        <v>45462</v>
      </c>
      <c r="I3" s="2" t="s">
        <v>473</v>
      </c>
      <c r="J3" s="8">
        <v>-1055.98</v>
      </c>
      <c r="K3" s="2" t="s">
        <v>955</v>
      </c>
    </row>
    <row r="4" spans="1:11" s="2" customFormat="1" x14ac:dyDescent="0.35">
      <c r="A4" s="2" t="s">
        <v>660</v>
      </c>
      <c r="B4" s="2">
        <v>269</v>
      </c>
      <c r="C4" s="2">
        <v>20020</v>
      </c>
      <c r="D4" s="2">
        <v>1316</v>
      </c>
      <c r="E4" s="2">
        <v>434</v>
      </c>
      <c r="F4" s="2" t="s">
        <v>661</v>
      </c>
      <c r="G4" s="2">
        <f>VLOOKUP(F4,[1]Customers!$A:$B,2,FALSE)</f>
        <v>2457</v>
      </c>
      <c r="H4" s="7">
        <v>45671</v>
      </c>
      <c r="I4" s="2" t="s">
        <v>662</v>
      </c>
      <c r="J4" s="8">
        <v>-1938.25</v>
      </c>
      <c r="K4" s="2" t="s">
        <v>956</v>
      </c>
    </row>
  </sheetData>
  <hyperlinks>
    <hyperlink ref="I2" r:id="rId1" display="vSaleOrder.aspx%3fID=295409" xr:uid="{5E525D50-31DD-4CD3-9BE3-75F7B0F34A36}"/>
    <hyperlink ref="I3" r:id="rId2" display="vSaleOrder.aspx%3fID=266373" xr:uid="{05475268-8404-447B-91FA-3CD23B47C617}"/>
    <hyperlink ref="I4" r:id="rId3" display="vSaleOrder.aspx%3fID=300910" xr:uid="{DC44FF20-2EEA-4FE7-9A7E-419F70CEEE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CD-NEW </vt:lpstr>
      <vt:lpstr>Sheet3</vt:lpstr>
      <vt:lpstr>Negative deposits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Patil</dc:creator>
  <cp:lastModifiedBy>Pranali Patil</cp:lastModifiedBy>
  <dcterms:created xsi:type="dcterms:W3CDTF">2026-03-26T14:00:05Z</dcterms:created>
  <dcterms:modified xsi:type="dcterms:W3CDTF">2026-03-30T07:51:34Z</dcterms:modified>
</cp:coreProperties>
</file>